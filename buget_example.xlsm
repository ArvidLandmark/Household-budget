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7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9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0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1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3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rvid\OneDrive\Skrivbord\Excel\Färdiga projekt\"/>
    </mc:Choice>
  </mc:AlternateContent>
  <xr:revisionPtr revIDLastSave="0" documentId="13_ncr:1_{2A6B2CB2-28EA-4C07-9B8E-B9EDD78B9069}" xr6:coauthVersionLast="41" xr6:coauthVersionMax="41" xr10:uidLastSave="{00000000-0000-0000-0000-000000000000}"/>
  <bookViews>
    <workbookView xWindow="-108" yWindow="-108" windowWidth="23256" windowHeight="12576" tabRatio="815" activeTab="15" xr2:uid="{582FBF59-BA8D-4A3A-B17E-A4D16F779894}"/>
  </bookViews>
  <sheets>
    <sheet name="Överblick" sheetId="10" r:id="rId1"/>
    <sheet name="EmptySheet2" sheetId="38" state="hidden" r:id="rId2"/>
    <sheet name="emptySheet" sheetId="207" state="hidden" r:id="rId3"/>
    <sheet name="September 18" sheetId="208" r:id="rId4"/>
    <sheet name="Oktober 18" sheetId="215" r:id="rId5"/>
    <sheet name="November 18" sheetId="216" r:id="rId6"/>
    <sheet name="December 18" sheetId="217" r:id="rId7"/>
    <sheet name="Januari 19" sheetId="218" r:id="rId8"/>
    <sheet name="Februari 19" sheetId="219" r:id="rId9"/>
    <sheet name="Mars 19" sheetId="220" r:id="rId10"/>
    <sheet name="Basmånad" sheetId="187" state="hidden" r:id="rId11"/>
    <sheet name="April 19" sheetId="221" r:id="rId12"/>
    <sheet name="Maj 19" sheetId="222" r:id="rId13"/>
    <sheet name="Juni 19" sheetId="223" r:id="rId14"/>
    <sheet name="Juli 19" sheetId="224" r:id="rId15"/>
    <sheet name="Augusti 19" sheetId="225" r:id="rId16"/>
  </sheets>
  <definedNames>
    <definedName name="Chart_Hyra">INDEX(Hyra,MATCH(Överblick!$B$6,Månad,0)):INDEX(Hyra,MATCH(Överblick!$B$7,Månad,0))</definedName>
    <definedName name="Chart_Hyra1">INDEX(Hyra1,MATCH(Överblick!$B$6,Månad,0)):INDEX(Hyra1,MATCH(Överblick!$B$7,Månad,0))</definedName>
    <definedName name="Chart_Hyra2">INDEX(Hyra2,MATCH(Överblick!$B$6,Månad,0)):INDEX(Hyra2,MATCH(Överblick!$B$7,Månad,0))</definedName>
    <definedName name="Chart_Kolumn1">INDEX(Kolumn1,MATCH(Överblick!$B$6,Månad,0)):INDEX(Kolumn1,MATCH(Överblick!$B$7,Månad,0))</definedName>
    <definedName name="Chart_Kolumn2">INDEX(Kolumn2,MATCH(Överblick!$B$6,Månad,0)):INDEX(Kolumn2,MATCH(Överblick!$B$7,Månad,0))</definedName>
    <definedName name="Chart_Månad">INDEX(Månad,MATCH(Överblick!$B$6,Månad,0)):INDEX(Månad,MATCH(Överblick!$B$7,Månad,0))</definedName>
    <definedName name="Chart_Sparande">INDEX(Sparande,MATCH(Överblick!$B$6,Månad,0)):INDEX(Sparande,MATCH(Överblick!$B$7,Månad,0))</definedName>
    <definedName name="countsheets">GET.WORKBOOK(1)&amp;T(NOW())</definedName>
    <definedName name="Hyra">Överblick!$BQ$4:$BQ$275</definedName>
    <definedName name="Hyra1">Överblick!$BR$4:$BR$273</definedName>
    <definedName name="Hyra2">Överblick!$BS$4:$BS$279</definedName>
    <definedName name="Kolumn1">Överblick!$X$4:$X$361</definedName>
    <definedName name="Kolumn2">Överblick!$Y$4:$Y$252</definedName>
    <definedName name="Månad">Överblick!$V$4:$V$337</definedName>
    <definedName name="Number_of_months">OFFSET(Överblick!$W$4,COUNTA(Överblick!$W:$W)-Överblick!$AA$3,0,Överblick!$AA$3)</definedName>
    <definedName name="Sparande">Överblick!$W$4:$W$245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Q15" i="10" l="1"/>
  <c r="BQ14" i="10"/>
  <c r="BQ13" i="10"/>
  <c r="BQ12" i="10"/>
  <c r="BQ11" i="10"/>
  <c r="BQ10" i="10"/>
  <c r="BQ9" i="10"/>
  <c r="BQ8" i="10"/>
  <c r="BQ7" i="10"/>
  <c r="BQ6" i="10"/>
  <c r="BQ5" i="10"/>
  <c r="BQ4" i="10"/>
  <c r="O16" i="10"/>
  <c r="O17" i="10"/>
  <c r="O18" i="10"/>
  <c r="O19" i="10"/>
  <c r="O20" i="10"/>
  <c r="O21" i="10"/>
  <c r="O22" i="10"/>
  <c r="O23" i="10"/>
  <c r="O24" i="10"/>
  <c r="O25" i="10"/>
  <c r="O26" i="10"/>
  <c r="O27" i="10"/>
  <c r="O28" i="10"/>
  <c r="O29" i="10"/>
  <c r="O30" i="10"/>
  <c r="O31" i="10"/>
  <c r="O32" i="10"/>
  <c r="O33" i="10"/>
  <c r="O34" i="10"/>
  <c r="O35" i="10"/>
  <c r="O36" i="10"/>
  <c r="O37" i="10"/>
  <c r="O38" i="10"/>
  <c r="O39" i="10"/>
  <c r="O40" i="10"/>
  <c r="O41" i="10"/>
  <c r="O42" i="10"/>
  <c r="O43" i="10"/>
  <c r="O44" i="10"/>
  <c r="O45" i="10"/>
  <c r="O46" i="10"/>
  <c r="O47" i="10"/>
  <c r="O48" i="10"/>
  <c r="O49" i="10"/>
  <c r="O50" i="10"/>
  <c r="O51" i="10"/>
  <c r="O52" i="10"/>
  <c r="O53" i="10"/>
  <c r="O54" i="10"/>
  <c r="O55" i="10"/>
  <c r="O56" i="10"/>
  <c r="O57" i="10"/>
  <c r="O58" i="10"/>
  <c r="O59" i="10"/>
  <c r="O60" i="10"/>
  <c r="O61" i="10"/>
  <c r="O62" i="10"/>
  <c r="O63" i="10"/>
  <c r="O64" i="10"/>
  <c r="O65" i="10"/>
  <c r="O66" i="10"/>
  <c r="O67" i="10"/>
  <c r="O68" i="10"/>
  <c r="O69" i="10"/>
  <c r="O70" i="10"/>
  <c r="O71" i="10"/>
  <c r="O72" i="10"/>
  <c r="O73" i="10"/>
  <c r="O74" i="10"/>
  <c r="O75" i="10"/>
  <c r="O76" i="10"/>
  <c r="O77" i="10"/>
  <c r="O78" i="10"/>
  <c r="O79" i="10"/>
  <c r="O80" i="10"/>
  <c r="O81" i="10"/>
  <c r="O82" i="10"/>
  <c r="O83" i="10"/>
  <c r="O84" i="10"/>
  <c r="O85" i="10"/>
  <c r="O86" i="10"/>
  <c r="O87" i="10"/>
  <c r="O88" i="10"/>
  <c r="O89" i="10"/>
  <c r="O90" i="10"/>
  <c r="O91" i="10"/>
  <c r="O92" i="10"/>
  <c r="O93" i="10"/>
  <c r="O94" i="10"/>
  <c r="O95" i="10"/>
  <c r="O96" i="10"/>
  <c r="O97" i="10"/>
  <c r="O98" i="10"/>
  <c r="O99" i="10"/>
  <c r="O100" i="10"/>
  <c r="O101" i="10"/>
  <c r="O102" i="10"/>
  <c r="O103" i="10"/>
  <c r="O104" i="10"/>
  <c r="O105" i="10"/>
  <c r="O106" i="10"/>
  <c r="O107" i="10"/>
  <c r="O108" i="10"/>
  <c r="O109" i="10"/>
  <c r="O110" i="10"/>
  <c r="O111" i="10"/>
  <c r="O112" i="10"/>
  <c r="O113" i="10"/>
  <c r="O114" i="10"/>
  <c r="O115" i="10"/>
  <c r="O116" i="10"/>
  <c r="O117" i="10"/>
  <c r="O118" i="10"/>
  <c r="O119" i="10"/>
  <c r="O120" i="10"/>
  <c r="O121" i="10"/>
  <c r="O122" i="10"/>
  <c r="O123" i="10"/>
  <c r="O124" i="10"/>
  <c r="O125" i="10"/>
  <c r="O126" i="10"/>
  <c r="O127" i="10"/>
  <c r="O128" i="10"/>
  <c r="O129" i="10"/>
  <c r="O130" i="10"/>
  <c r="O131" i="10"/>
  <c r="O132" i="10"/>
  <c r="O133" i="10"/>
  <c r="O134" i="10"/>
  <c r="O135" i="10"/>
  <c r="O136" i="10"/>
  <c r="O137" i="10"/>
  <c r="O138" i="10"/>
  <c r="O139" i="10"/>
  <c r="O140" i="10"/>
  <c r="O141" i="10"/>
  <c r="O142" i="10"/>
  <c r="O143" i="10"/>
  <c r="O144" i="10"/>
  <c r="O145" i="10"/>
  <c r="O146" i="10"/>
  <c r="O147" i="10"/>
  <c r="O148" i="10"/>
  <c r="O149" i="10"/>
  <c r="O150" i="10"/>
  <c r="O151" i="10"/>
  <c r="O152" i="10"/>
  <c r="O153" i="10"/>
  <c r="O154" i="10"/>
  <c r="O155" i="10"/>
  <c r="O156" i="10"/>
  <c r="O157" i="10"/>
  <c r="O158" i="10"/>
  <c r="O159" i="10"/>
  <c r="O160" i="10"/>
  <c r="O161" i="10"/>
  <c r="O162" i="10"/>
  <c r="O163" i="10"/>
  <c r="O164" i="10"/>
  <c r="O165" i="10"/>
  <c r="O166" i="10"/>
  <c r="O167" i="10"/>
  <c r="O168" i="10"/>
  <c r="O169" i="10"/>
  <c r="O170" i="10"/>
  <c r="O171" i="10"/>
  <c r="O172" i="10"/>
  <c r="O173" i="10"/>
  <c r="O174" i="10"/>
  <c r="O175" i="10"/>
  <c r="O176" i="10"/>
  <c r="O177" i="10"/>
  <c r="O178" i="10"/>
  <c r="O179" i="10"/>
  <c r="O180" i="10"/>
  <c r="O181" i="10"/>
  <c r="O182" i="10"/>
  <c r="O183" i="10"/>
  <c r="O184" i="10"/>
  <c r="O185" i="10"/>
  <c r="O186" i="10"/>
  <c r="O187" i="10"/>
  <c r="O188" i="10"/>
  <c r="O189" i="10"/>
  <c r="O190" i="10"/>
  <c r="O191" i="10"/>
  <c r="O192" i="10"/>
  <c r="O193" i="10"/>
  <c r="O194" i="10"/>
  <c r="O195" i="10"/>
  <c r="O196" i="10"/>
  <c r="O197" i="10"/>
  <c r="O198" i="10"/>
  <c r="O199" i="10"/>
  <c r="O200" i="10"/>
  <c r="O201" i="10"/>
  <c r="O202" i="10"/>
  <c r="O203" i="10"/>
  <c r="O204" i="10"/>
  <c r="O205" i="10"/>
  <c r="O206" i="10"/>
  <c r="O207" i="10"/>
  <c r="O208" i="10"/>
  <c r="O209" i="10"/>
  <c r="O210" i="10"/>
  <c r="O211" i="10"/>
  <c r="O212" i="10"/>
  <c r="O213" i="10"/>
  <c r="O214" i="10"/>
  <c r="O215" i="10"/>
  <c r="O216" i="10"/>
  <c r="O217" i="10"/>
  <c r="O218" i="10"/>
  <c r="O219" i="10"/>
  <c r="O220" i="10"/>
  <c r="O221" i="10"/>
  <c r="O222" i="10"/>
  <c r="O223" i="10"/>
  <c r="O224" i="10"/>
  <c r="O225" i="10"/>
  <c r="O226" i="10"/>
  <c r="O227" i="10"/>
  <c r="O228" i="10"/>
  <c r="O229" i="10"/>
  <c r="O230" i="10"/>
  <c r="O231" i="10"/>
  <c r="O232" i="10"/>
  <c r="O233" i="10"/>
  <c r="O234" i="10"/>
  <c r="O235" i="10"/>
  <c r="O236" i="10"/>
  <c r="O237" i="10"/>
  <c r="O238" i="10"/>
  <c r="O239" i="10"/>
  <c r="O240" i="10"/>
  <c r="O241" i="10"/>
  <c r="O242" i="10"/>
  <c r="O243" i="10"/>
  <c r="O244" i="10"/>
  <c r="O245" i="10"/>
  <c r="O246" i="10"/>
  <c r="O247" i="10"/>
  <c r="O248" i="10"/>
  <c r="O249" i="10"/>
  <c r="O250" i="10"/>
  <c r="O251" i="10"/>
  <c r="O252" i="10"/>
  <c r="O253" i="10"/>
  <c r="O254" i="10"/>
  <c r="O255" i="10"/>
  <c r="O256" i="10"/>
  <c r="O257" i="10"/>
  <c r="O258" i="10"/>
  <c r="O259" i="10"/>
  <c r="O260" i="10"/>
  <c r="O261" i="10"/>
  <c r="O262" i="10"/>
  <c r="O263" i="10"/>
  <c r="O264" i="10"/>
  <c r="O265" i="10"/>
  <c r="O266" i="10"/>
  <c r="O267" i="10"/>
  <c r="O268" i="10"/>
  <c r="O269" i="10"/>
  <c r="O270" i="10"/>
  <c r="O271" i="10"/>
  <c r="O272" i="10"/>
  <c r="O273" i="10"/>
  <c r="O274" i="10"/>
  <c r="O275" i="10"/>
  <c r="O276" i="10"/>
  <c r="O277" i="10"/>
  <c r="O278" i="10"/>
  <c r="O279" i="10"/>
  <c r="O280" i="10"/>
  <c r="O281" i="10"/>
  <c r="O282" i="10"/>
  <c r="O283" i="10"/>
  <c r="O284" i="10"/>
  <c r="O285" i="10"/>
  <c r="O286" i="10"/>
  <c r="O287" i="10"/>
  <c r="O288" i="10"/>
  <c r="O289" i="10"/>
  <c r="O290" i="10"/>
  <c r="O291" i="10"/>
  <c r="P291" i="10" s="1"/>
  <c r="O292" i="10"/>
  <c r="P292" i="10" s="1"/>
  <c r="O293" i="10"/>
  <c r="P293" i="10" s="1"/>
  <c r="N293" i="10"/>
  <c r="T16" i="10"/>
  <c r="T17" i="10"/>
  <c r="T18" i="10"/>
  <c r="T19" i="10"/>
  <c r="T20" i="10"/>
  <c r="T21" i="10"/>
  <c r="T22" i="10"/>
  <c r="T23" i="10"/>
  <c r="T24" i="10"/>
  <c r="T25" i="10"/>
  <c r="T26" i="10"/>
  <c r="T27" i="10"/>
  <c r="T28" i="10"/>
  <c r="T29" i="10"/>
  <c r="T30" i="10"/>
  <c r="T31" i="10"/>
  <c r="T32" i="10"/>
  <c r="T33" i="10"/>
  <c r="T34" i="10"/>
  <c r="T35" i="10"/>
  <c r="T36" i="10"/>
  <c r="T37" i="10"/>
  <c r="T38" i="10"/>
  <c r="T39" i="10"/>
  <c r="T40" i="10"/>
  <c r="T41" i="10"/>
  <c r="T42" i="10"/>
  <c r="T43" i="10"/>
  <c r="T44" i="10"/>
  <c r="T45" i="10"/>
  <c r="T46" i="10"/>
  <c r="T47" i="10"/>
  <c r="T48" i="10"/>
  <c r="T49" i="10"/>
  <c r="T50" i="10"/>
  <c r="T51" i="10"/>
  <c r="T52" i="10"/>
  <c r="T53" i="10"/>
  <c r="T54" i="10"/>
  <c r="T55" i="10"/>
  <c r="T56" i="10"/>
  <c r="T57" i="10"/>
  <c r="T58" i="10"/>
  <c r="T59" i="10"/>
  <c r="T60" i="10"/>
  <c r="T61" i="10"/>
  <c r="T62" i="10"/>
  <c r="T63" i="10"/>
  <c r="T64" i="10"/>
  <c r="T65" i="10"/>
  <c r="T66" i="10"/>
  <c r="T67" i="10"/>
  <c r="T68" i="10"/>
  <c r="T69" i="10"/>
  <c r="T70" i="10"/>
  <c r="T71" i="10"/>
  <c r="T72" i="10"/>
  <c r="T73" i="10"/>
  <c r="T74" i="10"/>
  <c r="T75" i="10"/>
  <c r="T76" i="10"/>
  <c r="T77" i="10"/>
  <c r="T78" i="10"/>
  <c r="T79" i="10"/>
  <c r="T80" i="10"/>
  <c r="T81" i="10"/>
  <c r="T82" i="10"/>
  <c r="T83" i="10"/>
  <c r="T84" i="10"/>
  <c r="T85" i="10"/>
  <c r="T86" i="10"/>
  <c r="T87" i="10"/>
  <c r="T88" i="10"/>
  <c r="T89" i="10"/>
  <c r="T90" i="10"/>
  <c r="T91" i="10"/>
  <c r="T92" i="10"/>
  <c r="T93" i="10"/>
  <c r="T94" i="10"/>
  <c r="T95" i="10"/>
  <c r="T96" i="10"/>
  <c r="T97" i="10"/>
  <c r="T98" i="10"/>
  <c r="T99" i="10"/>
  <c r="T100" i="10"/>
  <c r="T101" i="10"/>
  <c r="T102" i="10"/>
  <c r="T103" i="10"/>
  <c r="T104" i="10"/>
  <c r="T105" i="10"/>
  <c r="T106" i="10"/>
  <c r="T107" i="10"/>
  <c r="T108" i="10"/>
  <c r="T109" i="10"/>
  <c r="T110" i="10"/>
  <c r="T111" i="10"/>
  <c r="T112" i="10"/>
  <c r="T113" i="10"/>
  <c r="T114" i="10"/>
  <c r="T115" i="10"/>
  <c r="T116" i="10"/>
  <c r="T117" i="10"/>
  <c r="T118" i="10"/>
  <c r="T119" i="10"/>
  <c r="T120" i="10"/>
  <c r="T121" i="10"/>
  <c r="T122" i="10"/>
  <c r="T123" i="10"/>
  <c r="T124" i="10"/>
  <c r="T125" i="10"/>
  <c r="T126" i="10"/>
  <c r="T127" i="10"/>
  <c r="T128" i="10"/>
  <c r="T129" i="10"/>
  <c r="T130" i="10"/>
  <c r="T131" i="10"/>
  <c r="T132" i="10"/>
  <c r="T133" i="10"/>
  <c r="T134" i="10"/>
  <c r="T135" i="10"/>
  <c r="T136" i="10"/>
  <c r="T137" i="10"/>
  <c r="T138" i="10"/>
  <c r="T139" i="10"/>
  <c r="T140" i="10"/>
  <c r="T141" i="10"/>
  <c r="T142" i="10"/>
  <c r="T143" i="10"/>
  <c r="T144" i="10"/>
  <c r="T145" i="10"/>
  <c r="T146" i="10"/>
  <c r="T147" i="10"/>
  <c r="T148" i="10"/>
  <c r="T149" i="10"/>
  <c r="T150" i="10"/>
  <c r="T151" i="10"/>
  <c r="T152" i="10"/>
  <c r="T153" i="10"/>
  <c r="T154" i="10"/>
  <c r="T155" i="10"/>
  <c r="T156" i="10"/>
  <c r="T157" i="10"/>
  <c r="T158" i="10"/>
  <c r="T159" i="10"/>
  <c r="T160" i="10"/>
  <c r="T161" i="10"/>
  <c r="T162" i="10"/>
  <c r="T163" i="10"/>
  <c r="T164" i="10"/>
  <c r="T165" i="10"/>
  <c r="T166" i="10"/>
  <c r="T167" i="10"/>
  <c r="T168" i="10"/>
  <c r="T169" i="10"/>
  <c r="T170" i="10"/>
  <c r="T171" i="10"/>
  <c r="T172" i="10"/>
  <c r="T173" i="10"/>
  <c r="T174" i="10"/>
  <c r="T175" i="10"/>
  <c r="T176" i="10"/>
  <c r="T177" i="10"/>
  <c r="T178" i="10"/>
  <c r="T179" i="10"/>
  <c r="T180" i="10"/>
  <c r="T181" i="10"/>
  <c r="T182" i="10"/>
  <c r="T183" i="10"/>
  <c r="T184" i="10"/>
  <c r="T185" i="10"/>
  <c r="T186" i="10"/>
  <c r="T187" i="10"/>
  <c r="T188" i="10"/>
  <c r="T189" i="10"/>
  <c r="T190" i="10"/>
  <c r="T191" i="10"/>
  <c r="T192" i="10"/>
  <c r="T193" i="10"/>
  <c r="T194" i="10"/>
  <c r="T195" i="10"/>
  <c r="T196" i="10"/>
  <c r="T197" i="10"/>
  <c r="T198" i="10"/>
  <c r="T199" i="10"/>
  <c r="T200" i="10"/>
  <c r="T201" i="10"/>
  <c r="T202" i="10"/>
  <c r="T203" i="10"/>
  <c r="T204" i="10"/>
  <c r="T205" i="10"/>
  <c r="T206" i="10"/>
  <c r="T207" i="10"/>
  <c r="T208" i="10"/>
  <c r="T209" i="10"/>
  <c r="T210" i="10"/>
  <c r="T211" i="10"/>
  <c r="T212" i="10"/>
  <c r="T213" i="10"/>
  <c r="T214" i="10"/>
  <c r="T215" i="10"/>
  <c r="T216" i="10"/>
  <c r="T217" i="10"/>
  <c r="T218" i="10"/>
  <c r="T219" i="10"/>
  <c r="T220" i="10"/>
  <c r="T221" i="10"/>
  <c r="T222" i="10"/>
  <c r="T223" i="10"/>
  <c r="T224" i="10"/>
  <c r="T225" i="10"/>
  <c r="T226" i="10"/>
  <c r="T227" i="10"/>
  <c r="T228" i="10"/>
  <c r="T229" i="10"/>
  <c r="T230" i="10"/>
  <c r="T231" i="10"/>
  <c r="T232" i="10"/>
  <c r="T233" i="10"/>
  <c r="T234" i="10"/>
  <c r="T235" i="10"/>
  <c r="T236" i="10"/>
  <c r="T237" i="10"/>
  <c r="T238" i="10"/>
  <c r="T239" i="10"/>
  <c r="T240" i="10"/>
  <c r="T241" i="10"/>
  <c r="T242" i="10"/>
  <c r="T243" i="10"/>
  <c r="T244" i="10"/>
  <c r="T245" i="10"/>
  <c r="T246" i="10"/>
  <c r="T247" i="10"/>
  <c r="T248" i="10"/>
  <c r="T249" i="10"/>
  <c r="T250" i="10"/>
  <c r="T251" i="10"/>
  <c r="T252" i="10"/>
  <c r="T253" i="10"/>
  <c r="T254" i="10"/>
  <c r="T255" i="10"/>
  <c r="T256" i="10"/>
  <c r="T257" i="10"/>
  <c r="T258" i="10"/>
  <c r="T259" i="10"/>
  <c r="T260" i="10"/>
  <c r="T261" i="10"/>
  <c r="T262" i="10"/>
  <c r="T263" i="10"/>
  <c r="T264" i="10"/>
  <c r="T265" i="10"/>
  <c r="T266" i="10"/>
  <c r="T267" i="10"/>
  <c r="T268" i="10"/>
  <c r="T269" i="10"/>
  <c r="T270" i="10"/>
  <c r="T271" i="10"/>
  <c r="T272" i="10"/>
  <c r="T273" i="10"/>
  <c r="T274" i="10"/>
  <c r="T275" i="10"/>
  <c r="T276" i="10"/>
  <c r="T277" i="10"/>
  <c r="T278" i="10"/>
  <c r="T279" i="10"/>
  <c r="T280" i="10"/>
  <c r="T281" i="10"/>
  <c r="T282" i="10"/>
  <c r="T283" i="10"/>
  <c r="T284" i="10"/>
  <c r="T285" i="10"/>
  <c r="T286" i="10"/>
  <c r="T287" i="10"/>
  <c r="T288" i="10"/>
  <c r="T289" i="10"/>
  <c r="T290" i="10"/>
  <c r="T291" i="10"/>
  <c r="U291" i="10" s="1"/>
  <c r="T292" i="10"/>
  <c r="U292" i="10" s="1"/>
  <c r="Q16" i="10"/>
  <c r="Q17" i="10"/>
  <c r="Q18" i="10"/>
  <c r="Q19" i="10"/>
  <c r="Q20" i="10"/>
  <c r="Q21" i="10"/>
  <c r="Q22" i="10"/>
  <c r="Q23" i="10"/>
  <c r="Q24" i="10"/>
  <c r="Q25" i="10"/>
  <c r="Q26" i="10"/>
  <c r="Q27" i="10"/>
  <c r="Q28" i="10"/>
  <c r="Q29" i="10"/>
  <c r="Q30" i="10"/>
  <c r="Q31" i="10"/>
  <c r="Q32" i="10"/>
  <c r="Q33" i="10"/>
  <c r="Q34" i="10"/>
  <c r="Q35" i="10"/>
  <c r="Q36" i="10"/>
  <c r="Q37" i="10"/>
  <c r="Q38" i="10"/>
  <c r="Q39" i="10"/>
  <c r="Q40" i="10"/>
  <c r="Q41" i="10"/>
  <c r="Q42" i="10"/>
  <c r="Q43" i="10"/>
  <c r="Q44" i="10"/>
  <c r="Q45" i="10"/>
  <c r="Q46" i="10"/>
  <c r="Q47" i="10"/>
  <c r="Q48" i="10"/>
  <c r="Q49" i="10"/>
  <c r="Q50" i="10"/>
  <c r="Q51" i="10"/>
  <c r="Q52" i="10"/>
  <c r="Q53" i="10"/>
  <c r="Q54" i="10"/>
  <c r="Q55" i="10"/>
  <c r="Q56" i="10"/>
  <c r="Q57" i="10"/>
  <c r="Q58" i="10"/>
  <c r="Q59" i="10"/>
  <c r="Q60" i="10"/>
  <c r="Q61" i="10"/>
  <c r="Q62" i="10"/>
  <c r="Q63" i="10"/>
  <c r="Q64" i="10"/>
  <c r="Q65" i="10"/>
  <c r="Q66" i="10"/>
  <c r="Q67" i="10"/>
  <c r="Q68" i="10"/>
  <c r="Q69" i="10"/>
  <c r="Q70" i="10"/>
  <c r="Q71" i="10"/>
  <c r="Q72" i="10"/>
  <c r="Q73" i="10"/>
  <c r="Q74" i="10"/>
  <c r="Q75" i="10"/>
  <c r="Q76" i="10"/>
  <c r="Q77" i="10"/>
  <c r="Q78" i="10"/>
  <c r="Q79" i="10"/>
  <c r="Q80" i="10"/>
  <c r="Q81" i="10"/>
  <c r="Q82" i="10"/>
  <c r="Q83" i="10"/>
  <c r="Q84" i="10"/>
  <c r="Q85" i="10"/>
  <c r="Q86" i="10"/>
  <c r="Q87" i="10"/>
  <c r="Q88" i="10"/>
  <c r="Q89" i="10"/>
  <c r="Q90" i="10"/>
  <c r="Q91" i="10"/>
  <c r="Q92" i="10"/>
  <c r="Q93" i="10"/>
  <c r="Q94" i="10"/>
  <c r="Q95" i="10"/>
  <c r="Q96" i="10"/>
  <c r="Q97" i="10"/>
  <c r="Q98" i="10"/>
  <c r="Q99" i="10"/>
  <c r="Q100" i="10"/>
  <c r="Q101" i="10"/>
  <c r="Q102" i="10"/>
  <c r="Q103" i="10"/>
  <c r="Q104" i="10"/>
  <c r="Q105" i="10"/>
  <c r="Q106" i="10"/>
  <c r="Q107" i="10"/>
  <c r="Q108" i="10"/>
  <c r="Q109" i="10"/>
  <c r="Q110" i="10"/>
  <c r="Q111" i="10"/>
  <c r="Q112" i="10"/>
  <c r="Q113" i="10"/>
  <c r="Q114" i="10"/>
  <c r="Q115" i="10"/>
  <c r="Q116" i="10"/>
  <c r="Q117" i="10"/>
  <c r="Q118" i="10"/>
  <c r="Q119" i="10"/>
  <c r="Q120" i="10"/>
  <c r="Q121" i="10"/>
  <c r="Q122" i="10"/>
  <c r="Q123" i="10"/>
  <c r="Q124" i="10"/>
  <c r="Q125" i="10"/>
  <c r="Q126" i="10"/>
  <c r="Q127" i="10"/>
  <c r="Q128" i="10"/>
  <c r="Q129" i="10"/>
  <c r="Q130" i="10"/>
  <c r="Q131" i="10"/>
  <c r="Q132" i="10"/>
  <c r="Q133" i="10"/>
  <c r="Q134" i="10"/>
  <c r="Q135" i="10"/>
  <c r="Q136" i="10"/>
  <c r="Q137" i="10"/>
  <c r="Q138" i="10"/>
  <c r="Q139" i="10"/>
  <c r="Q140" i="10"/>
  <c r="Q141" i="10"/>
  <c r="Q142" i="10"/>
  <c r="Q143" i="10"/>
  <c r="Q144" i="10"/>
  <c r="Q145" i="10"/>
  <c r="Q146" i="10"/>
  <c r="Q147" i="10"/>
  <c r="Q148" i="10"/>
  <c r="Q149" i="10"/>
  <c r="Q150" i="10"/>
  <c r="Q151" i="10"/>
  <c r="Q152" i="10"/>
  <c r="Q153" i="10"/>
  <c r="Q154" i="10"/>
  <c r="Q155" i="10"/>
  <c r="Q156" i="10"/>
  <c r="Q157" i="10"/>
  <c r="Q158" i="10"/>
  <c r="Q159" i="10"/>
  <c r="Q160" i="10"/>
  <c r="Q161" i="10"/>
  <c r="Q162" i="10"/>
  <c r="Q163" i="10"/>
  <c r="Q164" i="10"/>
  <c r="Q165" i="10"/>
  <c r="Q166" i="10"/>
  <c r="Q167" i="10"/>
  <c r="Q168" i="10"/>
  <c r="Q169" i="10"/>
  <c r="Q170" i="10"/>
  <c r="Q171" i="10"/>
  <c r="Q172" i="10"/>
  <c r="Q173" i="10"/>
  <c r="Q174" i="10"/>
  <c r="Q175" i="10"/>
  <c r="Q176" i="10"/>
  <c r="Q177" i="10"/>
  <c r="Q178" i="10"/>
  <c r="Q179" i="10"/>
  <c r="Q180" i="10"/>
  <c r="Q181" i="10"/>
  <c r="Q182" i="10"/>
  <c r="Q183" i="10"/>
  <c r="Q184" i="10"/>
  <c r="Q185" i="10"/>
  <c r="Q186" i="10"/>
  <c r="Q187" i="10"/>
  <c r="Q188" i="10"/>
  <c r="Q189" i="10"/>
  <c r="Q190" i="10"/>
  <c r="Q191" i="10"/>
  <c r="Q192" i="10"/>
  <c r="Q193" i="10"/>
  <c r="Q194" i="10"/>
  <c r="Q195" i="10"/>
  <c r="Q196" i="10"/>
  <c r="Q197" i="10"/>
  <c r="Q198" i="10"/>
  <c r="Q199" i="10"/>
  <c r="Q200" i="10"/>
  <c r="Q201" i="10"/>
  <c r="Q202" i="10"/>
  <c r="Q203" i="10"/>
  <c r="Q204" i="10"/>
  <c r="Q205" i="10"/>
  <c r="Q206" i="10"/>
  <c r="Q207" i="10"/>
  <c r="Q208" i="10"/>
  <c r="Q209" i="10"/>
  <c r="Q210" i="10"/>
  <c r="Q211" i="10"/>
  <c r="Q212" i="10"/>
  <c r="Q213" i="10"/>
  <c r="Q214" i="10"/>
  <c r="Q215" i="10"/>
  <c r="Q216" i="10"/>
  <c r="Q217" i="10"/>
  <c r="Q218" i="10"/>
  <c r="Q219" i="10"/>
  <c r="Q220" i="10"/>
  <c r="Q221" i="10"/>
  <c r="Q222" i="10"/>
  <c r="Q223" i="10"/>
  <c r="Q224" i="10"/>
  <c r="Q225" i="10"/>
  <c r="Q226" i="10"/>
  <c r="Q227" i="10"/>
  <c r="Q228" i="10"/>
  <c r="Q229" i="10"/>
  <c r="Q230" i="10"/>
  <c r="Q231" i="10"/>
  <c r="Q232" i="10"/>
  <c r="Q233" i="10"/>
  <c r="Q234" i="10"/>
  <c r="Q235" i="10"/>
  <c r="Q236" i="10"/>
  <c r="Q237" i="10"/>
  <c r="Q238" i="10"/>
  <c r="Q239" i="10"/>
  <c r="Q240" i="10"/>
  <c r="Q241" i="10"/>
  <c r="Q242" i="10"/>
  <c r="Q243" i="10"/>
  <c r="Q244" i="10"/>
  <c r="Q245" i="10"/>
  <c r="Q246" i="10"/>
  <c r="Q247" i="10"/>
  <c r="Q248" i="10"/>
  <c r="Q249" i="10"/>
  <c r="Q250" i="10"/>
  <c r="Q251" i="10"/>
  <c r="Q252" i="10"/>
  <c r="Q253" i="10"/>
  <c r="Q254" i="10"/>
  <c r="Q255" i="10"/>
  <c r="Q256" i="10"/>
  <c r="Q257" i="10"/>
  <c r="Q258" i="10"/>
  <c r="Q259" i="10"/>
  <c r="Q260" i="10"/>
  <c r="Q261" i="10"/>
  <c r="Q262" i="10"/>
  <c r="Q263" i="10"/>
  <c r="Q264" i="10"/>
  <c r="Q265" i="10"/>
  <c r="Q266" i="10"/>
  <c r="Q267" i="10"/>
  <c r="Q268" i="10"/>
  <c r="Q269" i="10"/>
  <c r="Q270" i="10"/>
  <c r="Q271" i="10"/>
  <c r="Q272" i="10"/>
  <c r="Q273" i="10"/>
  <c r="Q274" i="10"/>
  <c r="Q275" i="10"/>
  <c r="Q276" i="10"/>
  <c r="Q277" i="10"/>
  <c r="Q278" i="10"/>
  <c r="Q279" i="10"/>
  <c r="Q280" i="10"/>
  <c r="Q281" i="10"/>
  <c r="Q282" i="10"/>
  <c r="Q283" i="10"/>
  <c r="Q284" i="10"/>
  <c r="Q285" i="10"/>
  <c r="Q286" i="10"/>
  <c r="Q287" i="10"/>
  <c r="Q288" i="10"/>
  <c r="Q289" i="10"/>
  <c r="Q290" i="10"/>
  <c r="Q291" i="10"/>
  <c r="Q292" i="10"/>
  <c r="R16" i="10"/>
  <c r="P16" i="10" s="1"/>
  <c r="R17" i="10"/>
  <c r="P17" i="10" s="1"/>
  <c r="R18" i="10"/>
  <c r="P18" i="10" s="1"/>
  <c r="R19" i="10"/>
  <c r="R20" i="10"/>
  <c r="P20" i="10" s="1"/>
  <c r="R21" i="10"/>
  <c r="P21" i="10" s="1"/>
  <c r="R22" i="10"/>
  <c r="P22" i="10" s="1"/>
  <c r="R23" i="10"/>
  <c r="R24" i="10"/>
  <c r="P24" i="10" s="1"/>
  <c r="R25" i="10"/>
  <c r="P25" i="10" s="1"/>
  <c r="R26" i="10"/>
  <c r="P26" i="10" s="1"/>
  <c r="R27" i="10"/>
  <c r="R28" i="10"/>
  <c r="P28" i="10" s="1"/>
  <c r="R29" i="10"/>
  <c r="P29" i="10" s="1"/>
  <c r="R30" i="10"/>
  <c r="P30" i="10" s="1"/>
  <c r="R31" i="10"/>
  <c r="R32" i="10"/>
  <c r="P32" i="10" s="1"/>
  <c r="R33" i="10"/>
  <c r="P33" i="10" s="1"/>
  <c r="R34" i="10"/>
  <c r="P34" i="10" s="1"/>
  <c r="R35" i="10"/>
  <c r="R36" i="10"/>
  <c r="P36" i="10" s="1"/>
  <c r="R37" i="10"/>
  <c r="P37" i="10" s="1"/>
  <c r="R38" i="10"/>
  <c r="P38" i="10" s="1"/>
  <c r="R39" i="10"/>
  <c r="R40" i="10"/>
  <c r="P40" i="10" s="1"/>
  <c r="R41" i="10"/>
  <c r="P41" i="10" s="1"/>
  <c r="R42" i="10"/>
  <c r="P42" i="10" s="1"/>
  <c r="R43" i="10"/>
  <c r="R44" i="10"/>
  <c r="P44" i="10" s="1"/>
  <c r="R45" i="10"/>
  <c r="P45" i="10" s="1"/>
  <c r="R46" i="10"/>
  <c r="P46" i="10" s="1"/>
  <c r="R47" i="10"/>
  <c r="R48" i="10"/>
  <c r="P48" i="10" s="1"/>
  <c r="R49" i="10"/>
  <c r="P49" i="10" s="1"/>
  <c r="R50" i="10"/>
  <c r="P50" i="10" s="1"/>
  <c r="R51" i="10"/>
  <c r="R52" i="10"/>
  <c r="P52" i="10" s="1"/>
  <c r="R53" i="10"/>
  <c r="P53" i="10" s="1"/>
  <c r="R54" i="10"/>
  <c r="P54" i="10" s="1"/>
  <c r="R55" i="10"/>
  <c r="R56" i="10"/>
  <c r="P56" i="10" s="1"/>
  <c r="R57" i="10"/>
  <c r="P57" i="10" s="1"/>
  <c r="R58" i="10"/>
  <c r="P58" i="10" s="1"/>
  <c r="R59" i="10"/>
  <c r="R60" i="10"/>
  <c r="P60" i="10" s="1"/>
  <c r="R61" i="10"/>
  <c r="P61" i="10" s="1"/>
  <c r="R62" i="10"/>
  <c r="P62" i="10" s="1"/>
  <c r="R63" i="10"/>
  <c r="R64" i="10"/>
  <c r="P64" i="10" s="1"/>
  <c r="R65" i="10"/>
  <c r="P65" i="10" s="1"/>
  <c r="R66" i="10"/>
  <c r="P66" i="10" s="1"/>
  <c r="R67" i="10"/>
  <c r="R68" i="10"/>
  <c r="P68" i="10" s="1"/>
  <c r="R69" i="10"/>
  <c r="P69" i="10" s="1"/>
  <c r="R70" i="10"/>
  <c r="P70" i="10" s="1"/>
  <c r="R71" i="10"/>
  <c r="R72" i="10"/>
  <c r="P72" i="10" s="1"/>
  <c r="R73" i="10"/>
  <c r="P73" i="10" s="1"/>
  <c r="R74" i="10"/>
  <c r="P74" i="10" s="1"/>
  <c r="R75" i="10"/>
  <c r="R76" i="10"/>
  <c r="P76" i="10" s="1"/>
  <c r="R77" i="10"/>
  <c r="P77" i="10" s="1"/>
  <c r="R78" i="10"/>
  <c r="P78" i="10" s="1"/>
  <c r="R79" i="10"/>
  <c r="R80" i="10"/>
  <c r="P80" i="10" s="1"/>
  <c r="R81" i="10"/>
  <c r="P81" i="10" s="1"/>
  <c r="R82" i="10"/>
  <c r="P82" i="10" s="1"/>
  <c r="R83" i="10"/>
  <c r="R84" i="10"/>
  <c r="P84" i="10" s="1"/>
  <c r="R85" i="10"/>
  <c r="P85" i="10" s="1"/>
  <c r="R86" i="10"/>
  <c r="P86" i="10" s="1"/>
  <c r="R87" i="10"/>
  <c r="R88" i="10"/>
  <c r="P88" i="10" s="1"/>
  <c r="R89" i="10"/>
  <c r="P89" i="10" s="1"/>
  <c r="R90" i="10"/>
  <c r="P90" i="10" s="1"/>
  <c r="R91" i="10"/>
  <c r="R92" i="10"/>
  <c r="P92" i="10" s="1"/>
  <c r="R93" i="10"/>
  <c r="P93" i="10" s="1"/>
  <c r="R94" i="10"/>
  <c r="P94" i="10" s="1"/>
  <c r="R95" i="10"/>
  <c r="R96" i="10"/>
  <c r="P96" i="10" s="1"/>
  <c r="R97" i="10"/>
  <c r="P97" i="10" s="1"/>
  <c r="R98" i="10"/>
  <c r="P98" i="10" s="1"/>
  <c r="R99" i="10"/>
  <c r="R100" i="10"/>
  <c r="P100" i="10" s="1"/>
  <c r="R101" i="10"/>
  <c r="P101" i="10" s="1"/>
  <c r="R102" i="10"/>
  <c r="P102" i="10" s="1"/>
  <c r="R103" i="10"/>
  <c r="R104" i="10"/>
  <c r="P104" i="10" s="1"/>
  <c r="R105" i="10"/>
  <c r="P105" i="10" s="1"/>
  <c r="R106" i="10"/>
  <c r="P106" i="10" s="1"/>
  <c r="R107" i="10"/>
  <c r="R108" i="10"/>
  <c r="P108" i="10" s="1"/>
  <c r="R109" i="10"/>
  <c r="P109" i="10" s="1"/>
  <c r="R110" i="10"/>
  <c r="P110" i="10" s="1"/>
  <c r="R111" i="10"/>
  <c r="R112" i="10"/>
  <c r="P112" i="10" s="1"/>
  <c r="R113" i="10"/>
  <c r="P113" i="10" s="1"/>
  <c r="R114" i="10"/>
  <c r="P114" i="10" s="1"/>
  <c r="R115" i="10"/>
  <c r="R116" i="10"/>
  <c r="P116" i="10" s="1"/>
  <c r="R117" i="10"/>
  <c r="P117" i="10" s="1"/>
  <c r="R118" i="10"/>
  <c r="P118" i="10" s="1"/>
  <c r="R119" i="10"/>
  <c r="R120" i="10"/>
  <c r="P120" i="10" s="1"/>
  <c r="R121" i="10"/>
  <c r="P121" i="10" s="1"/>
  <c r="R122" i="10"/>
  <c r="P122" i="10" s="1"/>
  <c r="R123" i="10"/>
  <c r="R124" i="10"/>
  <c r="P124" i="10" s="1"/>
  <c r="R125" i="10"/>
  <c r="P125" i="10" s="1"/>
  <c r="R126" i="10"/>
  <c r="P126" i="10" s="1"/>
  <c r="R127" i="10"/>
  <c r="R128" i="10"/>
  <c r="P128" i="10" s="1"/>
  <c r="R129" i="10"/>
  <c r="P129" i="10" s="1"/>
  <c r="R130" i="10"/>
  <c r="P130" i="10" s="1"/>
  <c r="R131" i="10"/>
  <c r="R132" i="10"/>
  <c r="P132" i="10" s="1"/>
  <c r="R133" i="10"/>
  <c r="P133" i="10" s="1"/>
  <c r="R134" i="10"/>
  <c r="P134" i="10" s="1"/>
  <c r="R135" i="10"/>
  <c r="R136" i="10"/>
  <c r="P136" i="10" s="1"/>
  <c r="R137" i="10"/>
  <c r="P137" i="10" s="1"/>
  <c r="R138" i="10"/>
  <c r="P138" i="10" s="1"/>
  <c r="R139" i="10"/>
  <c r="R140" i="10"/>
  <c r="P140" i="10" s="1"/>
  <c r="R141" i="10"/>
  <c r="P141" i="10" s="1"/>
  <c r="R142" i="10"/>
  <c r="P142" i="10" s="1"/>
  <c r="R143" i="10"/>
  <c r="R144" i="10"/>
  <c r="P144" i="10" s="1"/>
  <c r="R145" i="10"/>
  <c r="P145" i="10" s="1"/>
  <c r="R146" i="10"/>
  <c r="P146" i="10" s="1"/>
  <c r="R147" i="10"/>
  <c r="R148" i="10"/>
  <c r="P148" i="10" s="1"/>
  <c r="R149" i="10"/>
  <c r="P149" i="10" s="1"/>
  <c r="R150" i="10"/>
  <c r="P150" i="10" s="1"/>
  <c r="R151" i="10"/>
  <c r="R152" i="10"/>
  <c r="P152" i="10" s="1"/>
  <c r="R153" i="10"/>
  <c r="P153" i="10" s="1"/>
  <c r="R154" i="10"/>
  <c r="P154" i="10" s="1"/>
  <c r="R155" i="10"/>
  <c r="R156" i="10"/>
  <c r="P156" i="10" s="1"/>
  <c r="R157" i="10"/>
  <c r="P157" i="10" s="1"/>
  <c r="R158" i="10"/>
  <c r="P158" i="10" s="1"/>
  <c r="R159" i="10"/>
  <c r="R160" i="10"/>
  <c r="P160" i="10" s="1"/>
  <c r="R161" i="10"/>
  <c r="P161" i="10" s="1"/>
  <c r="R162" i="10"/>
  <c r="P162" i="10" s="1"/>
  <c r="R163" i="10"/>
  <c r="R164" i="10"/>
  <c r="P164" i="10" s="1"/>
  <c r="R165" i="10"/>
  <c r="P165" i="10" s="1"/>
  <c r="R166" i="10"/>
  <c r="P166" i="10" s="1"/>
  <c r="R167" i="10"/>
  <c r="R168" i="10"/>
  <c r="P168" i="10" s="1"/>
  <c r="R169" i="10"/>
  <c r="P169" i="10" s="1"/>
  <c r="R170" i="10"/>
  <c r="P170" i="10" s="1"/>
  <c r="R171" i="10"/>
  <c r="R172" i="10"/>
  <c r="P172" i="10" s="1"/>
  <c r="R173" i="10"/>
  <c r="P173" i="10" s="1"/>
  <c r="R174" i="10"/>
  <c r="P174" i="10" s="1"/>
  <c r="R175" i="10"/>
  <c r="R176" i="10"/>
  <c r="P176" i="10" s="1"/>
  <c r="R177" i="10"/>
  <c r="P177" i="10" s="1"/>
  <c r="R178" i="10"/>
  <c r="P178" i="10" s="1"/>
  <c r="R179" i="10"/>
  <c r="R180" i="10"/>
  <c r="P180" i="10" s="1"/>
  <c r="R181" i="10"/>
  <c r="P181" i="10" s="1"/>
  <c r="R182" i="10"/>
  <c r="P182" i="10" s="1"/>
  <c r="R183" i="10"/>
  <c r="R184" i="10"/>
  <c r="P184" i="10" s="1"/>
  <c r="R185" i="10"/>
  <c r="P185" i="10" s="1"/>
  <c r="R186" i="10"/>
  <c r="P186" i="10" s="1"/>
  <c r="R187" i="10"/>
  <c r="R188" i="10"/>
  <c r="P188" i="10" s="1"/>
  <c r="R189" i="10"/>
  <c r="P189" i="10" s="1"/>
  <c r="R190" i="10"/>
  <c r="P190" i="10" s="1"/>
  <c r="R191" i="10"/>
  <c r="R192" i="10"/>
  <c r="P192" i="10" s="1"/>
  <c r="R193" i="10"/>
  <c r="P193" i="10" s="1"/>
  <c r="R194" i="10"/>
  <c r="P194" i="10" s="1"/>
  <c r="R195" i="10"/>
  <c r="R196" i="10"/>
  <c r="P196" i="10" s="1"/>
  <c r="R197" i="10"/>
  <c r="P197" i="10" s="1"/>
  <c r="R198" i="10"/>
  <c r="P198" i="10" s="1"/>
  <c r="R199" i="10"/>
  <c r="R200" i="10"/>
  <c r="P200" i="10" s="1"/>
  <c r="R201" i="10"/>
  <c r="P201" i="10" s="1"/>
  <c r="R202" i="10"/>
  <c r="P202" i="10" s="1"/>
  <c r="R203" i="10"/>
  <c r="R204" i="10"/>
  <c r="P204" i="10" s="1"/>
  <c r="R205" i="10"/>
  <c r="P205" i="10" s="1"/>
  <c r="R206" i="10"/>
  <c r="P206" i="10" s="1"/>
  <c r="R207" i="10"/>
  <c r="R208" i="10"/>
  <c r="P208" i="10" s="1"/>
  <c r="R209" i="10"/>
  <c r="P209" i="10" s="1"/>
  <c r="R210" i="10"/>
  <c r="P210" i="10" s="1"/>
  <c r="R211" i="10"/>
  <c r="R212" i="10"/>
  <c r="P212" i="10" s="1"/>
  <c r="R213" i="10"/>
  <c r="P213" i="10" s="1"/>
  <c r="R214" i="10"/>
  <c r="P214" i="10" s="1"/>
  <c r="R215" i="10"/>
  <c r="R216" i="10"/>
  <c r="P216" i="10" s="1"/>
  <c r="R217" i="10"/>
  <c r="P217" i="10" s="1"/>
  <c r="R218" i="10"/>
  <c r="P218" i="10" s="1"/>
  <c r="R219" i="10"/>
  <c r="R220" i="10"/>
  <c r="P220" i="10" s="1"/>
  <c r="R221" i="10"/>
  <c r="P221" i="10" s="1"/>
  <c r="R222" i="10"/>
  <c r="P222" i="10" s="1"/>
  <c r="R223" i="10"/>
  <c r="R224" i="10"/>
  <c r="P224" i="10" s="1"/>
  <c r="R225" i="10"/>
  <c r="P225" i="10" s="1"/>
  <c r="R226" i="10"/>
  <c r="P226" i="10" s="1"/>
  <c r="R227" i="10"/>
  <c r="R228" i="10"/>
  <c r="P228" i="10" s="1"/>
  <c r="R229" i="10"/>
  <c r="P229" i="10" s="1"/>
  <c r="R230" i="10"/>
  <c r="P230" i="10" s="1"/>
  <c r="R231" i="10"/>
  <c r="R232" i="10"/>
  <c r="P232" i="10" s="1"/>
  <c r="R233" i="10"/>
  <c r="P233" i="10" s="1"/>
  <c r="R234" i="10"/>
  <c r="P234" i="10" s="1"/>
  <c r="R235" i="10"/>
  <c r="R236" i="10"/>
  <c r="P236" i="10" s="1"/>
  <c r="R237" i="10"/>
  <c r="P237" i="10" s="1"/>
  <c r="R238" i="10"/>
  <c r="P238" i="10" s="1"/>
  <c r="R239" i="10"/>
  <c r="R240" i="10"/>
  <c r="P240" i="10" s="1"/>
  <c r="R241" i="10"/>
  <c r="P241" i="10" s="1"/>
  <c r="R242" i="10"/>
  <c r="P242" i="10" s="1"/>
  <c r="R243" i="10"/>
  <c r="R244" i="10"/>
  <c r="P244" i="10" s="1"/>
  <c r="R245" i="10"/>
  <c r="P245" i="10" s="1"/>
  <c r="R246" i="10"/>
  <c r="P246" i="10" s="1"/>
  <c r="R247" i="10"/>
  <c r="R248" i="10"/>
  <c r="P248" i="10" s="1"/>
  <c r="R249" i="10"/>
  <c r="P249" i="10" s="1"/>
  <c r="R250" i="10"/>
  <c r="P250" i="10" s="1"/>
  <c r="R251" i="10"/>
  <c r="R252" i="10"/>
  <c r="P252" i="10" s="1"/>
  <c r="R253" i="10"/>
  <c r="P253" i="10" s="1"/>
  <c r="R254" i="10"/>
  <c r="P254" i="10" s="1"/>
  <c r="R255" i="10"/>
  <c r="R256" i="10"/>
  <c r="P256" i="10" s="1"/>
  <c r="R257" i="10"/>
  <c r="P257" i="10" s="1"/>
  <c r="R258" i="10"/>
  <c r="P258" i="10" s="1"/>
  <c r="R259" i="10"/>
  <c r="R260" i="10"/>
  <c r="P260" i="10" s="1"/>
  <c r="R261" i="10"/>
  <c r="P261" i="10" s="1"/>
  <c r="R262" i="10"/>
  <c r="P262" i="10" s="1"/>
  <c r="R263" i="10"/>
  <c r="R264" i="10"/>
  <c r="P264" i="10" s="1"/>
  <c r="R265" i="10"/>
  <c r="P265" i="10" s="1"/>
  <c r="R266" i="10"/>
  <c r="P266" i="10" s="1"/>
  <c r="R267" i="10"/>
  <c r="R268" i="10"/>
  <c r="P268" i="10" s="1"/>
  <c r="R269" i="10"/>
  <c r="P269" i="10" s="1"/>
  <c r="R270" i="10"/>
  <c r="P270" i="10" s="1"/>
  <c r="R271" i="10"/>
  <c r="R272" i="10"/>
  <c r="P272" i="10" s="1"/>
  <c r="R273" i="10"/>
  <c r="P273" i="10" s="1"/>
  <c r="R274" i="10"/>
  <c r="P274" i="10" s="1"/>
  <c r="R275" i="10"/>
  <c r="R276" i="10"/>
  <c r="P276" i="10" s="1"/>
  <c r="R277" i="10"/>
  <c r="P277" i="10" s="1"/>
  <c r="R278" i="10"/>
  <c r="P278" i="10" s="1"/>
  <c r="R279" i="10"/>
  <c r="R280" i="10"/>
  <c r="P280" i="10" s="1"/>
  <c r="R281" i="10"/>
  <c r="P281" i="10" s="1"/>
  <c r="R282" i="10"/>
  <c r="P282" i="10" s="1"/>
  <c r="R283" i="10"/>
  <c r="R284" i="10"/>
  <c r="P284" i="10" s="1"/>
  <c r="R285" i="10"/>
  <c r="P285" i="10" s="1"/>
  <c r="R286" i="10"/>
  <c r="P286" i="10" s="1"/>
  <c r="R287" i="10"/>
  <c r="R288" i="10"/>
  <c r="P288" i="10" s="1"/>
  <c r="R289" i="10"/>
  <c r="P289" i="10" s="1"/>
  <c r="R290" i="10"/>
  <c r="P290" i="10" s="1"/>
  <c r="C23" i="225"/>
  <c r="C24" i="225"/>
  <c r="C15" i="225"/>
  <c r="C17" i="225"/>
  <c r="C13" i="225"/>
  <c r="C22" i="225"/>
  <c r="C14" i="225"/>
  <c r="C19" i="225"/>
  <c r="C16" i="225"/>
  <c r="C18" i="225"/>
  <c r="C20" i="225"/>
  <c r="C12" i="225"/>
  <c r="N291" i="10" l="1"/>
  <c r="N287" i="10"/>
  <c r="N283" i="10"/>
  <c r="N279" i="10"/>
  <c r="N275" i="10"/>
  <c r="N271" i="10"/>
  <c r="N267" i="10"/>
  <c r="N263" i="10"/>
  <c r="N259" i="10"/>
  <c r="N255" i="10"/>
  <c r="N251" i="10"/>
  <c r="N247" i="10"/>
  <c r="N243" i="10"/>
  <c r="N239" i="10"/>
  <c r="N235" i="10"/>
  <c r="N231" i="10"/>
  <c r="N227" i="10"/>
  <c r="N223" i="10"/>
  <c r="N219" i="10"/>
  <c r="N215" i="10"/>
  <c r="N211" i="10"/>
  <c r="N207" i="10"/>
  <c r="N203" i="10"/>
  <c r="N199" i="10"/>
  <c r="N195" i="10"/>
  <c r="N191" i="10"/>
  <c r="N187" i="10"/>
  <c r="N183" i="10"/>
  <c r="N179" i="10"/>
  <c r="N175" i="10"/>
  <c r="N171" i="10"/>
  <c r="N167" i="10"/>
  <c r="N163" i="10"/>
  <c r="N159" i="10"/>
  <c r="N155" i="10"/>
  <c r="N151" i="10"/>
  <c r="N147" i="10"/>
  <c r="N143" i="10"/>
  <c r="N139" i="10"/>
  <c r="N135" i="10"/>
  <c r="N131" i="10"/>
  <c r="N127" i="10"/>
  <c r="N123" i="10"/>
  <c r="N119" i="10"/>
  <c r="N115" i="10"/>
  <c r="N111" i="10"/>
  <c r="N107" i="10"/>
  <c r="N257" i="10"/>
  <c r="N253" i="10"/>
  <c r="N249" i="10"/>
  <c r="N245" i="10"/>
  <c r="N241" i="10"/>
  <c r="N237" i="10"/>
  <c r="N233" i="10"/>
  <c r="N229" i="10"/>
  <c r="N225" i="10"/>
  <c r="N221" i="10"/>
  <c r="N217" i="10"/>
  <c r="N213" i="10"/>
  <c r="N209" i="10"/>
  <c r="N205" i="10"/>
  <c r="N201" i="10"/>
  <c r="N197" i="10"/>
  <c r="N193" i="10"/>
  <c r="N189" i="10"/>
  <c r="N185" i="10"/>
  <c r="N181" i="10"/>
  <c r="N177" i="10"/>
  <c r="N173" i="10"/>
  <c r="N169" i="10"/>
  <c r="N165" i="10"/>
  <c r="N161" i="10"/>
  <c r="N157" i="10"/>
  <c r="N153" i="10"/>
  <c r="N149" i="10"/>
  <c r="N145" i="10"/>
  <c r="N103" i="10"/>
  <c r="P283" i="10"/>
  <c r="P275" i="10"/>
  <c r="P267" i="10"/>
  <c r="P259" i="10"/>
  <c r="P251" i="10"/>
  <c r="P247" i="10"/>
  <c r="P239" i="10"/>
  <c r="P235" i="10"/>
  <c r="P231" i="10"/>
  <c r="P227" i="10"/>
  <c r="P223" i="10"/>
  <c r="P219" i="10"/>
  <c r="P215" i="10"/>
  <c r="P211" i="10"/>
  <c r="P207" i="10"/>
  <c r="P203" i="10"/>
  <c r="P199" i="10"/>
  <c r="P195" i="10"/>
  <c r="P191" i="10"/>
  <c r="P187" i="10"/>
  <c r="P183" i="10"/>
  <c r="P179" i="10"/>
  <c r="P175" i="10"/>
  <c r="P171" i="10"/>
  <c r="P167" i="10"/>
  <c r="P163" i="10"/>
  <c r="P159" i="10"/>
  <c r="P155" i="10"/>
  <c r="P151" i="10"/>
  <c r="P147" i="10"/>
  <c r="P143" i="10"/>
  <c r="P139" i="10"/>
  <c r="P135" i="10"/>
  <c r="P51" i="10"/>
  <c r="P287" i="10"/>
  <c r="P279" i="10"/>
  <c r="P271" i="10"/>
  <c r="P263" i="10"/>
  <c r="P255" i="10"/>
  <c r="P243" i="10"/>
  <c r="N206" i="10"/>
  <c r="N190" i="10"/>
  <c r="N288" i="10"/>
  <c r="N284" i="10"/>
  <c r="N280" i="10"/>
  <c r="N276" i="10"/>
  <c r="N272" i="10"/>
  <c r="N268" i="10"/>
  <c r="N264" i="10"/>
  <c r="N260" i="10"/>
  <c r="P131" i="10"/>
  <c r="P127" i="10"/>
  <c r="P123" i="10"/>
  <c r="P119" i="10"/>
  <c r="P115" i="10"/>
  <c r="P111" i="10"/>
  <c r="P107" i="10"/>
  <c r="P103" i="10"/>
  <c r="P99" i="10"/>
  <c r="P95" i="10"/>
  <c r="P91" i="10"/>
  <c r="P87" i="10"/>
  <c r="P83" i="10"/>
  <c r="P79" i="10"/>
  <c r="P75" i="10"/>
  <c r="P71" i="10"/>
  <c r="P67" i="10"/>
  <c r="P63" i="10"/>
  <c r="P59" i="10"/>
  <c r="P55" i="10"/>
  <c r="P47" i="10"/>
  <c r="P39" i="10"/>
  <c r="P31" i="10"/>
  <c r="P23" i="10"/>
  <c r="P19" i="10"/>
  <c r="P43" i="10"/>
  <c r="P35" i="10"/>
  <c r="P27" i="10"/>
  <c r="N286" i="10"/>
  <c r="N270" i="10"/>
  <c r="N254" i="10"/>
  <c r="N238" i="10"/>
  <c r="N222" i="10"/>
  <c r="N174" i="10"/>
  <c r="N158" i="10"/>
  <c r="N289" i="10"/>
  <c r="N285" i="10"/>
  <c r="N281" i="10"/>
  <c r="N277" i="10"/>
  <c r="N273" i="10"/>
  <c r="N269" i="10"/>
  <c r="N265" i="10"/>
  <c r="N261" i="10"/>
  <c r="N256" i="10"/>
  <c r="N252" i="10"/>
  <c r="N248" i="10"/>
  <c r="N244" i="10"/>
  <c r="N240" i="10"/>
  <c r="N236" i="10"/>
  <c r="N232" i="10"/>
  <c r="N228" i="10"/>
  <c r="N224" i="10"/>
  <c r="N220" i="10"/>
  <c r="N216" i="10"/>
  <c r="N212" i="10"/>
  <c r="N208" i="10"/>
  <c r="N204" i="10"/>
  <c r="N200" i="10"/>
  <c r="N196" i="10"/>
  <c r="N192" i="10"/>
  <c r="N188" i="10"/>
  <c r="N184" i="10"/>
  <c r="N180" i="10"/>
  <c r="N176" i="10"/>
  <c r="N172" i="10"/>
  <c r="N168" i="10"/>
  <c r="N164" i="10"/>
  <c r="N160" i="10"/>
  <c r="N156" i="10"/>
  <c r="N152" i="10"/>
  <c r="N148" i="10"/>
  <c r="N144" i="10"/>
  <c r="N140" i="10"/>
  <c r="N136" i="10"/>
  <c r="N132" i="10"/>
  <c r="N128" i="10"/>
  <c r="N124" i="10"/>
  <c r="N120" i="10"/>
  <c r="N116" i="10"/>
  <c r="N112" i="10"/>
  <c r="N108" i="10"/>
  <c r="N104" i="10"/>
  <c r="N100" i="10"/>
  <c r="N96" i="10"/>
  <c r="N92" i="10"/>
  <c r="N88" i="10"/>
  <c r="N84" i="10"/>
  <c r="N80" i="10"/>
  <c r="N76" i="10"/>
  <c r="N72" i="10"/>
  <c r="N68" i="10"/>
  <c r="N64" i="10"/>
  <c r="N99" i="10"/>
  <c r="N95" i="10"/>
  <c r="N91" i="10"/>
  <c r="N87" i="10"/>
  <c r="N83" i="10"/>
  <c r="N79" i="10"/>
  <c r="N75" i="10"/>
  <c r="N71" i="10"/>
  <c r="N67" i="10"/>
  <c r="N63" i="10"/>
  <c r="N59" i="10"/>
  <c r="N55" i="10"/>
  <c r="N51" i="10"/>
  <c r="N47" i="10"/>
  <c r="N43" i="10"/>
  <c r="N39" i="10"/>
  <c r="N35" i="10"/>
  <c r="N31" i="10"/>
  <c r="N27" i="10"/>
  <c r="N23" i="10"/>
  <c r="N19" i="10"/>
  <c r="N60" i="10"/>
  <c r="N56" i="10"/>
  <c r="N52" i="10"/>
  <c r="N48" i="10"/>
  <c r="N44" i="10"/>
  <c r="N40" i="10"/>
  <c r="N36" i="10"/>
  <c r="N32" i="10"/>
  <c r="N28" i="10"/>
  <c r="N24" i="10"/>
  <c r="N20" i="10"/>
  <c r="N16" i="10"/>
  <c r="N142" i="10"/>
  <c r="N141" i="10"/>
  <c r="N137" i="10"/>
  <c r="N138" i="10"/>
  <c r="N134" i="10"/>
  <c r="N133" i="10"/>
  <c r="N130" i="10"/>
  <c r="N129" i="10"/>
  <c r="N125" i="10"/>
  <c r="N126" i="10"/>
  <c r="N122" i="10"/>
  <c r="N121" i="10"/>
  <c r="N117" i="10"/>
  <c r="N118" i="10"/>
  <c r="N114" i="10"/>
  <c r="N113" i="10"/>
  <c r="N109" i="10"/>
  <c r="N110" i="10"/>
  <c r="N106" i="10"/>
  <c r="N105" i="10"/>
  <c r="N102" i="10"/>
  <c r="N101" i="10"/>
  <c r="N97" i="10"/>
  <c r="N98" i="10"/>
  <c r="N94" i="10"/>
  <c r="N93" i="10"/>
  <c r="N90" i="10"/>
  <c r="N89" i="10"/>
  <c r="N86" i="10"/>
  <c r="N85" i="10"/>
  <c r="N81" i="10"/>
  <c r="N82" i="10"/>
  <c r="N78" i="10"/>
  <c r="N77" i="10"/>
  <c r="N74" i="10"/>
  <c r="N73" i="10"/>
  <c r="N69" i="10"/>
  <c r="N70" i="10"/>
  <c r="N66" i="10"/>
  <c r="N65" i="10"/>
  <c r="N62" i="10"/>
  <c r="N61" i="10"/>
  <c r="N57" i="10"/>
  <c r="N58" i="10"/>
  <c r="N54" i="10"/>
  <c r="N53" i="10"/>
  <c r="N49" i="10"/>
  <c r="N50" i="10"/>
  <c r="N46" i="10"/>
  <c r="N45" i="10"/>
  <c r="N42" i="10"/>
  <c r="N41" i="10"/>
  <c r="N37" i="10"/>
  <c r="N38" i="10"/>
  <c r="N33" i="10"/>
  <c r="N34" i="10"/>
  <c r="N30" i="10"/>
  <c r="N29" i="10"/>
  <c r="N26" i="10"/>
  <c r="N25" i="10"/>
  <c r="N22" i="10"/>
  <c r="N21" i="10"/>
  <c r="N17" i="10"/>
  <c r="N18" i="10"/>
  <c r="N282" i="10"/>
  <c r="N266" i="10"/>
  <c r="N250" i="10"/>
  <c r="N234" i="10"/>
  <c r="N218" i="10"/>
  <c r="N202" i="10"/>
  <c r="N186" i="10"/>
  <c r="N170" i="10"/>
  <c r="N154" i="10"/>
  <c r="N278" i="10"/>
  <c r="N262" i="10"/>
  <c r="N246" i="10"/>
  <c r="N230" i="10"/>
  <c r="N214" i="10"/>
  <c r="N198" i="10"/>
  <c r="N182" i="10"/>
  <c r="N166" i="10"/>
  <c r="N150" i="10"/>
  <c r="N290" i="10"/>
  <c r="N274" i="10"/>
  <c r="N258" i="10"/>
  <c r="N242" i="10"/>
  <c r="N226" i="10"/>
  <c r="N210" i="10"/>
  <c r="N194" i="10"/>
  <c r="N178" i="10"/>
  <c r="N162" i="10"/>
  <c r="N146" i="10"/>
  <c r="N292" i="10"/>
  <c r="U289" i="10"/>
  <c r="U285" i="10"/>
  <c r="U281" i="10"/>
  <c r="U277" i="10"/>
  <c r="U273" i="10"/>
  <c r="U269" i="10"/>
  <c r="U265" i="10"/>
  <c r="U261" i="10"/>
  <c r="U257" i="10"/>
  <c r="U253" i="10"/>
  <c r="U249" i="10"/>
  <c r="U245" i="10"/>
  <c r="U241" i="10"/>
  <c r="U237" i="10"/>
  <c r="U233" i="10"/>
  <c r="U229" i="10"/>
  <c r="U225" i="10"/>
  <c r="U221" i="10"/>
  <c r="U217" i="10"/>
  <c r="U213" i="10"/>
  <c r="U209" i="10"/>
  <c r="U205" i="10"/>
  <c r="U201" i="10"/>
  <c r="U197" i="10"/>
  <c r="U193" i="10"/>
  <c r="U189" i="10"/>
  <c r="U185" i="10"/>
  <c r="U181" i="10"/>
  <c r="U177" i="10"/>
  <c r="U173" i="10"/>
  <c r="U169" i="10"/>
  <c r="U165" i="10"/>
  <c r="U161" i="10"/>
  <c r="U157" i="10"/>
  <c r="U153" i="10"/>
  <c r="U149" i="10"/>
  <c r="U145" i="10"/>
  <c r="U141" i="10"/>
  <c r="U137" i="10"/>
  <c r="U133" i="10"/>
  <c r="U129" i="10"/>
  <c r="U125" i="10"/>
  <c r="U121" i="10"/>
  <c r="U117" i="10"/>
  <c r="U113" i="10"/>
  <c r="U109" i="10"/>
  <c r="U105" i="10"/>
  <c r="U101" i="10"/>
  <c r="U97" i="10"/>
  <c r="U93" i="10"/>
  <c r="U89" i="10"/>
  <c r="U85" i="10"/>
  <c r="U81" i="10"/>
  <c r="U77" i="10"/>
  <c r="U73" i="10"/>
  <c r="U69" i="10"/>
  <c r="U65" i="10"/>
  <c r="U61" i="10"/>
  <c r="U57" i="10"/>
  <c r="U53" i="10"/>
  <c r="U49" i="10"/>
  <c r="U45" i="10"/>
  <c r="U41" i="10"/>
  <c r="U37" i="10"/>
  <c r="U33" i="10"/>
  <c r="U29" i="10"/>
  <c r="U25" i="10"/>
  <c r="U21" i="10"/>
  <c r="U17" i="10"/>
  <c r="U288" i="10"/>
  <c r="U284" i="10"/>
  <c r="U280" i="10"/>
  <c r="U276" i="10"/>
  <c r="U272" i="10"/>
  <c r="U268" i="10"/>
  <c r="U264" i="10"/>
  <c r="U260" i="10"/>
  <c r="U256" i="10"/>
  <c r="U252" i="10"/>
  <c r="U248" i="10"/>
  <c r="U244" i="10"/>
  <c r="U240" i="10"/>
  <c r="U236" i="10"/>
  <c r="U232" i="10"/>
  <c r="U228" i="10"/>
  <c r="U224" i="10"/>
  <c r="U220" i="10"/>
  <c r="U216" i="10"/>
  <c r="U212" i="10"/>
  <c r="U208" i="10"/>
  <c r="U204" i="10"/>
  <c r="U200" i="10"/>
  <c r="U196" i="10"/>
  <c r="U192" i="10"/>
  <c r="U188" i="10"/>
  <c r="U184" i="10"/>
  <c r="U180" i="10"/>
  <c r="U176" i="10"/>
  <c r="U172" i="10"/>
  <c r="U168" i="10"/>
  <c r="U164" i="10"/>
  <c r="U160" i="10"/>
  <c r="U156" i="10"/>
  <c r="U152" i="10"/>
  <c r="U148" i="10"/>
  <c r="U144" i="10"/>
  <c r="U140" i="10"/>
  <c r="U136" i="10"/>
  <c r="U132" i="10"/>
  <c r="U128" i="10"/>
  <c r="U124" i="10"/>
  <c r="U120" i="10"/>
  <c r="U116" i="10"/>
  <c r="U112" i="10"/>
  <c r="U108" i="10"/>
  <c r="U104" i="10"/>
  <c r="U100" i="10"/>
  <c r="U96" i="10"/>
  <c r="U92" i="10"/>
  <c r="U88" i="10"/>
  <c r="U84" i="10"/>
  <c r="U80" i="10"/>
  <c r="U76" i="10"/>
  <c r="U72" i="10"/>
  <c r="U68" i="10"/>
  <c r="U64" i="10"/>
  <c r="U60" i="10"/>
  <c r="U56" i="10"/>
  <c r="U52" i="10"/>
  <c r="U48" i="10"/>
  <c r="U44" i="10"/>
  <c r="U40" i="10"/>
  <c r="U36" i="10"/>
  <c r="U32" i="10"/>
  <c r="U28" i="10"/>
  <c r="U24" i="10"/>
  <c r="U20" i="10"/>
  <c r="U16" i="10"/>
  <c r="U287" i="10"/>
  <c r="U283" i="10"/>
  <c r="U279" i="10"/>
  <c r="U275" i="10"/>
  <c r="U271" i="10"/>
  <c r="U267" i="10"/>
  <c r="U263" i="10"/>
  <c r="U259" i="10"/>
  <c r="U255" i="10"/>
  <c r="U251" i="10"/>
  <c r="U247" i="10"/>
  <c r="U243" i="10"/>
  <c r="U239" i="10"/>
  <c r="U235" i="10"/>
  <c r="U231" i="10"/>
  <c r="U227" i="10"/>
  <c r="U223" i="10"/>
  <c r="U219" i="10"/>
  <c r="U215" i="10"/>
  <c r="U211" i="10"/>
  <c r="U207" i="10"/>
  <c r="U203" i="10"/>
  <c r="U199" i="10"/>
  <c r="U195" i="10"/>
  <c r="U191" i="10"/>
  <c r="U187" i="10"/>
  <c r="U183" i="10"/>
  <c r="U179" i="10"/>
  <c r="U175" i="10"/>
  <c r="U171" i="10"/>
  <c r="U167" i="10"/>
  <c r="U163" i="10"/>
  <c r="U159" i="10"/>
  <c r="U155" i="10"/>
  <c r="U151" i="10"/>
  <c r="U147" i="10"/>
  <c r="U143" i="10"/>
  <c r="U139" i="10"/>
  <c r="U135" i="10"/>
  <c r="U131" i="10"/>
  <c r="U127" i="10"/>
  <c r="U123" i="10"/>
  <c r="U119" i="10"/>
  <c r="U115" i="10"/>
  <c r="U111" i="10"/>
  <c r="U107" i="10"/>
  <c r="U103" i="10"/>
  <c r="U99" i="10"/>
  <c r="U95" i="10"/>
  <c r="U91" i="10"/>
  <c r="U87" i="10"/>
  <c r="U83" i="10"/>
  <c r="U79" i="10"/>
  <c r="U75" i="10"/>
  <c r="U71" i="10"/>
  <c r="U67" i="10"/>
  <c r="U63" i="10"/>
  <c r="U59" i="10"/>
  <c r="U55" i="10"/>
  <c r="U51" i="10"/>
  <c r="U47" i="10"/>
  <c r="U43" i="10"/>
  <c r="U39" i="10"/>
  <c r="U35" i="10"/>
  <c r="U31" i="10"/>
  <c r="U27" i="10"/>
  <c r="U23" i="10"/>
  <c r="U19" i="10"/>
  <c r="U290" i="10"/>
  <c r="U286" i="10"/>
  <c r="U282" i="10"/>
  <c r="U278" i="10"/>
  <c r="U274" i="10"/>
  <c r="U270" i="10"/>
  <c r="U266" i="10"/>
  <c r="U262" i="10"/>
  <c r="U258" i="10"/>
  <c r="U254" i="10"/>
  <c r="U250" i="10"/>
  <c r="U246" i="10"/>
  <c r="U242" i="10"/>
  <c r="U238" i="10"/>
  <c r="U234" i="10"/>
  <c r="U230" i="10"/>
  <c r="U226" i="10"/>
  <c r="U222" i="10"/>
  <c r="U218" i="10"/>
  <c r="U214" i="10"/>
  <c r="U210" i="10"/>
  <c r="U206" i="10"/>
  <c r="U202" i="10"/>
  <c r="U198" i="10"/>
  <c r="U194" i="10"/>
  <c r="U190" i="10"/>
  <c r="U186" i="10"/>
  <c r="U182" i="10"/>
  <c r="U178" i="10"/>
  <c r="U174" i="10"/>
  <c r="U170" i="10"/>
  <c r="U166" i="10"/>
  <c r="U162" i="10"/>
  <c r="U158" i="10"/>
  <c r="U154" i="10"/>
  <c r="U150" i="10"/>
  <c r="U146" i="10"/>
  <c r="U142" i="10"/>
  <c r="U138" i="10"/>
  <c r="U134" i="10"/>
  <c r="U130" i="10"/>
  <c r="U126" i="10"/>
  <c r="U122" i="10"/>
  <c r="U118" i="10"/>
  <c r="U114" i="10"/>
  <c r="U110" i="10"/>
  <c r="U106" i="10"/>
  <c r="U102" i="10"/>
  <c r="U98" i="10"/>
  <c r="U94" i="10"/>
  <c r="U90" i="10"/>
  <c r="U86" i="10"/>
  <c r="U82" i="10"/>
  <c r="U78" i="10"/>
  <c r="U74" i="10"/>
  <c r="U70" i="10"/>
  <c r="U66" i="10"/>
  <c r="U62" i="10"/>
  <c r="U58" i="10"/>
  <c r="U54" i="10"/>
  <c r="U50" i="10"/>
  <c r="U46" i="10"/>
  <c r="U42" i="10"/>
  <c r="U38" i="10"/>
  <c r="U34" i="10"/>
  <c r="U30" i="10"/>
  <c r="U26" i="10"/>
  <c r="U22" i="10"/>
  <c r="U18" i="10"/>
  <c r="B25" i="225"/>
  <c r="D24" i="225"/>
  <c r="E24" i="225" s="1"/>
  <c r="B24" i="225"/>
  <c r="D23" i="225"/>
  <c r="E23" i="225" s="1"/>
  <c r="B23" i="225"/>
  <c r="D22" i="225"/>
  <c r="H22" i="225" s="1"/>
  <c r="B22" i="225"/>
  <c r="D21" i="225"/>
  <c r="H21" i="225" s="1"/>
  <c r="B21" i="225"/>
  <c r="D20" i="225"/>
  <c r="E20" i="225" s="1"/>
  <c r="B20" i="225"/>
  <c r="D19" i="225"/>
  <c r="H19" i="225" s="1"/>
  <c r="B19" i="225"/>
  <c r="D18" i="225"/>
  <c r="E18" i="225" s="1"/>
  <c r="B18" i="225"/>
  <c r="D17" i="225"/>
  <c r="B17" i="225"/>
  <c r="D16" i="225"/>
  <c r="H16" i="225" s="1"/>
  <c r="B16" i="225"/>
  <c r="D15" i="225"/>
  <c r="H15" i="225" s="1"/>
  <c r="B15" i="225"/>
  <c r="D14" i="225"/>
  <c r="E14" i="225" s="1"/>
  <c r="B14" i="225"/>
  <c r="D13" i="225"/>
  <c r="G13" i="225" s="1"/>
  <c r="B13" i="225"/>
  <c r="D12" i="225"/>
  <c r="H12" i="225" s="1"/>
  <c r="B12" i="225"/>
  <c r="C8" i="225"/>
  <c r="B8" i="225"/>
  <c r="D7" i="225"/>
  <c r="H7" i="225" s="1"/>
  <c r="B7" i="225"/>
  <c r="D6" i="225"/>
  <c r="G6" i="225" s="1"/>
  <c r="B6" i="225"/>
  <c r="D5" i="225"/>
  <c r="G5" i="225" s="1"/>
  <c r="B5" i="225"/>
  <c r="B4" i="225"/>
  <c r="E6" i="225" l="1"/>
  <c r="G7" i="225"/>
  <c r="E15" i="225"/>
  <c r="H6" i="225"/>
  <c r="H5" i="225"/>
  <c r="E7" i="225"/>
  <c r="E16" i="225"/>
  <c r="G15" i="225"/>
  <c r="G18" i="225"/>
  <c r="E19" i="225"/>
  <c r="H14" i="225"/>
  <c r="H18" i="225"/>
  <c r="G19" i="225"/>
  <c r="G23" i="225"/>
  <c r="H13" i="225"/>
  <c r="H17" i="225"/>
  <c r="H20" i="225"/>
  <c r="G14" i="225"/>
  <c r="G22" i="225"/>
  <c r="C25" i="225"/>
  <c r="H24" i="225"/>
  <c r="E12" i="225"/>
  <c r="E5" i="225"/>
  <c r="G12" i="225"/>
  <c r="E13" i="225"/>
  <c r="G16" i="225"/>
  <c r="E17" i="225"/>
  <c r="G20" i="225"/>
  <c r="E21" i="225"/>
  <c r="H23" i="225"/>
  <c r="G24" i="225"/>
  <c r="G17" i="225"/>
  <c r="G21" i="225"/>
  <c r="E22" i="225"/>
  <c r="C19" i="224"/>
  <c r="C24" i="224"/>
  <c r="C22" i="224"/>
  <c r="C7" i="224"/>
  <c r="C13" i="224"/>
  <c r="C15" i="224"/>
  <c r="C23" i="224"/>
  <c r="C18" i="224"/>
  <c r="C20" i="224"/>
  <c r="C6" i="224"/>
  <c r="C17" i="224"/>
  <c r="B25" i="224"/>
  <c r="D24" i="224"/>
  <c r="B24" i="224"/>
  <c r="D23" i="224"/>
  <c r="B23" i="224"/>
  <c r="D22" i="224"/>
  <c r="B22" i="224"/>
  <c r="D21" i="224"/>
  <c r="H21" i="224" s="1"/>
  <c r="B21" i="224"/>
  <c r="D20" i="224"/>
  <c r="B20" i="224"/>
  <c r="D19" i="224"/>
  <c r="B19" i="224"/>
  <c r="D18" i="224"/>
  <c r="B18" i="224"/>
  <c r="D17" i="224"/>
  <c r="B17" i="224"/>
  <c r="D16" i="224"/>
  <c r="H16" i="224" s="1"/>
  <c r="B16" i="224"/>
  <c r="D15" i="224"/>
  <c r="B15" i="224"/>
  <c r="D14" i="224"/>
  <c r="E14" i="224" s="1"/>
  <c r="B14" i="224"/>
  <c r="D13" i="224"/>
  <c r="B13" i="224"/>
  <c r="D12" i="224"/>
  <c r="H12" i="224" s="1"/>
  <c r="B12" i="224"/>
  <c r="B8" i="224"/>
  <c r="D7" i="224"/>
  <c r="E7" i="224" s="1"/>
  <c r="B7" i="224"/>
  <c r="D6" i="224"/>
  <c r="B6" i="224"/>
  <c r="D5" i="224"/>
  <c r="H5" i="224" s="1"/>
  <c r="B5" i="224"/>
  <c r="B4" i="224"/>
  <c r="E22" i="224" l="1"/>
  <c r="G14" i="224"/>
  <c r="H22" i="224"/>
  <c r="H14" i="224"/>
  <c r="G23" i="224"/>
  <c r="G6" i="224"/>
  <c r="G15" i="224"/>
  <c r="E24" i="224"/>
  <c r="E20" i="224"/>
  <c r="G19" i="224"/>
  <c r="E12" i="224"/>
  <c r="E16" i="224"/>
  <c r="H18" i="224"/>
  <c r="G7" i="224"/>
  <c r="C27" i="225"/>
  <c r="W15" i="10" s="1"/>
  <c r="G22" i="224"/>
  <c r="E19" i="224"/>
  <c r="G18" i="224"/>
  <c r="E18" i="224"/>
  <c r="H6" i="224"/>
  <c r="E23" i="224"/>
  <c r="H17" i="224"/>
  <c r="H20" i="224"/>
  <c r="C8" i="224"/>
  <c r="E6" i="224"/>
  <c r="H24" i="224"/>
  <c r="E15" i="224"/>
  <c r="C25" i="224"/>
  <c r="H13" i="224"/>
  <c r="E5" i="224"/>
  <c r="H7" i="224"/>
  <c r="G12" i="224"/>
  <c r="E13" i="224"/>
  <c r="H15" i="224"/>
  <c r="G16" i="224"/>
  <c r="E17" i="224"/>
  <c r="H19" i="224"/>
  <c r="G20" i="224"/>
  <c r="E21" i="224"/>
  <c r="H23" i="224"/>
  <c r="G24" i="224"/>
  <c r="G5" i="224"/>
  <c r="G13" i="224"/>
  <c r="G17" i="224"/>
  <c r="G21" i="224"/>
  <c r="C24" i="222"/>
  <c r="C24" i="216"/>
  <c r="C24" i="223"/>
  <c r="C15" i="223"/>
  <c r="C13" i="223"/>
  <c r="C7" i="223"/>
  <c r="C18" i="223"/>
  <c r="C19" i="223"/>
  <c r="C14" i="223"/>
  <c r="C23" i="223"/>
  <c r="C16" i="223"/>
  <c r="C6" i="223"/>
  <c r="C21" i="223"/>
  <c r="C20" i="223"/>
  <c r="C17" i="223"/>
  <c r="C27" i="224" l="1"/>
  <c r="W14" i="10" s="1"/>
  <c r="C12" i="222"/>
  <c r="C25" i="223"/>
  <c r="B25" i="223"/>
  <c r="D24" i="223"/>
  <c r="H24" i="223" s="1"/>
  <c r="B24" i="223"/>
  <c r="D23" i="223"/>
  <c r="G23" i="223" s="1"/>
  <c r="B23" i="223"/>
  <c r="D22" i="223"/>
  <c r="G22" i="223" s="1"/>
  <c r="B22" i="223"/>
  <c r="D21" i="223"/>
  <c r="H21" i="223" s="1"/>
  <c r="B21" i="223"/>
  <c r="D20" i="223"/>
  <c r="H20" i="223" s="1"/>
  <c r="B20" i="223"/>
  <c r="D19" i="223"/>
  <c r="E19" i="223" s="1"/>
  <c r="B19" i="223"/>
  <c r="D18" i="223"/>
  <c r="G18" i="223" s="1"/>
  <c r="B18" i="223"/>
  <c r="D17" i="223"/>
  <c r="H17" i="223" s="1"/>
  <c r="B17" i="223"/>
  <c r="D16" i="223"/>
  <c r="H16" i="223" s="1"/>
  <c r="B16" i="223"/>
  <c r="D15" i="223"/>
  <c r="G15" i="223" s="1"/>
  <c r="B15" i="223"/>
  <c r="D14" i="223"/>
  <c r="G14" i="223" s="1"/>
  <c r="B14" i="223"/>
  <c r="D13" i="223"/>
  <c r="H13" i="223" s="1"/>
  <c r="B13" i="223"/>
  <c r="D12" i="223"/>
  <c r="H12" i="223" s="1"/>
  <c r="B12" i="223"/>
  <c r="C8" i="223"/>
  <c r="B8" i="223"/>
  <c r="D7" i="223"/>
  <c r="H7" i="223" s="1"/>
  <c r="B7" i="223"/>
  <c r="D6" i="223"/>
  <c r="G6" i="223" s="1"/>
  <c r="B6" i="223"/>
  <c r="D5" i="223"/>
  <c r="H5" i="223" s="1"/>
  <c r="B5" i="223"/>
  <c r="B4" i="223"/>
  <c r="G24" i="223" l="1"/>
  <c r="G19" i="223"/>
  <c r="H19" i="223"/>
  <c r="H6" i="223"/>
  <c r="E15" i="223"/>
  <c r="G16" i="223"/>
  <c r="H15" i="223"/>
  <c r="H23" i="223"/>
  <c r="E7" i="223"/>
  <c r="E12" i="223"/>
  <c r="H18" i="223"/>
  <c r="E20" i="223"/>
  <c r="G12" i="223"/>
  <c r="E23" i="223"/>
  <c r="G7" i="223"/>
  <c r="G20" i="223"/>
  <c r="H14" i="223"/>
  <c r="E16" i="223"/>
  <c r="H22" i="223"/>
  <c r="E24" i="223"/>
  <c r="C27" i="223"/>
  <c r="W13" i="10" s="1"/>
  <c r="G5" i="223"/>
  <c r="E6" i="223"/>
  <c r="G13" i="223"/>
  <c r="E14" i="223"/>
  <c r="G17" i="223"/>
  <c r="E18" i="223"/>
  <c r="G21" i="223"/>
  <c r="E22" i="223"/>
  <c r="E5" i="223"/>
  <c r="E13" i="223"/>
  <c r="E17" i="223"/>
  <c r="E21" i="223"/>
  <c r="C22" i="222" l="1"/>
  <c r="C15" i="222"/>
  <c r="C13" i="222"/>
  <c r="C19" i="222"/>
  <c r="C23" i="222"/>
  <c r="C18" i="222"/>
  <c r="C20" i="222"/>
  <c r="C7" i="222"/>
  <c r="C17" i="222"/>
  <c r="B25" i="222"/>
  <c r="D24" i="222"/>
  <c r="G24" i="222" s="1"/>
  <c r="B24" i="222"/>
  <c r="D23" i="222"/>
  <c r="B23" i="222"/>
  <c r="D22" i="222"/>
  <c r="B22" i="222"/>
  <c r="D21" i="222"/>
  <c r="H21" i="222" s="1"/>
  <c r="B21" i="222"/>
  <c r="D20" i="222"/>
  <c r="B20" i="222"/>
  <c r="D19" i="222"/>
  <c r="B19" i="222"/>
  <c r="D18" i="222"/>
  <c r="B18" i="222"/>
  <c r="D17" i="222"/>
  <c r="H17" i="222" s="1"/>
  <c r="B17" i="222"/>
  <c r="D16" i="222"/>
  <c r="H16" i="222" s="1"/>
  <c r="B16" i="222"/>
  <c r="D15" i="222"/>
  <c r="B15" i="222"/>
  <c r="D14" i="222"/>
  <c r="G14" i="222" s="1"/>
  <c r="B14" i="222"/>
  <c r="D13" i="222"/>
  <c r="B13" i="222"/>
  <c r="D12" i="222"/>
  <c r="E12" i="222" s="1"/>
  <c r="B12" i="222"/>
  <c r="B8" i="222"/>
  <c r="D7" i="222"/>
  <c r="B7" i="222"/>
  <c r="D6" i="222"/>
  <c r="G6" i="222" s="1"/>
  <c r="B6" i="222"/>
  <c r="D5" i="222"/>
  <c r="H5" i="222" s="1"/>
  <c r="B5" i="222"/>
  <c r="B4" i="222"/>
  <c r="H6" i="222" l="1"/>
  <c r="H14" i="222"/>
  <c r="E16" i="222"/>
  <c r="H20" i="222"/>
  <c r="G16" i="222"/>
  <c r="H18" i="222"/>
  <c r="G15" i="222"/>
  <c r="H23" i="222"/>
  <c r="H22" i="222"/>
  <c r="H7" i="222"/>
  <c r="H12" i="222"/>
  <c r="G12" i="222"/>
  <c r="G22" i="222"/>
  <c r="G18" i="222"/>
  <c r="E19" i="222"/>
  <c r="H24" i="222"/>
  <c r="E24" i="222"/>
  <c r="H13" i="222"/>
  <c r="G20" i="222"/>
  <c r="E20" i="222"/>
  <c r="E7" i="222"/>
  <c r="C8" i="222"/>
  <c r="G7" i="222"/>
  <c r="H15" i="222"/>
  <c r="E23" i="222"/>
  <c r="G23" i="222"/>
  <c r="C25" i="222"/>
  <c r="G19" i="222"/>
  <c r="H19" i="222"/>
  <c r="E15" i="222"/>
  <c r="E5" i="222"/>
  <c r="E13" i="222"/>
  <c r="E17" i="222"/>
  <c r="E21" i="222"/>
  <c r="G5" i="222"/>
  <c r="E6" i="222"/>
  <c r="G13" i="222"/>
  <c r="E14" i="222"/>
  <c r="G17" i="222"/>
  <c r="E18" i="222"/>
  <c r="G21" i="222"/>
  <c r="E22" i="222"/>
  <c r="C27" i="222" l="1"/>
  <c r="W12" i="10" s="1"/>
  <c r="C24" i="221"/>
  <c r="C23" i="221"/>
  <c r="C19" i="221"/>
  <c r="C17" i="221"/>
  <c r="C15" i="221"/>
  <c r="C13" i="221"/>
  <c r="B25" i="221"/>
  <c r="D24" i="221"/>
  <c r="B24" i="221"/>
  <c r="D23" i="221"/>
  <c r="G23" i="221" s="1"/>
  <c r="B23" i="221"/>
  <c r="D22" i="221"/>
  <c r="E22" i="221" s="1"/>
  <c r="B22" i="221"/>
  <c r="D21" i="221"/>
  <c r="H21" i="221" s="1"/>
  <c r="B21" i="221"/>
  <c r="D20" i="221"/>
  <c r="H20" i="221" s="1"/>
  <c r="B20" i="221"/>
  <c r="D19" i="221"/>
  <c r="B19" i="221"/>
  <c r="D18" i="221"/>
  <c r="G18" i="221" s="1"/>
  <c r="B18" i="221"/>
  <c r="D17" i="221"/>
  <c r="B17" i="221"/>
  <c r="D16" i="221"/>
  <c r="G16" i="221" s="1"/>
  <c r="B16" i="221"/>
  <c r="D15" i="221"/>
  <c r="B15" i="221"/>
  <c r="D14" i="221"/>
  <c r="H14" i="221" s="1"/>
  <c r="B14" i="221"/>
  <c r="D13" i="221"/>
  <c r="B13" i="221"/>
  <c r="D12" i="221"/>
  <c r="E12" i="221" s="1"/>
  <c r="B12" i="221"/>
  <c r="C8" i="221"/>
  <c r="B8" i="221"/>
  <c r="D7" i="221"/>
  <c r="E7" i="221" s="1"/>
  <c r="B7" i="221"/>
  <c r="D6" i="221"/>
  <c r="G6" i="221" s="1"/>
  <c r="B6" i="221"/>
  <c r="D5" i="221"/>
  <c r="H5" i="221" s="1"/>
  <c r="B5" i="221"/>
  <c r="B4" i="221"/>
  <c r="G7" i="221" l="1"/>
  <c r="G22" i="221"/>
  <c r="E19" i="221"/>
  <c r="H22" i="221"/>
  <c r="G15" i="221"/>
  <c r="E24" i="221"/>
  <c r="H6" i="221"/>
  <c r="H16" i="221"/>
  <c r="E16" i="221"/>
  <c r="H18" i="221"/>
  <c r="E23" i="221"/>
  <c r="E6" i="221"/>
  <c r="G14" i="221"/>
  <c r="E18" i="221"/>
  <c r="E20" i="221"/>
  <c r="H24" i="221"/>
  <c r="E14" i="221"/>
  <c r="E15" i="221"/>
  <c r="H17" i="221"/>
  <c r="G19" i="221"/>
  <c r="H13" i="221"/>
  <c r="C25" i="221"/>
  <c r="H12" i="221"/>
  <c r="E5" i="221"/>
  <c r="H7" i="221"/>
  <c r="G12" i="221"/>
  <c r="E13" i="221"/>
  <c r="H15" i="221"/>
  <c r="E17" i="221"/>
  <c r="H19" i="221"/>
  <c r="G20" i="221"/>
  <c r="E21" i="221"/>
  <c r="H23" i="221"/>
  <c r="G24" i="221"/>
  <c r="G5" i="221"/>
  <c r="G13" i="221"/>
  <c r="G17" i="221"/>
  <c r="G21" i="221"/>
  <c r="C27" i="221" l="1"/>
  <c r="W11" i="10" s="1"/>
  <c r="AG16" i="10" l="1"/>
  <c r="AG17" i="10"/>
  <c r="S16" i="10" l="1"/>
  <c r="AG18" i="10"/>
  <c r="S17" i="10" l="1"/>
  <c r="C15" i="220"/>
  <c r="C15" i="219"/>
  <c r="C15" i="218"/>
  <c r="S18" i="10" l="1"/>
  <c r="AF23" i="10"/>
  <c r="S19" i="10" l="1"/>
  <c r="S20" i="10" l="1"/>
  <c r="C23" i="220"/>
  <c r="B25" i="220"/>
  <c r="D24" i="220"/>
  <c r="H24" i="220" s="1"/>
  <c r="B24" i="220"/>
  <c r="D23" i="220"/>
  <c r="B23" i="220"/>
  <c r="D22" i="220"/>
  <c r="H22" i="220" s="1"/>
  <c r="B22" i="220"/>
  <c r="D21" i="220"/>
  <c r="H21" i="220" s="1"/>
  <c r="B21" i="220"/>
  <c r="D20" i="220"/>
  <c r="H20" i="220" s="1"/>
  <c r="B20" i="220"/>
  <c r="D19" i="220"/>
  <c r="E19" i="220" s="1"/>
  <c r="B19" i="220"/>
  <c r="D18" i="220"/>
  <c r="H18" i="220" s="1"/>
  <c r="B18" i="220"/>
  <c r="D17" i="220"/>
  <c r="H17" i="220" s="1"/>
  <c r="B17" i="220"/>
  <c r="D16" i="220"/>
  <c r="G16" i="220" s="1"/>
  <c r="B16" i="220"/>
  <c r="D15" i="220"/>
  <c r="E15" i="220" s="1"/>
  <c r="B15" i="220"/>
  <c r="D14" i="220"/>
  <c r="E14" i="220" s="1"/>
  <c r="B14" i="220"/>
  <c r="D13" i="220"/>
  <c r="H13" i="220" s="1"/>
  <c r="B13" i="220"/>
  <c r="D12" i="220"/>
  <c r="G12" i="220" s="1"/>
  <c r="B12" i="220"/>
  <c r="C8" i="220"/>
  <c r="B8" i="220"/>
  <c r="D7" i="220"/>
  <c r="E7" i="220" s="1"/>
  <c r="B7" i="220"/>
  <c r="D6" i="220"/>
  <c r="G6" i="220" s="1"/>
  <c r="B6" i="220"/>
  <c r="D5" i="220"/>
  <c r="H5" i="220" s="1"/>
  <c r="B5" i="220"/>
  <c r="B4" i="220"/>
  <c r="C23" i="219"/>
  <c r="B25" i="219"/>
  <c r="D24" i="219"/>
  <c r="H24" i="219" s="1"/>
  <c r="B24" i="219"/>
  <c r="D23" i="219"/>
  <c r="B23" i="219"/>
  <c r="D22" i="219"/>
  <c r="G22" i="219" s="1"/>
  <c r="B22" i="219"/>
  <c r="D21" i="219"/>
  <c r="H21" i="219" s="1"/>
  <c r="B21" i="219"/>
  <c r="D20" i="219"/>
  <c r="G20" i="219" s="1"/>
  <c r="B20" i="219"/>
  <c r="D19" i="219"/>
  <c r="E19" i="219" s="1"/>
  <c r="B19" i="219"/>
  <c r="D18" i="219"/>
  <c r="G18" i="219" s="1"/>
  <c r="B18" i="219"/>
  <c r="D17" i="219"/>
  <c r="H17" i="219" s="1"/>
  <c r="B17" i="219"/>
  <c r="D16" i="219"/>
  <c r="G16" i="219" s="1"/>
  <c r="B16" i="219"/>
  <c r="D15" i="219"/>
  <c r="B15" i="219"/>
  <c r="D14" i="219"/>
  <c r="G14" i="219" s="1"/>
  <c r="B14" i="219"/>
  <c r="D13" i="219"/>
  <c r="H13" i="219" s="1"/>
  <c r="B13" i="219"/>
  <c r="D12" i="219"/>
  <c r="G12" i="219" s="1"/>
  <c r="B12" i="219"/>
  <c r="C8" i="219"/>
  <c r="B8" i="219"/>
  <c r="D7" i="219"/>
  <c r="E7" i="219" s="1"/>
  <c r="B7" i="219"/>
  <c r="D6" i="219"/>
  <c r="H6" i="219" s="1"/>
  <c r="B6" i="219"/>
  <c r="D5" i="219"/>
  <c r="H5" i="219" s="1"/>
  <c r="B5" i="219"/>
  <c r="B4" i="219"/>
  <c r="C23" i="218"/>
  <c r="C25" i="218" s="1"/>
  <c r="B25" i="218"/>
  <c r="D24" i="218"/>
  <c r="H24" i="218" s="1"/>
  <c r="B24" i="218"/>
  <c r="D23" i="218"/>
  <c r="B23" i="218"/>
  <c r="D22" i="218"/>
  <c r="G22" i="218" s="1"/>
  <c r="B22" i="218"/>
  <c r="D21" i="218"/>
  <c r="H21" i="218" s="1"/>
  <c r="B21" i="218"/>
  <c r="D20" i="218"/>
  <c r="H20" i="218" s="1"/>
  <c r="B20" i="218"/>
  <c r="D19" i="218"/>
  <c r="E19" i="218" s="1"/>
  <c r="B19" i="218"/>
  <c r="D18" i="218"/>
  <c r="G18" i="218" s="1"/>
  <c r="B18" i="218"/>
  <c r="D17" i="218"/>
  <c r="H17" i="218" s="1"/>
  <c r="B17" i="218"/>
  <c r="D16" i="218"/>
  <c r="H16" i="218" s="1"/>
  <c r="B16" i="218"/>
  <c r="D15" i="218"/>
  <c r="B15" i="218"/>
  <c r="D14" i="218"/>
  <c r="G14" i="218" s="1"/>
  <c r="B14" i="218"/>
  <c r="D13" i="218"/>
  <c r="H13" i="218" s="1"/>
  <c r="B13" i="218"/>
  <c r="D12" i="218"/>
  <c r="H12" i="218" s="1"/>
  <c r="B12" i="218"/>
  <c r="C8" i="218"/>
  <c r="B8" i="218"/>
  <c r="D7" i="218"/>
  <c r="E7" i="218" s="1"/>
  <c r="B7" i="218"/>
  <c r="D6" i="218"/>
  <c r="G6" i="218" s="1"/>
  <c r="B6" i="218"/>
  <c r="D5" i="218"/>
  <c r="H5" i="218" s="1"/>
  <c r="B5" i="218"/>
  <c r="B4" i="218"/>
  <c r="C15" i="217"/>
  <c r="C23" i="217"/>
  <c r="B25" i="217"/>
  <c r="D24" i="217"/>
  <c r="H24" i="217" s="1"/>
  <c r="B24" i="217"/>
  <c r="D23" i="217"/>
  <c r="B23" i="217"/>
  <c r="D22" i="217"/>
  <c r="H22" i="217" s="1"/>
  <c r="B22" i="217"/>
  <c r="D21" i="217"/>
  <c r="H21" i="217" s="1"/>
  <c r="B21" i="217"/>
  <c r="D20" i="217"/>
  <c r="G20" i="217" s="1"/>
  <c r="B20" i="217"/>
  <c r="D19" i="217"/>
  <c r="E19" i="217" s="1"/>
  <c r="B19" i="217"/>
  <c r="D18" i="217"/>
  <c r="H18" i="217" s="1"/>
  <c r="B18" i="217"/>
  <c r="D17" i="217"/>
  <c r="H17" i="217" s="1"/>
  <c r="B17" i="217"/>
  <c r="D16" i="217"/>
  <c r="G16" i="217" s="1"/>
  <c r="B16" i="217"/>
  <c r="D15" i="217"/>
  <c r="B15" i="217"/>
  <c r="D14" i="217"/>
  <c r="H14" i="217" s="1"/>
  <c r="B14" i="217"/>
  <c r="D13" i="217"/>
  <c r="H13" i="217" s="1"/>
  <c r="B13" i="217"/>
  <c r="D12" i="217"/>
  <c r="G12" i="217" s="1"/>
  <c r="B12" i="217"/>
  <c r="C8" i="217"/>
  <c r="B8" i="217"/>
  <c r="D7" i="217"/>
  <c r="E7" i="217" s="1"/>
  <c r="B7" i="217"/>
  <c r="D6" i="217"/>
  <c r="H6" i="217" s="1"/>
  <c r="B6" i="217"/>
  <c r="D5" i="217"/>
  <c r="H5" i="217" s="1"/>
  <c r="B5" i="217"/>
  <c r="B4" i="217"/>
  <c r="C15" i="216"/>
  <c r="C23" i="216"/>
  <c r="B25" i="216"/>
  <c r="D24" i="216"/>
  <c r="H24" i="216" s="1"/>
  <c r="B24" i="216"/>
  <c r="D23" i="216"/>
  <c r="B23" i="216"/>
  <c r="D22" i="216"/>
  <c r="G22" i="216" s="1"/>
  <c r="B22" i="216"/>
  <c r="D21" i="216"/>
  <c r="G21" i="216" s="1"/>
  <c r="B21" i="216"/>
  <c r="D20" i="216"/>
  <c r="H20" i="216" s="1"/>
  <c r="B20" i="216"/>
  <c r="D19" i="216"/>
  <c r="H19" i="216" s="1"/>
  <c r="B19" i="216"/>
  <c r="D18" i="216"/>
  <c r="H18" i="216" s="1"/>
  <c r="B18" i="216"/>
  <c r="D17" i="216"/>
  <c r="G17" i="216" s="1"/>
  <c r="B17" i="216"/>
  <c r="D16" i="216"/>
  <c r="H16" i="216" s="1"/>
  <c r="B16" i="216"/>
  <c r="D15" i="216"/>
  <c r="B15" i="216"/>
  <c r="D14" i="216"/>
  <c r="H14" i="216" s="1"/>
  <c r="B14" i="216"/>
  <c r="D13" i="216"/>
  <c r="G13" i="216" s="1"/>
  <c r="B13" i="216"/>
  <c r="D12" i="216"/>
  <c r="H12" i="216" s="1"/>
  <c r="B12" i="216"/>
  <c r="C8" i="216"/>
  <c r="B8" i="216"/>
  <c r="D7" i="216"/>
  <c r="H7" i="216" s="1"/>
  <c r="B7" i="216"/>
  <c r="D6" i="216"/>
  <c r="H6" i="216" s="1"/>
  <c r="B6" i="216"/>
  <c r="D5" i="216"/>
  <c r="G5" i="216" s="1"/>
  <c r="B5" i="216"/>
  <c r="B4" i="216"/>
  <c r="C15" i="215"/>
  <c r="C23" i="215"/>
  <c r="B25" i="215"/>
  <c r="D24" i="215"/>
  <c r="H24" i="215" s="1"/>
  <c r="B24" i="215"/>
  <c r="D23" i="215"/>
  <c r="B23" i="215"/>
  <c r="D22" i="215"/>
  <c r="G22" i="215" s="1"/>
  <c r="B22" i="215"/>
  <c r="D21" i="215"/>
  <c r="H21" i="215" s="1"/>
  <c r="B21" i="215"/>
  <c r="D20" i="215"/>
  <c r="G20" i="215" s="1"/>
  <c r="B20" i="215"/>
  <c r="D19" i="215"/>
  <c r="E19" i="215" s="1"/>
  <c r="B19" i="215"/>
  <c r="D18" i="215"/>
  <c r="G18" i="215" s="1"/>
  <c r="B18" i="215"/>
  <c r="D17" i="215"/>
  <c r="H17" i="215" s="1"/>
  <c r="B17" i="215"/>
  <c r="D16" i="215"/>
  <c r="G16" i="215" s="1"/>
  <c r="B16" i="215"/>
  <c r="D15" i="215"/>
  <c r="B15" i="215"/>
  <c r="D14" i="215"/>
  <c r="G14" i="215" s="1"/>
  <c r="B14" i="215"/>
  <c r="D13" i="215"/>
  <c r="H13" i="215" s="1"/>
  <c r="B13" i="215"/>
  <c r="D12" i="215"/>
  <c r="G12" i="215" s="1"/>
  <c r="B12" i="215"/>
  <c r="C8" i="215"/>
  <c r="B8" i="215"/>
  <c r="D7" i="215"/>
  <c r="E7" i="215" s="1"/>
  <c r="B7" i="215"/>
  <c r="D6" i="215"/>
  <c r="H6" i="215" s="1"/>
  <c r="B6" i="215"/>
  <c r="D5" i="215"/>
  <c r="H5" i="215" s="1"/>
  <c r="B5" i="215"/>
  <c r="B4" i="215"/>
  <c r="E12" i="218" l="1"/>
  <c r="E24" i="217"/>
  <c r="S21" i="10"/>
  <c r="H14" i="220"/>
  <c r="G14" i="216"/>
  <c r="E20" i="220"/>
  <c r="E6" i="217"/>
  <c r="E12" i="217"/>
  <c r="G16" i="218"/>
  <c r="E6" i="215"/>
  <c r="H12" i="215"/>
  <c r="E16" i="218"/>
  <c r="H12" i="217"/>
  <c r="E6" i="219"/>
  <c r="H12" i="219"/>
  <c r="H6" i="220"/>
  <c r="G14" i="220"/>
  <c r="E20" i="215"/>
  <c r="G15" i="215"/>
  <c r="E23" i="216"/>
  <c r="E20" i="219"/>
  <c r="E24" i="220"/>
  <c r="C27" i="218"/>
  <c r="W8" i="10" s="1"/>
  <c r="H20" i="219"/>
  <c r="H20" i="215"/>
  <c r="G6" i="215"/>
  <c r="E12" i="215"/>
  <c r="H22" i="216"/>
  <c r="E23" i="217"/>
  <c r="G12" i="218"/>
  <c r="G6" i="219"/>
  <c r="E12" i="219"/>
  <c r="E18" i="216"/>
  <c r="H21" i="216"/>
  <c r="E18" i="217"/>
  <c r="E20" i="217"/>
  <c r="E16" i="215"/>
  <c r="E6" i="216"/>
  <c r="H15" i="216"/>
  <c r="G18" i="216"/>
  <c r="E24" i="216"/>
  <c r="G18" i="217"/>
  <c r="G19" i="217"/>
  <c r="H20" i="217"/>
  <c r="G15" i="217"/>
  <c r="G7" i="218"/>
  <c r="H22" i="218"/>
  <c r="E16" i="219"/>
  <c r="E24" i="219"/>
  <c r="G7" i="220"/>
  <c r="E18" i="220"/>
  <c r="E15" i="215"/>
  <c r="H16" i="215"/>
  <c r="G23" i="215"/>
  <c r="G6" i="216"/>
  <c r="E14" i="216"/>
  <c r="G23" i="216"/>
  <c r="H16" i="219"/>
  <c r="G7" i="215"/>
  <c r="E14" i="215"/>
  <c r="E18" i="215"/>
  <c r="G19" i="215"/>
  <c r="E23" i="215"/>
  <c r="E24" i="215"/>
  <c r="H5" i="216"/>
  <c r="E7" i="216"/>
  <c r="H17" i="216"/>
  <c r="E19" i="216"/>
  <c r="G6" i="217"/>
  <c r="G7" i="217"/>
  <c r="E14" i="217"/>
  <c r="E16" i="217"/>
  <c r="E22" i="217"/>
  <c r="H6" i="218"/>
  <c r="H7" i="218"/>
  <c r="G19" i="218"/>
  <c r="E20" i="218"/>
  <c r="E24" i="218"/>
  <c r="G7" i="219"/>
  <c r="E14" i="219"/>
  <c r="E18" i="219"/>
  <c r="G19" i="219"/>
  <c r="E12" i="220"/>
  <c r="G18" i="220"/>
  <c r="G19" i="220"/>
  <c r="E22" i="220"/>
  <c r="G15" i="219"/>
  <c r="H14" i="215"/>
  <c r="H18" i="215"/>
  <c r="E22" i="215"/>
  <c r="G7" i="216"/>
  <c r="G19" i="216"/>
  <c r="E22" i="216"/>
  <c r="H23" i="216"/>
  <c r="C25" i="216"/>
  <c r="C27" i="216" s="1"/>
  <c r="W6" i="10" s="1"/>
  <c r="G14" i="217"/>
  <c r="H16" i="217"/>
  <c r="G22" i="217"/>
  <c r="G23" i="217"/>
  <c r="H14" i="218"/>
  <c r="H18" i="218"/>
  <c r="H19" i="218"/>
  <c r="G20" i="218"/>
  <c r="E23" i="218"/>
  <c r="G24" i="218"/>
  <c r="H15" i="218"/>
  <c r="H14" i="219"/>
  <c r="H18" i="219"/>
  <c r="E22" i="219"/>
  <c r="C25" i="219"/>
  <c r="C27" i="219" s="1"/>
  <c r="W9" i="10" s="1"/>
  <c r="E6" i="220"/>
  <c r="H12" i="220"/>
  <c r="E16" i="220"/>
  <c r="G22" i="220"/>
  <c r="G23" i="220"/>
  <c r="H22" i="215"/>
  <c r="H22" i="219"/>
  <c r="G23" i="219"/>
  <c r="H16" i="220"/>
  <c r="G15" i="220"/>
  <c r="H13" i="216"/>
  <c r="E23" i="220"/>
  <c r="C25" i="220"/>
  <c r="C27" i="220" s="1"/>
  <c r="W10" i="10" s="1"/>
  <c r="E5" i="220"/>
  <c r="H7" i="220"/>
  <c r="E13" i="220"/>
  <c r="H15" i="220"/>
  <c r="E17" i="220"/>
  <c r="H19" i="220"/>
  <c r="G20" i="220"/>
  <c r="E21" i="220"/>
  <c r="H23" i="220"/>
  <c r="G24" i="220"/>
  <c r="G13" i="220"/>
  <c r="G17" i="220"/>
  <c r="G21" i="220"/>
  <c r="G5" i="220"/>
  <c r="E15" i="219"/>
  <c r="E23" i="219"/>
  <c r="E5" i="219"/>
  <c r="H7" i="219"/>
  <c r="E13" i="219"/>
  <c r="H15" i="219"/>
  <c r="E17" i="219"/>
  <c r="H19" i="219"/>
  <c r="E21" i="219"/>
  <c r="H23" i="219"/>
  <c r="G24" i="219"/>
  <c r="G13" i="219"/>
  <c r="G17" i="219"/>
  <c r="G21" i="219"/>
  <c r="G5" i="219"/>
  <c r="H23" i="218"/>
  <c r="E15" i="218"/>
  <c r="G15" i="218"/>
  <c r="G23" i="218"/>
  <c r="E13" i="218"/>
  <c r="E17" i="218"/>
  <c r="E21" i="218"/>
  <c r="E18" i="218"/>
  <c r="E5" i="218"/>
  <c r="G5" i="218"/>
  <c r="E6" i="218"/>
  <c r="G13" i="218"/>
  <c r="E14" i="218"/>
  <c r="G17" i="218"/>
  <c r="G21" i="218"/>
  <c r="E22" i="218"/>
  <c r="C25" i="217"/>
  <c r="C27" i="217" s="1"/>
  <c r="W7" i="10" s="1"/>
  <c r="E15" i="217"/>
  <c r="E5" i="217"/>
  <c r="H7" i="217"/>
  <c r="E13" i="217"/>
  <c r="H15" i="217"/>
  <c r="E17" i="217"/>
  <c r="H19" i="217"/>
  <c r="E21" i="217"/>
  <c r="H23" i="217"/>
  <c r="G24" i="217"/>
  <c r="G5" i="217"/>
  <c r="G13" i="217"/>
  <c r="G17" i="217"/>
  <c r="G21" i="217"/>
  <c r="G15" i="216"/>
  <c r="E15" i="216"/>
  <c r="E16" i="216"/>
  <c r="E5" i="216"/>
  <c r="G12" i="216"/>
  <c r="E13" i="216"/>
  <c r="G16" i="216"/>
  <c r="E17" i="216"/>
  <c r="G20" i="216"/>
  <c r="E21" i="216"/>
  <c r="G24" i="216"/>
  <c r="E12" i="216"/>
  <c r="E20" i="216"/>
  <c r="C25" i="215"/>
  <c r="C27" i="215" s="1"/>
  <c r="W5" i="10" s="1"/>
  <c r="E5" i="215"/>
  <c r="H7" i="215"/>
  <c r="E13" i="215"/>
  <c r="H15" i="215"/>
  <c r="E17" i="215"/>
  <c r="H19" i="215"/>
  <c r="E21" i="215"/>
  <c r="H23" i="215"/>
  <c r="G24" i="215"/>
  <c r="G13" i="215"/>
  <c r="G17" i="215"/>
  <c r="G21" i="215"/>
  <c r="G5" i="215"/>
  <c r="C24" i="208"/>
  <c r="C19" i="208"/>
  <c r="C17" i="208"/>
  <c r="C16" i="208"/>
  <c r="C23" i="208"/>
  <c r="C15" i="208"/>
  <c r="B25" i="208"/>
  <c r="D24" i="208"/>
  <c r="B24" i="208"/>
  <c r="D23" i="208"/>
  <c r="B23" i="208"/>
  <c r="D22" i="208"/>
  <c r="E22" i="208" s="1"/>
  <c r="B22" i="208"/>
  <c r="D21" i="208"/>
  <c r="H21" i="208" s="1"/>
  <c r="B21" i="208"/>
  <c r="D20" i="208"/>
  <c r="H20" i="208" s="1"/>
  <c r="B20" i="208"/>
  <c r="D19" i="208"/>
  <c r="B19" i="208"/>
  <c r="D18" i="208"/>
  <c r="G18" i="208" s="1"/>
  <c r="B18" i="208"/>
  <c r="D17" i="208"/>
  <c r="B17" i="208"/>
  <c r="D16" i="208"/>
  <c r="H16" i="208" s="1"/>
  <c r="B16" i="208"/>
  <c r="D15" i="208"/>
  <c r="B15" i="208"/>
  <c r="D14" i="208"/>
  <c r="E14" i="208" s="1"/>
  <c r="B14" i="208"/>
  <c r="D13" i="208"/>
  <c r="H13" i="208" s="1"/>
  <c r="B13" i="208"/>
  <c r="D12" i="208"/>
  <c r="H12" i="208" s="1"/>
  <c r="B12" i="208"/>
  <c r="C8" i="208"/>
  <c r="B8" i="208"/>
  <c r="D7" i="208"/>
  <c r="H7" i="208" s="1"/>
  <c r="B7" i="208"/>
  <c r="D6" i="208"/>
  <c r="G6" i="208" s="1"/>
  <c r="B6" i="208"/>
  <c r="D5" i="208"/>
  <c r="H5" i="208" s="1"/>
  <c r="B5" i="208"/>
  <c r="B4" i="208"/>
  <c r="S22" i="10" l="1"/>
  <c r="G22" i="208"/>
  <c r="H15" i="208"/>
  <c r="H19" i="208"/>
  <c r="E12" i="208"/>
  <c r="C25" i="208"/>
  <c r="C27" i="208" s="1"/>
  <c r="W4" i="10" s="1"/>
  <c r="O4" i="10" s="1"/>
  <c r="O5" i="10" s="1"/>
  <c r="H17" i="208"/>
  <c r="H22" i="208"/>
  <c r="E19" i="208"/>
  <c r="H18" i="208"/>
  <c r="E15" i="208"/>
  <c r="H24" i="208"/>
  <c r="E7" i="208"/>
  <c r="E18" i="208"/>
  <c r="E20" i="208"/>
  <c r="H6" i="208"/>
  <c r="G7" i="208"/>
  <c r="H23" i="208"/>
  <c r="G15" i="208"/>
  <c r="E24" i="208"/>
  <c r="E23" i="208"/>
  <c r="G23" i="208"/>
  <c r="G19" i="208"/>
  <c r="E16" i="208"/>
  <c r="G14" i="208"/>
  <c r="H14" i="208"/>
  <c r="E6" i="208"/>
  <c r="E5" i="208"/>
  <c r="G12" i="208"/>
  <c r="E13" i="208"/>
  <c r="G16" i="208"/>
  <c r="E17" i="208"/>
  <c r="G20" i="208"/>
  <c r="E21" i="208"/>
  <c r="G24" i="208"/>
  <c r="G5" i="208"/>
  <c r="G13" i="208"/>
  <c r="G17" i="208"/>
  <c r="G21" i="208"/>
  <c r="O6" i="10" l="1"/>
  <c r="R9" i="10"/>
  <c r="Q4" i="10"/>
  <c r="T4" i="10"/>
  <c r="T5" i="10" s="1"/>
  <c r="T6" i="10" s="1"/>
  <c r="T7" i="10" s="1"/>
  <c r="T8" i="10" s="1"/>
  <c r="T9" i="10" s="1"/>
  <c r="T10" i="10" s="1"/>
  <c r="T11" i="10" s="1"/>
  <c r="T12" i="10" s="1"/>
  <c r="T13" i="10" s="1"/>
  <c r="T14" i="10" s="1"/>
  <c r="T15" i="10" s="1"/>
  <c r="R8" i="10"/>
  <c r="R7" i="10"/>
  <c r="R6" i="10"/>
  <c r="R4" i="10"/>
  <c r="P4" i="10" s="1"/>
  <c r="R15" i="10"/>
  <c r="R14" i="10"/>
  <c r="R13" i="10"/>
  <c r="R12" i="10"/>
  <c r="R11" i="10"/>
  <c r="R10" i="10"/>
  <c r="R5" i="10"/>
  <c r="P5" i="10" s="1"/>
  <c r="S23" i="10"/>
  <c r="O7" i="10" l="1"/>
  <c r="P6" i="10"/>
  <c r="U4" i="10"/>
  <c r="U5" i="10"/>
  <c r="Q5" i="10"/>
  <c r="N4" i="10" s="1"/>
  <c r="S4" i="10"/>
  <c r="S24" i="10"/>
  <c r="AD20" i="10"/>
  <c r="O8" i="10" l="1"/>
  <c r="P7" i="10"/>
  <c r="Q6" i="10"/>
  <c r="N5" i="10" s="1"/>
  <c r="U6" i="10"/>
  <c r="S5" i="10"/>
  <c r="S25" i="10"/>
  <c r="BQ19" i="10"/>
  <c r="Z10" i="10"/>
  <c r="Z11" i="10"/>
  <c r="Z12" i="10"/>
  <c r="Z13" i="10"/>
  <c r="Z14" i="10"/>
  <c r="Z15" i="10"/>
  <c r="Z16" i="10"/>
  <c r="Z17" i="10"/>
  <c r="Z18" i="10"/>
  <c r="Z19" i="10"/>
  <c r="Z20" i="10"/>
  <c r="Z21" i="10"/>
  <c r="Z22" i="10"/>
  <c r="Z23" i="10"/>
  <c r="Z24" i="10"/>
  <c r="O9" i="10" l="1"/>
  <c r="P8" i="10"/>
  <c r="U7" i="10"/>
  <c r="Q7" i="10"/>
  <c r="N6" i="10" s="1"/>
  <c r="S6" i="10"/>
  <c r="S26" i="10"/>
  <c r="BT1" i="10"/>
  <c r="BN4" i="10"/>
  <c r="BN5" i="10"/>
  <c r="BN6" i="10"/>
  <c r="BN7" i="10"/>
  <c r="BN8" i="10"/>
  <c r="BN9" i="10"/>
  <c r="BN10" i="10"/>
  <c r="BN11" i="10"/>
  <c r="BN12" i="10"/>
  <c r="BN13" i="10"/>
  <c r="BN14" i="10"/>
  <c r="BN15" i="10"/>
  <c r="BN16" i="10"/>
  <c r="BN17" i="10"/>
  <c r="BN18" i="10"/>
  <c r="BN19" i="10"/>
  <c r="BN20" i="10"/>
  <c r="BN21" i="10"/>
  <c r="BN22" i="10"/>
  <c r="BN23" i="10"/>
  <c r="BN24" i="10"/>
  <c r="BN25" i="10"/>
  <c r="BN26" i="10"/>
  <c r="BN27" i="10"/>
  <c r="BN28" i="10"/>
  <c r="BN29" i="10"/>
  <c r="BN30" i="10"/>
  <c r="BN31" i="10"/>
  <c r="BN32" i="10"/>
  <c r="BN33" i="10"/>
  <c r="BN34" i="10"/>
  <c r="BN35" i="10"/>
  <c r="BN36" i="10"/>
  <c r="BN37" i="10"/>
  <c r="BN38" i="10"/>
  <c r="BN39" i="10"/>
  <c r="BN40" i="10"/>
  <c r="BN41" i="10"/>
  <c r="BN42" i="10"/>
  <c r="BN43" i="10"/>
  <c r="BN44" i="10"/>
  <c r="BN45" i="10"/>
  <c r="BN46" i="10"/>
  <c r="BN47" i="10"/>
  <c r="BN48" i="10"/>
  <c r="BN49" i="10"/>
  <c r="BN50" i="10"/>
  <c r="BN51" i="10"/>
  <c r="BN52" i="10"/>
  <c r="BN53" i="10"/>
  <c r="BN54" i="10"/>
  <c r="BN55" i="10"/>
  <c r="BN56" i="10"/>
  <c r="BN57" i="10"/>
  <c r="BN58" i="10"/>
  <c r="BN59" i="10"/>
  <c r="BN60" i="10"/>
  <c r="BN61" i="10"/>
  <c r="BN62" i="10"/>
  <c r="BN63" i="10"/>
  <c r="BN64" i="10"/>
  <c r="BN65" i="10"/>
  <c r="BN66" i="10"/>
  <c r="BN67" i="10"/>
  <c r="BN68" i="10"/>
  <c r="BN69" i="10"/>
  <c r="BN70" i="10"/>
  <c r="BN71" i="10"/>
  <c r="BN72" i="10"/>
  <c r="BN73" i="10"/>
  <c r="BN74" i="10"/>
  <c r="BN75" i="10"/>
  <c r="BN76" i="10"/>
  <c r="BN77" i="10"/>
  <c r="BN78" i="10"/>
  <c r="BN79" i="10"/>
  <c r="BN80" i="10"/>
  <c r="BN81" i="10"/>
  <c r="BN82" i="10"/>
  <c r="BN83" i="10"/>
  <c r="BN84" i="10"/>
  <c r="BN85" i="10"/>
  <c r="BN86" i="10"/>
  <c r="BN87" i="10"/>
  <c r="BN88" i="10"/>
  <c r="BN89" i="10"/>
  <c r="BN90" i="10"/>
  <c r="BN91" i="10"/>
  <c r="BN92" i="10"/>
  <c r="BN93" i="10"/>
  <c r="BN94" i="10"/>
  <c r="BN95" i="10"/>
  <c r="BN96" i="10"/>
  <c r="BN97" i="10"/>
  <c r="BN98" i="10"/>
  <c r="BN99" i="10"/>
  <c r="BN100" i="10"/>
  <c r="BN101" i="10"/>
  <c r="BN102" i="10"/>
  <c r="BN103" i="10"/>
  <c r="BN104" i="10"/>
  <c r="BN105" i="10"/>
  <c r="BN106" i="10"/>
  <c r="BN107" i="10"/>
  <c r="BN108" i="10"/>
  <c r="BN109" i="10"/>
  <c r="BN110" i="10"/>
  <c r="BN111" i="10"/>
  <c r="BN112" i="10"/>
  <c r="BN113" i="10"/>
  <c r="BN114" i="10"/>
  <c r="BN115" i="10"/>
  <c r="BN116" i="10"/>
  <c r="BN117" i="10"/>
  <c r="BN118" i="10"/>
  <c r="BN119" i="10"/>
  <c r="BN120" i="10"/>
  <c r="BN121" i="10"/>
  <c r="BN122" i="10"/>
  <c r="BN123" i="10"/>
  <c r="BN124" i="10"/>
  <c r="BN125" i="10"/>
  <c r="BN126" i="10"/>
  <c r="BN127" i="10"/>
  <c r="BN128" i="10"/>
  <c r="BN129" i="10"/>
  <c r="BN130" i="10"/>
  <c r="BN131" i="10"/>
  <c r="BN132" i="10"/>
  <c r="BN133" i="10"/>
  <c r="BN134" i="10"/>
  <c r="BN135" i="10"/>
  <c r="BN136" i="10"/>
  <c r="BN137" i="10"/>
  <c r="BN138" i="10"/>
  <c r="BN139" i="10"/>
  <c r="BN140" i="10"/>
  <c r="BN141" i="10"/>
  <c r="BN142" i="10"/>
  <c r="BN143" i="10"/>
  <c r="BN144" i="10"/>
  <c r="BN145" i="10"/>
  <c r="BN146" i="10"/>
  <c r="BN147" i="10"/>
  <c r="BN148" i="10"/>
  <c r="BN149" i="10"/>
  <c r="BN150" i="10"/>
  <c r="BN151" i="10"/>
  <c r="BN152" i="10"/>
  <c r="BN153" i="10"/>
  <c r="BN154" i="10"/>
  <c r="BN155" i="10"/>
  <c r="BN156" i="10"/>
  <c r="BN157" i="10"/>
  <c r="BN158" i="10"/>
  <c r="BN159" i="10"/>
  <c r="BN160" i="10"/>
  <c r="BN161" i="10"/>
  <c r="BN162" i="10"/>
  <c r="BN163" i="10"/>
  <c r="BN164" i="10"/>
  <c r="BN165" i="10"/>
  <c r="BN166" i="10"/>
  <c r="BN167" i="10"/>
  <c r="BN168" i="10"/>
  <c r="BN169" i="10"/>
  <c r="BN170" i="10"/>
  <c r="BN171" i="10"/>
  <c r="BN172" i="10"/>
  <c r="BN173" i="10"/>
  <c r="BN174" i="10"/>
  <c r="BN175" i="10"/>
  <c r="BN176" i="10"/>
  <c r="BN177" i="10"/>
  <c r="BN178" i="10"/>
  <c r="BN179" i="10"/>
  <c r="BN180" i="10"/>
  <c r="BN181" i="10"/>
  <c r="BN182" i="10"/>
  <c r="BN183" i="10"/>
  <c r="BN184" i="10"/>
  <c r="BN185" i="10"/>
  <c r="BN186" i="10"/>
  <c r="BN187" i="10"/>
  <c r="BN188" i="10"/>
  <c r="BN189" i="10"/>
  <c r="BN190" i="10"/>
  <c r="BN191" i="10"/>
  <c r="BN192" i="10"/>
  <c r="BN193" i="10"/>
  <c r="BN194" i="10"/>
  <c r="BN195" i="10"/>
  <c r="BN196" i="10"/>
  <c r="BN197" i="10"/>
  <c r="BN198" i="10"/>
  <c r="BN199" i="10"/>
  <c r="BN200" i="10"/>
  <c r="BN201" i="10"/>
  <c r="BN202" i="10"/>
  <c r="BN203" i="10"/>
  <c r="BN204" i="10"/>
  <c r="BN205" i="10"/>
  <c r="BN206" i="10"/>
  <c r="BN207" i="10"/>
  <c r="BN208" i="10"/>
  <c r="BN209" i="10"/>
  <c r="BN210" i="10"/>
  <c r="BN211" i="10"/>
  <c r="BN212" i="10"/>
  <c r="BN213" i="10"/>
  <c r="BN214" i="10"/>
  <c r="BN215" i="10"/>
  <c r="BN216" i="10"/>
  <c r="BN217" i="10"/>
  <c r="BN218" i="10"/>
  <c r="BN219" i="10"/>
  <c r="BN220" i="10"/>
  <c r="BN221" i="10"/>
  <c r="BN222" i="10"/>
  <c r="BN223" i="10"/>
  <c r="BN224" i="10"/>
  <c r="BN225" i="10"/>
  <c r="BN226" i="10"/>
  <c r="BN227" i="10"/>
  <c r="BN228" i="10"/>
  <c r="BN229" i="10"/>
  <c r="BN230" i="10"/>
  <c r="BN231" i="10"/>
  <c r="BN232" i="10"/>
  <c r="BN233" i="10"/>
  <c r="BN234" i="10"/>
  <c r="BN235" i="10"/>
  <c r="BN236" i="10"/>
  <c r="BN237" i="10"/>
  <c r="BN238" i="10"/>
  <c r="BN239" i="10"/>
  <c r="BN240" i="10"/>
  <c r="BN241" i="10"/>
  <c r="BN242" i="10"/>
  <c r="BN243" i="10"/>
  <c r="BN244" i="10"/>
  <c r="BN245" i="10"/>
  <c r="BN246" i="10"/>
  <c r="BN247" i="10"/>
  <c r="BN248" i="10"/>
  <c r="BN249" i="10"/>
  <c r="BN250" i="10"/>
  <c r="BN251" i="10"/>
  <c r="BN252" i="10"/>
  <c r="BN253" i="10"/>
  <c r="BN254" i="10"/>
  <c r="BN255" i="10"/>
  <c r="BN256" i="10"/>
  <c r="BN257" i="10"/>
  <c r="BN258" i="10"/>
  <c r="BN259" i="10"/>
  <c r="BN260" i="10"/>
  <c r="BN261" i="10"/>
  <c r="BN262" i="10"/>
  <c r="BN263" i="10"/>
  <c r="BN264" i="10"/>
  <c r="BN265" i="10"/>
  <c r="BN266" i="10"/>
  <c r="BN267" i="10"/>
  <c r="BN268" i="10"/>
  <c r="BN269" i="10"/>
  <c r="BN270" i="10"/>
  <c r="BN271" i="10"/>
  <c r="BN272" i="10"/>
  <c r="BN273" i="10"/>
  <c r="BN274" i="10"/>
  <c r="BN275" i="10"/>
  <c r="BN276" i="10"/>
  <c r="BN277" i="10"/>
  <c r="BN278" i="10"/>
  <c r="BN279" i="10"/>
  <c r="BN280" i="10"/>
  <c r="BN281" i="10"/>
  <c r="BN282" i="10"/>
  <c r="BN283" i="10"/>
  <c r="BN284" i="10"/>
  <c r="BN285" i="10"/>
  <c r="BN286" i="10"/>
  <c r="BN287" i="10"/>
  <c r="BN288" i="10"/>
  <c r="BN289" i="10"/>
  <c r="BN290" i="10"/>
  <c r="BN291" i="10"/>
  <c r="BN292" i="10"/>
  <c r="BN293" i="10"/>
  <c r="BN294" i="10"/>
  <c r="BN295" i="10"/>
  <c r="BN296" i="10"/>
  <c r="BN297" i="10"/>
  <c r="BN298" i="10"/>
  <c r="BN299" i="10"/>
  <c r="BN300" i="10"/>
  <c r="BN301" i="10"/>
  <c r="BN302" i="10"/>
  <c r="BN303" i="10"/>
  <c r="BN304" i="10"/>
  <c r="BN305" i="10"/>
  <c r="BN306" i="10"/>
  <c r="BN307" i="10"/>
  <c r="BN308" i="10"/>
  <c r="BN309" i="10"/>
  <c r="BN310" i="10"/>
  <c r="BN311" i="10"/>
  <c r="BN312" i="10"/>
  <c r="BN313" i="10"/>
  <c r="BN314" i="10"/>
  <c r="BN315" i="10"/>
  <c r="BN316" i="10"/>
  <c r="BN317" i="10"/>
  <c r="BN318" i="10"/>
  <c r="BN319" i="10"/>
  <c r="BN320" i="10"/>
  <c r="BN321" i="10"/>
  <c r="BN322" i="10"/>
  <c r="BN323" i="10"/>
  <c r="BN324" i="10"/>
  <c r="BN325" i="10"/>
  <c r="BN326" i="10"/>
  <c r="BN327" i="10"/>
  <c r="BN328" i="10"/>
  <c r="BN329" i="10"/>
  <c r="BN330" i="10"/>
  <c r="BN3" i="10"/>
  <c r="BW18" i="10"/>
  <c r="BV18" i="10"/>
  <c r="BW17" i="10"/>
  <c r="BU5" i="10"/>
  <c r="BU6" i="10"/>
  <c r="BU7" i="10"/>
  <c r="BU8" i="10"/>
  <c r="BU9" i="10"/>
  <c r="BU10" i="10"/>
  <c r="BU11" i="10"/>
  <c r="BU12" i="10"/>
  <c r="BU13" i="10"/>
  <c r="BU14" i="10"/>
  <c r="BU15" i="10"/>
  <c r="BU16" i="10"/>
  <c r="BU4" i="10"/>
  <c r="BW5" i="10"/>
  <c r="BW6" i="10"/>
  <c r="BW7" i="10"/>
  <c r="BW8" i="10"/>
  <c r="BW9" i="10"/>
  <c r="BW10" i="10"/>
  <c r="BW11" i="10"/>
  <c r="BW12" i="10"/>
  <c r="BW13" i="10"/>
  <c r="BW14" i="10"/>
  <c r="BW15" i="10"/>
  <c r="BW16" i="10"/>
  <c r="BV16" i="10"/>
  <c r="BV5" i="10"/>
  <c r="BV6" i="10"/>
  <c r="BV7" i="10"/>
  <c r="BV8" i="10"/>
  <c r="BV9" i="10"/>
  <c r="BV10" i="10"/>
  <c r="BV11" i="10"/>
  <c r="BV12" i="10"/>
  <c r="BV13" i="10"/>
  <c r="BV14" i="10"/>
  <c r="BV15" i="10"/>
  <c r="BW4" i="10"/>
  <c r="BV4" i="10"/>
  <c r="CB19" i="10" s="1"/>
  <c r="O10" i="10" l="1"/>
  <c r="P9" i="10"/>
  <c r="DA6" i="10"/>
  <c r="CO10" i="10"/>
  <c r="DL10" i="10"/>
  <c r="CL19" i="10"/>
  <c r="Q8" i="10"/>
  <c r="N7" i="10" s="1"/>
  <c r="U8" i="10"/>
  <c r="S7" i="10"/>
  <c r="S27" i="10"/>
  <c r="CB6" i="10"/>
  <c r="CB13" i="10"/>
  <c r="CB17" i="10"/>
  <c r="CB10" i="10"/>
  <c r="CB14" i="10"/>
  <c r="CB22" i="10"/>
  <c r="CB11" i="10"/>
  <c r="CB15" i="10"/>
  <c r="CB12" i="10"/>
  <c r="CB23" i="10"/>
  <c r="CB27" i="10"/>
  <c r="CB31" i="10"/>
  <c r="CB35" i="10"/>
  <c r="CB39" i="10"/>
  <c r="CB43" i="10"/>
  <c r="CB47" i="10"/>
  <c r="CB51" i="10"/>
  <c r="CB55" i="10"/>
  <c r="CB59" i="10"/>
  <c r="CB63" i="10"/>
  <c r="CB67" i="10"/>
  <c r="CB71" i="10"/>
  <c r="CB75" i="10"/>
  <c r="CB79" i="10"/>
  <c r="CB83" i="10"/>
  <c r="CB87" i="10"/>
  <c r="CB91" i="10"/>
  <c r="CB95" i="10"/>
  <c r="CB99" i="10"/>
  <c r="CB103" i="10"/>
  <c r="CB107" i="10"/>
  <c r="CB111" i="10"/>
  <c r="CB115" i="10"/>
  <c r="CB119" i="10"/>
  <c r="CB123" i="10"/>
  <c r="CB127" i="10"/>
  <c r="CB131" i="10"/>
  <c r="CB135" i="10"/>
  <c r="CB139" i="10"/>
  <c r="CB143" i="10"/>
  <c r="CB147" i="10"/>
  <c r="CB151" i="10"/>
  <c r="CB155" i="10"/>
  <c r="CB159" i="10"/>
  <c r="CB163" i="10"/>
  <c r="CB167" i="10"/>
  <c r="CB171" i="10"/>
  <c r="CB175" i="10"/>
  <c r="CB179" i="10"/>
  <c r="CB183" i="10"/>
  <c r="CB187" i="10"/>
  <c r="CB191" i="10"/>
  <c r="CB195" i="10"/>
  <c r="CB199" i="10"/>
  <c r="CB203" i="10"/>
  <c r="CB207" i="10"/>
  <c r="CB211" i="10"/>
  <c r="CB215" i="10"/>
  <c r="CB219" i="10"/>
  <c r="CB223" i="10"/>
  <c r="CB227" i="10"/>
  <c r="CB231" i="10"/>
  <c r="CB235" i="10"/>
  <c r="CB239" i="10"/>
  <c r="CB243" i="10"/>
  <c r="CB247" i="10"/>
  <c r="CB251" i="10"/>
  <c r="CB255" i="10"/>
  <c r="CB259" i="10"/>
  <c r="CB263" i="10"/>
  <c r="CB267" i="10"/>
  <c r="CB271" i="10"/>
  <c r="CB275" i="10"/>
  <c r="CB279" i="10"/>
  <c r="CB16" i="10"/>
  <c r="CB24" i="10"/>
  <c r="CB28" i="10"/>
  <c r="CB32" i="10"/>
  <c r="CB36" i="10"/>
  <c r="CB40" i="10"/>
  <c r="CB44" i="10"/>
  <c r="CB48" i="10"/>
  <c r="CB52" i="10"/>
  <c r="CB56" i="10"/>
  <c r="CB60" i="10"/>
  <c r="CB64" i="10"/>
  <c r="CB68" i="10"/>
  <c r="CB72" i="10"/>
  <c r="CB76" i="10"/>
  <c r="CB80" i="10"/>
  <c r="CB84" i="10"/>
  <c r="CB88" i="10"/>
  <c r="CB92" i="10"/>
  <c r="CB96" i="10"/>
  <c r="CB100" i="10"/>
  <c r="CB104" i="10"/>
  <c r="CB108" i="10"/>
  <c r="CB112" i="10"/>
  <c r="CB116" i="10"/>
  <c r="CB120" i="10"/>
  <c r="CB124" i="10"/>
  <c r="CB128" i="10"/>
  <c r="CB132" i="10"/>
  <c r="CB136" i="10"/>
  <c r="CB140" i="10"/>
  <c r="CB144" i="10"/>
  <c r="CB148" i="10"/>
  <c r="CB152" i="10"/>
  <c r="CB156" i="10"/>
  <c r="CB160" i="10"/>
  <c r="CB164" i="10"/>
  <c r="CB168" i="10"/>
  <c r="CB172" i="10"/>
  <c r="CB176" i="10"/>
  <c r="CB180" i="10"/>
  <c r="CB184" i="10"/>
  <c r="CB188" i="10"/>
  <c r="CB192" i="10"/>
  <c r="CB196" i="10"/>
  <c r="CB200" i="10"/>
  <c r="CB204" i="10"/>
  <c r="CB208" i="10"/>
  <c r="CB212" i="10"/>
  <c r="CB216" i="10"/>
  <c r="CB220" i="10"/>
  <c r="CB224" i="10"/>
  <c r="CB228" i="10"/>
  <c r="CB232" i="10"/>
  <c r="CB236" i="10"/>
  <c r="CB240" i="10"/>
  <c r="CB244" i="10"/>
  <c r="CB248" i="10"/>
  <c r="CB252" i="10"/>
  <c r="CB256" i="10"/>
  <c r="CB260" i="10"/>
  <c r="CB264" i="10"/>
  <c r="CB268" i="10"/>
  <c r="CB272" i="10"/>
  <c r="CB276" i="10"/>
  <c r="CB20" i="10"/>
  <c r="CB25" i="10"/>
  <c r="CB29" i="10"/>
  <c r="CB33" i="10"/>
  <c r="CB37" i="10"/>
  <c r="CB41" i="10"/>
  <c r="CB45" i="10"/>
  <c r="CB49" i="10"/>
  <c r="CB53" i="10"/>
  <c r="CB57" i="10"/>
  <c r="CB61" i="10"/>
  <c r="CB65" i="10"/>
  <c r="CB69" i="10"/>
  <c r="CB73" i="10"/>
  <c r="CB77" i="10"/>
  <c r="CB81" i="10"/>
  <c r="CB85" i="10"/>
  <c r="CB89" i="10"/>
  <c r="CB93" i="10"/>
  <c r="CB97" i="10"/>
  <c r="CB101" i="10"/>
  <c r="CB105" i="10"/>
  <c r="CB109" i="10"/>
  <c r="CB113" i="10"/>
  <c r="CB117" i="10"/>
  <c r="CB121" i="10"/>
  <c r="CB125" i="10"/>
  <c r="CB129" i="10"/>
  <c r="CB133" i="10"/>
  <c r="CB137" i="10"/>
  <c r="CB141" i="10"/>
  <c r="CB145" i="10"/>
  <c r="CB149" i="10"/>
  <c r="CB153" i="10"/>
  <c r="CB157" i="10"/>
  <c r="CB161" i="10"/>
  <c r="CB165" i="10"/>
  <c r="CB169" i="10"/>
  <c r="CB173" i="10"/>
  <c r="CB177" i="10"/>
  <c r="CB181" i="10"/>
  <c r="CB185" i="10"/>
  <c r="CB189" i="10"/>
  <c r="CB193" i="10"/>
  <c r="CB197" i="10"/>
  <c r="CB201" i="10"/>
  <c r="CB205" i="10"/>
  <c r="CB209" i="10"/>
  <c r="CB213" i="10"/>
  <c r="CB217" i="10"/>
  <c r="CB221" i="10"/>
  <c r="CB225" i="10"/>
  <c r="CB229" i="10"/>
  <c r="CB233" i="10"/>
  <c r="CB237" i="10"/>
  <c r="CB241" i="10"/>
  <c r="CB245" i="10"/>
  <c r="CB249" i="10"/>
  <c r="CB253" i="10"/>
  <c r="CB257" i="10"/>
  <c r="CB261" i="10"/>
  <c r="CB265" i="10"/>
  <c r="CB269" i="10"/>
  <c r="CB273" i="10"/>
  <c r="CB277" i="10"/>
  <c r="CB26" i="10"/>
  <c r="CB42" i="10"/>
  <c r="CB58" i="10"/>
  <c r="CB74" i="10"/>
  <c r="CB90" i="10"/>
  <c r="CB106" i="10"/>
  <c r="CB122" i="10"/>
  <c r="CB138" i="10"/>
  <c r="CB154" i="10"/>
  <c r="CB170" i="10"/>
  <c r="CB186" i="10"/>
  <c r="CB202" i="10"/>
  <c r="CB218" i="10"/>
  <c r="CB234" i="10"/>
  <c r="CB250" i="10"/>
  <c r="CB266" i="10"/>
  <c r="CB280" i="10"/>
  <c r="CB284" i="10"/>
  <c r="CB288" i="10"/>
  <c r="CB292" i="10"/>
  <c r="CB296" i="10"/>
  <c r="CB300" i="10"/>
  <c r="CB304" i="10"/>
  <c r="CB308" i="10"/>
  <c r="CB312" i="10"/>
  <c r="CB316" i="10"/>
  <c r="CB320" i="10"/>
  <c r="CB324" i="10"/>
  <c r="CB328" i="10"/>
  <c r="CB332" i="10"/>
  <c r="CB336" i="10"/>
  <c r="CB150" i="10"/>
  <c r="CB246" i="10"/>
  <c r="CB291" i="10"/>
  <c r="CB307" i="10"/>
  <c r="CB315" i="10"/>
  <c r="CB331" i="10"/>
  <c r="CB30" i="10"/>
  <c r="CB46" i="10"/>
  <c r="CB62" i="10"/>
  <c r="CB78" i="10"/>
  <c r="CB94" i="10"/>
  <c r="CB110" i="10"/>
  <c r="CB126" i="10"/>
  <c r="CB142" i="10"/>
  <c r="CB158" i="10"/>
  <c r="CB174" i="10"/>
  <c r="CB190" i="10"/>
  <c r="CB206" i="10"/>
  <c r="CB222" i="10"/>
  <c r="CB238" i="10"/>
  <c r="CB254" i="10"/>
  <c r="CB270" i="10"/>
  <c r="CB281" i="10"/>
  <c r="CB285" i="10"/>
  <c r="CB289" i="10"/>
  <c r="CB293" i="10"/>
  <c r="CB297" i="10"/>
  <c r="CB301" i="10"/>
  <c r="CB305" i="10"/>
  <c r="CB309" i="10"/>
  <c r="CB313" i="10"/>
  <c r="CB317" i="10"/>
  <c r="CB321" i="10"/>
  <c r="CB325" i="10"/>
  <c r="CB329" i="10"/>
  <c r="CB333" i="10"/>
  <c r="CB337" i="10"/>
  <c r="CB21" i="10"/>
  <c r="CB54" i="10"/>
  <c r="CB86" i="10"/>
  <c r="CB134" i="10"/>
  <c r="CB182" i="10"/>
  <c r="CB214" i="10"/>
  <c r="CB262" i="10"/>
  <c r="CB287" i="10"/>
  <c r="CB303" i="10"/>
  <c r="CB319" i="10"/>
  <c r="CB335" i="10"/>
  <c r="CB5" i="10"/>
  <c r="CB34" i="10"/>
  <c r="CB50" i="10"/>
  <c r="CB66" i="10"/>
  <c r="CB82" i="10"/>
  <c r="CB98" i="10"/>
  <c r="CB114" i="10"/>
  <c r="CB130" i="10"/>
  <c r="CB146" i="10"/>
  <c r="CB162" i="10"/>
  <c r="CB178" i="10"/>
  <c r="CB194" i="10"/>
  <c r="CB210" i="10"/>
  <c r="CB226" i="10"/>
  <c r="CB242" i="10"/>
  <c r="CB258" i="10"/>
  <c r="CB274" i="10"/>
  <c r="CB282" i="10"/>
  <c r="CB286" i="10"/>
  <c r="CB290" i="10"/>
  <c r="CB294" i="10"/>
  <c r="CB298" i="10"/>
  <c r="CB302" i="10"/>
  <c r="CB306" i="10"/>
  <c r="CB310" i="10"/>
  <c r="CB314" i="10"/>
  <c r="CB318" i="10"/>
  <c r="CB322" i="10"/>
  <c r="CB326" i="10"/>
  <c r="CB330" i="10"/>
  <c r="CB334" i="10"/>
  <c r="CB338" i="10"/>
  <c r="CB38" i="10"/>
  <c r="CB70" i="10"/>
  <c r="CB102" i="10"/>
  <c r="CB118" i="10"/>
  <c r="CB166" i="10"/>
  <c r="CB198" i="10"/>
  <c r="CB230" i="10"/>
  <c r="CB278" i="10"/>
  <c r="CB283" i="10"/>
  <c r="CB295" i="10"/>
  <c r="CB299" i="10"/>
  <c r="CB311" i="10"/>
  <c r="CB323" i="10"/>
  <c r="CB327" i="10"/>
  <c r="CB4" i="10"/>
  <c r="CB7" i="10"/>
  <c r="CB8" i="10"/>
  <c r="CB9" i="10"/>
  <c r="BT5" i="10"/>
  <c r="CB18" i="10"/>
  <c r="CL4" i="10"/>
  <c r="CL6" i="10"/>
  <c r="CL5" i="10"/>
  <c r="CL14" i="10"/>
  <c r="CL22" i="10"/>
  <c r="CL26" i="10"/>
  <c r="CL30" i="10"/>
  <c r="CL34" i="10"/>
  <c r="CL38" i="10"/>
  <c r="CL42" i="10"/>
  <c r="CL46" i="10"/>
  <c r="CL50" i="10"/>
  <c r="CL54" i="10"/>
  <c r="CL58" i="10"/>
  <c r="CL62" i="10"/>
  <c r="CL66" i="10"/>
  <c r="CL70" i="10"/>
  <c r="CL74" i="10"/>
  <c r="CL78" i="10"/>
  <c r="CL82" i="10"/>
  <c r="CL86" i="10"/>
  <c r="CL90" i="10"/>
  <c r="CL94" i="10"/>
  <c r="CL98" i="10"/>
  <c r="CL102" i="10"/>
  <c r="CL106" i="10"/>
  <c r="CL110" i="10"/>
  <c r="CL114" i="10"/>
  <c r="CL118" i="10"/>
  <c r="CL122" i="10"/>
  <c r="CL126" i="10"/>
  <c r="CL130" i="10"/>
  <c r="CL134" i="10"/>
  <c r="CL138" i="10"/>
  <c r="CL142" i="10"/>
  <c r="CL146" i="10"/>
  <c r="CL150" i="10"/>
  <c r="CL154" i="10"/>
  <c r="CL158" i="10"/>
  <c r="CL162" i="10"/>
  <c r="CL166" i="10"/>
  <c r="CL170" i="10"/>
  <c r="CL174" i="10"/>
  <c r="CL178" i="10"/>
  <c r="CL182" i="10"/>
  <c r="CL186" i="10"/>
  <c r="CL190" i="10"/>
  <c r="CL194" i="10"/>
  <c r="CL198" i="10"/>
  <c r="CL202" i="10"/>
  <c r="CL206" i="10"/>
  <c r="CL210" i="10"/>
  <c r="CL214" i="10"/>
  <c r="CL218" i="10"/>
  <c r="CL222" i="10"/>
  <c r="CL226" i="10"/>
  <c r="CL230" i="10"/>
  <c r="CL234" i="10"/>
  <c r="CL238" i="10"/>
  <c r="CL242" i="10"/>
  <c r="CL246" i="10"/>
  <c r="CL250" i="10"/>
  <c r="CL254" i="10"/>
  <c r="CL258" i="10"/>
  <c r="CL262" i="10"/>
  <c r="CL266" i="10"/>
  <c r="CL270" i="10"/>
  <c r="CL274" i="10"/>
  <c r="CL278" i="10"/>
  <c r="CL282" i="10"/>
  <c r="CL286" i="10"/>
  <c r="CL290" i="10"/>
  <c r="CL294" i="10"/>
  <c r="CL298" i="10"/>
  <c r="CL302" i="10"/>
  <c r="CL306" i="10"/>
  <c r="CL310" i="10"/>
  <c r="CL314" i="10"/>
  <c r="CL318" i="10"/>
  <c r="CL322" i="10"/>
  <c r="CL326" i="10"/>
  <c r="CL10" i="10"/>
  <c r="CL11" i="10"/>
  <c r="CL15" i="10"/>
  <c r="CL23" i="10"/>
  <c r="CL27" i="10"/>
  <c r="CL31" i="10"/>
  <c r="CL35" i="10"/>
  <c r="CL39" i="10"/>
  <c r="CL43" i="10"/>
  <c r="CL47" i="10"/>
  <c r="CL51" i="10"/>
  <c r="CL55" i="10"/>
  <c r="CL59" i="10"/>
  <c r="CL63" i="10"/>
  <c r="CL67" i="10"/>
  <c r="CL71" i="10"/>
  <c r="CL75" i="10"/>
  <c r="CL79" i="10"/>
  <c r="CL83" i="10"/>
  <c r="CL87" i="10"/>
  <c r="CL91" i="10"/>
  <c r="CL95" i="10"/>
  <c r="CL99" i="10"/>
  <c r="CL103" i="10"/>
  <c r="CL107" i="10"/>
  <c r="CL111" i="10"/>
  <c r="CL115" i="10"/>
  <c r="CL119" i="10"/>
  <c r="CL123" i="10"/>
  <c r="CL127" i="10"/>
  <c r="CL131" i="10"/>
  <c r="CL135" i="10"/>
  <c r="CL139" i="10"/>
  <c r="CL143" i="10"/>
  <c r="CL147" i="10"/>
  <c r="CL151" i="10"/>
  <c r="CL155" i="10"/>
  <c r="CL159" i="10"/>
  <c r="CL163" i="10"/>
  <c r="CL167" i="10"/>
  <c r="CL171" i="10"/>
  <c r="CL175" i="10"/>
  <c r="CL179" i="10"/>
  <c r="CL183" i="10"/>
  <c r="CL187" i="10"/>
  <c r="CL191" i="10"/>
  <c r="CL195" i="10"/>
  <c r="CL199" i="10"/>
  <c r="CL203" i="10"/>
  <c r="CL207" i="10"/>
  <c r="CL211" i="10"/>
  <c r="CL215" i="10"/>
  <c r="CL219" i="10"/>
  <c r="CL223" i="10"/>
  <c r="CL227" i="10"/>
  <c r="CL231" i="10"/>
  <c r="CL235" i="10"/>
  <c r="CL239" i="10"/>
  <c r="CL243" i="10"/>
  <c r="CL247" i="10"/>
  <c r="CL251" i="10"/>
  <c r="CL255" i="10"/>
  <c r="CL259" i="10"/>
  <c r="CL263" i="10"/>
  <c r="CL267" i="10"/>
  <c r="CL271" i="10"/>
  <c r="CL275" i="10"/>
  <c r="CL279" i="10"/>
  <c r="CL283" i="10"/>
  <c r="CL287" i="10"/>
  <c r="CL291" i="10"/>
  <c r="CL295" i="10"/>
  <c r="CL299" i="10"/>
  <c r="CL303" i="10"/>
  <c r="CL307" i="10"/>
  <c r="CL311" i="10"/>
  <c r="CL315" i="10"/>
  <c r="CL319" i="10"/>
  <c r="CL323" i="10"/>
  <c r="CL327" i="10"/>
  <c r="CL9" i="10"/>
  <c r="CL12" i="10"/>
  <c r="CL16" i="10"/>
  <c r="CL20" i="10"/>
  <c r="CL24" i="10"/>
  <c r="CL28" i="10"/>
  <c r="CL32" i="10"/>
  <c r="CL36" i="10"/>
  <c r="CL40" i="10"/>
  <c r="CL44" i="10"/>
  <c r="CL48" i="10"/>
  <c r="CL52" i="10"/>
  <c r="CL56" i="10"/>
  <c r="CL60" i="10"/>
  <c r="CL64" i="10"/>
  <c r="CL68" i="10"/>
  <c r="CL72" i="10"/>
  <c r="CL76" i="10"/>
  <c r="CL80" i="10"/>
  <c r="CL84" i="10"/>
  <c r="CL88" i="10"/>
  <c r="CL92" i="10"/>
  <c r="CL96" i="10"/>
  <c r="CL100" i="10"/>
  <c r="CL104" i="10"/>
  <c r="CL108" i="10"/>
  <c r="CL112" i="10"/>
  <c r="CL116" i="10"/>
  <c r="CL120" i="10"/>
  <c r="CL124" i="10"/>
  <c r="CL128" i="10"/>
  <c r="CL132" i="10"/>
  <c r="CL136" i="10"/>
  <c r="CL140" i="10"/>
  <c r="CL144" i="10"/>
  <c r="CL148" i="10"/>
  <c r="CL152" i="10"/>
  <c r="CL156" i="10"/>
  <c r="CL160" i="10"/>
  <c r="CL164" i="10"/>
  <c r="CL168" i="10"/>
  <c r="CL172" i="10"/>
  <c r="CL176" i="10"/>
  <c r="CL180" i="10"/>
  <c r="CL184" i="10"/>
  <c r="CL188" i="10"/>
  <c r="CL192" i="10"/>
  <c r="CL196" i="10"/>
  <c r="CL200" i="10"/>
  <c r="CL204" i="10"/>
  <c r="CL208" i="10"/>
  <c r="CL212" i="10"/>
  <c r="CL216" i="10"/>
  <c r="CL220" i="10"/>
  <c r="CL224" i="10"/>
  <c r="CL228" i="10"/>
  <c r="CL232" i="10"/>
  <c r="CL236" i="10"/>
  <c r="CL240" i="10"/>
  <c r="CL244" i="10"/>
  <c r="CL248" i="10"/>
  <c r="CL252" i="10"/>
  <c r="CL256" i="10"/>
  <c r="CL260" i="10"/>
  <c r="CL264" i="10"/>
  <c r="CL268" i="10"/>
  <c r="CL272" i="10"/>
  <c r="CL276" i="10"/>
  <c r="CL280" i="10"/>
  <c r="CL284" i="10"/>
  <c r="CL288" i="10"/>
  <c r="CL292" i="10"/>
  <c r="CL296" i="10"/>
  <c r="CL300" i="10"/>
  <c r="CL304" i="10"/>
  <c r="CL308" i="10"/>
  <c r="CL312" i="10"/>
  <c r="CL316" i="10"/>
  <c r="CL320" i="10"/>
  <c r="CL324" i="10"/>
  <c r="CL328" i="10"/>
  <c r="CL7" i="10"/>
  <c r="CL13" i="10"/>
  <c r="CL29" i="10"/>
  <c r="CL45" i="10"/>
  <c r="CL61" i="10"/>
  <c r="CL77" i="10"/>
  <c r="CL93" i="10"/>
  <c r="CL109" i="10"/>
  <c r="CL125" i="10"/>
  <c r="CL141" i="10"/>
  <c r="CL157" i="10"/>
  <c r="CL173" i="10"/>
  <c r="CL189" i="10"/>
  <c r="CL205" i="10"/>
  <c r="CL221" i="10"/>
  <c r="CL237" i="10"/>
  <c r="CL253" i="10"/>
  <c r="CL269" i="10"/>
  <c r="CL285" i="10"/>
  <c r="CL301" i="10"/>
  <c r="CL317" i="10"/>
  <c r="CL17" i="10"/>
  <c r="CL33" i="10"/>
  <c r="CL49" i="10"/>
  <c r="CL65" i="10"/>
  <c r="CL81" i="10"/>
  <c r="CL97" i="10"/>
  <c r="CL113" i="10"/>
  <c r="CL129" i="10"/>
  <c r="CL145" i="10"/>
  <c r="CL161" i="10"/>
  <c r="CL177" i="10"/>
  <c r="CL193" i="10"/>
  <c r="CL209" i="10"/>
  <c r="CL225" i="10"/>
  <c r="CL241" i="10"/>
  <c r="CL257" i="10"/>
  <c r="CL273" i="10"/>
  <c r="CL289" i="10"/>
  <c r="CL305" i="10"/>
  <c r="CL321" i="10"/>
  <c r="CL21" i="10"/>
  <c r="CL37" i="10"/>
  <c r="CL53" i="10"/>
  <c r="CL69" i="10"/>
  <c r="CL85" i="10"/>
  <c r="CL101" i="10"/>
  <c r="CL117" i="10"/>
  <c r="CL133" i="10"/>
  <c r="CL149" i="10"/>
  <c r="CL165" i="10"/>
  <c r="CL181" i="10"/>
  <c r="CL197" i="10"/>
  <c r="CL213" i="10"/>
  <c r="CL229" i="10"/>
  <c r="CL245" i="10"/>
  <c r="CL261" i="10"/>
  <c r="CL277" i="10"/>
  <c r="CL293" i="10"/>
  <c r="CL309" i="10"/>
  <c r="CL325" i="10"/>
  <c r="CL41" i="10"/>
  <c r="CL105" i="10"/>
  <c r="CL169" i="10"/>
  <c r="CL233" i="10"/>
  <c r="CL297" i="10"/>
  <c r="CL153" i="10"/>
  <c r="CL57" i="10"/>
  <c r="CL121" i="10"/>
  <c r="CL185" i="10"/>
  <c r="CL249" i="10"/>
  <c r="CL313" i="10"/>
  <c r="CL89" i="10"/>
  <c r="CL281" i="10"/>
  <c r="CL73" i="10"/>
  <c r="CL137" i="10"/>
  <c r="CL201" i="10"/>
  <c r="CL265" i="10"/>
  <c r="CL25" i="10"/>
  <c r="CL217" i="10"/>
  <c r="CL8" i="10"/>
  <c r="CL18" i="10"/>
  <c r="BT7" i="10"/>
  <c r="BT6" i="10"/>
  <c r="DG5" i="10"/>
  <c r="CI12" i="10"/>
  <c r="DD5" i="10"/>
  <c r="CR7" i="10"/>
  <c r="CE12" i="10"/>
  <c r="CT11" i="10"/>
  <c r="CT15" i="10"/>
  <c r="CU8" i="10"/>
  <c r="CU11" i="10"/>
  <c r="CT12" i="10"/>
  <c r="CT13" i="10"/>
  <c r="CU15" i="10"/>
  <c r="CT17" i="10"/>
  <c r="CT19" i="10"/>
  <c r="CT21" i="10"/>
  <c r="CT23" i="10"/>
  <c r="CT25" i="10"/>
  <c r="CT27" i="10"/>
  <c r="CT29" i="10"/>
  <c r="CT31" i="10"/>
  <c r="CT33" i="10"/>
  <c r="CU14" i="10"/>
  <c r="CT16" i="10"/>
  <c r="CT18" i="10"/>
  <c r="CT20" i="10"/>
  <c r="CT22" i="10"/>
  <c r="CT24" i="10"/>
  <c r="CU18" i="10"/>
  <c r="CU22" i="10"/>
  <c r="CU26" i="10"/>
  <c r="CT28" i="10"/>
  <c r="CU31" i="10"/>
  <c r="CU34" i="10"/>
  <c r="CU36" i="10"/>
  <c r="CU38" i="10"/>
  <c r="CU40" i="10"/>
  <c r="CU42" i="10"/>
  <c r="CT14" i="10"/>
  <c r="CU17" i="10"/>
  <c r="CU21" i="10"/>
  <c r="CU25" i="10"/>
  <c r="CU28" i="10"/>
  <c r="CT30" i="10"/>
  <c r="CU33" i="10"/>
  <c r="CT35" i="10"/>
  <c r="CT37" i="10"/>
  <c r="CT39" i="10"/>
  <c r="CT41" i="10"/>
  <c r="CT43" i="10"/>
  <c r="CU16" i="10"/>
  <c r="CU20" i="10"/>
  <c r="CU24" i="10"/>
  <c r="CT26" i="10"/>
  <c r="CU32" i="10"/>
  <c r="CT34" i="10"/>
  <c r="CT38" i="10"/>
  <c r="CT42" i="10"/>
  <c r="CU23" i="10"/>
  <c r="CU30" i="10"/>
  <c r="CU37" i="10"/>
  <c r="CU41" i="10"/>
  <c r="CU45" i="10"/>
  <c r="CU47" i="10"/>
  <c r="CU49" i="10"/>
  <c r="CU51" i="10"/>
  <c r="CU53" i="10"/>
  <c r="CU55" i="10"/>
  <c r="CU19" i="10"/>
  <c r="CU29" i="10"/>
  <c r="CT36" i="10"/>
  <c r="CT40" i="10"/>
  <c r="CT44" i="10"/>
  <c r="CT46" i="10"/>
  <c r="CT48" i="10"/>
  <c r="CT50" i="10"/>
  <c r="CT52" i="10"/>
  <c r="CT54" i="10"/>
  <c r="CT56" i="10"/>
  <c r="CU27" i="10"/>
  <c r="CU35" i="10"/>
  <c r="CU44" i="10"/>
  <c r="CU48" i="10"/>
  <c r="CU52" i="10"/>
  <c r="CU56" i="10"/>
  <c r="CT58" i="10"/>
  <c r="CT60" i="10"/>
  <c r="CT62" i="10"/>
  <c r="CT64" i="10"/>
  <c r="CT66" i="10"/>
  <c r="CT68" i="10"/>
  <c r="CT70" i="10"/>
  <c r="CT72" i="10"/>
  <c r="CT74" i="10"/>
  <c r="CT76" i="10"/>
  <c r="CT78" i="10"/>
  <c r="CT80" i="10"/>
  <c r="CT82" i="10"/>
  <c r="CT84" i="10"/>
  <c r="CT86" i="10"/>
  <c r="CT88" i="10"/>
  <c r="CT90" i="10"/>
  <c r="CT47" i="10"/>
  <c r="CT51" i="10"/>
  <c r="CT55" i="10"/>
  <c r="CU58" i="10"/>
  <c r="CU60" i="10"/>
  <c r="CU62" i="10"/>
  <c r="CU64" i="10"/>
  <c r="CU66" i="10"/>
  <c r="CU68" i="10"/>
  <c r="CU70" i="10"/>
  <c r="CU72" i="10"/>
  <c r="CU74" i="10"/>
  <c r="CU76" i="10"/>
  <c r="CU78" i="10"/>
  <c r="CU80" i="10"/>
  <c r="CU82" i="10"/>
  <c r="CU84" i="10"/>
  <c r="CU86" i="10"/>
  <c r="CU88" i="10"/>
  <c r="CU90" i="10"/>
  <c r="CU92" i="10"/>
  <c r="CT32" i="10"/>
  <c r="CU46" i="10"/>
  <c r="CU50" i="10"/>
  <c r="CU54" i="10"/>
  <c r="CT57" i="10"/>
  <c r="CT59" i="10"/>
  <c r="CT61" i="10"/>
  <c r="CT63" i="10"/>
  <c r="CT65" i="10"/>
  <c r="CT67" i="10"/>
  <c r="CT69" i="10"/>
  <c r="CT71" i="10"/>
  <c r="CT73" i="10"/>
  <c r="CT75" i="10"/>
  <c r="CT77" i="10"/>
  <c r="CT79" i="10"/>
  <c r="CT81" i="10"/>
  <c r="CU63" i="10"/>
  <c r="CU71" i="10"/>
  <c r="CU79" i="10"/>
  <c r="CU85" i="10"/>
  <c r="CU89" i="10"/>
  <c r="CT92" i="10"/>
  <c r="CU93" i="10"/>
  <c r="CU95" i="10"/>
  <c r="CU97" i="10"/>
  <c r="CU99" i="10"/>
  <c r="CU101" i="10"/>
  <c r="CU103" i="10"/>
  <c r="CU105" i="10"/>
  <c r="CU107" i="10"/>
  <c r="CU109" i="10"/>
  <c r="CU111" i="10"/>
  <c r="CU113" i="10"/>
  <c r="CU115" i="10"/>
  <c r="CU117" i="10"/>
  <c r="CU119" i="10"/>
  <c r="CU121" i="10"/>
  <c r="CU123" i="10"/>
  <c r="CU39" i="10"/>
  <c r="CU43" i="10"/>
  <c r="CT53" i="10"/>
  <c r="CU61" i="10"/>
  <c r="CU69" i="10"/>
  <c r="CU77" i="10"/>
  <c r="CT83" i="10"/>
  <c r="CT87" i="10"/>
  <c r="CT91" i="10"/>
  <c r="CT94" i="10"/>
  <c r="CT96" i="10"/>
  <c r="CT98" i="10"/>
  <c r="CT100" i="10"/>
  <c r="CT102" i="10"/>
  <c r="CT104" i="10"/>
  <c r="CT106" i="10"/>
  <c r="CT108" i="10"/>
  <c r="CT110" i="10"/>
  <c r="CT112" i="10"/>
  <c r="CT114" i="10"/>
  <c r="CT116" i="10"/>
  <c r="CT118" i="10"/>
  <c r="CT120" i="10"/>
  <c r="CT122" i="10"/>
  <c r="CT49" i="10"/>
  <c r="CU59" i="10"/>
  <c r="CU67" i="10"/>
  <c r="CU75" i="10"/>
  <c r="CU83" i="10"/>
  <c r="CU87" i="10"/>
  <c r="CU65" i="10"/>
  <c r="CT93" i="10"/>
  <c r="CT97" i="10"/>
  <c r="CT101" i="10"/>
  <c r="CT105" i="10"/>
  <c r="CT109" i="10"/>
  <c r="CT113" i="10"/>
  <c r="CT117" i="10"/>
  <c r="CT121" i="10"/>
  <c r="CT125" i="10"/>
  <c r="CT127" i="10"/>
  <c r="CT129" i="10"/>
  <c r="CT131" i="10"/>
  <c r="CT133" i="10"/>
  <c r="CT135" i="10"/>
  <c r="CT137" i="10"/>
  <c r="CT139" i="10"/>
  <c r="CT141" i="10"/>
  <c r="CT143" i="10"/>
  <c r="CT145" i="10"/>
  <c r="CT147" i="10"/>
  <c r="CT149" i="10"/>
  <c r="CT151" i="10"/>
  <c r="CT153" i="10"/>
  <c r="CT155" i="10"/>
  <c r="CT157" i="10"/>
  <c r="CT159" i="10"/>
  <c r="CT161" i="10"/>
  <c r="CT163" i="10"/>
  <c r="CT165" i="10"/>
  <c r="CT167" i="10"/>
  <c r="CT169" i="10"/>
  <c r="CT171" i="10"/>
  <c r="CT173" i="10"/>
  <c r="CT175" i="10"/>
  <c r="CT177" i="10"/>
  <c r="CT179" i="10"/>
  <c r="CT181" i="10"/>
  <c r="CT183" i="10"/>
  <c r="CT185" i="10"/>
  <c r="CT45" i="10"/>
  <c r="CU57" i="10"/>
  <c r="CT89" i="10"/>
  <c r="CU91" i="10"/>
  <c r="CU96" i="10"/>
  <c r="CU100" i="10"/>
  <c r="CU104" i="10"/>
  <c r="CU108" i="10"/>
  <c r="CU112" i="10"/>
  <c r="CU116" i="10"/>
  <c r="CU120" i="10"/>
  <c r="CU125" i="10"/>
  <c r="CU127" i="10"/>
  <c r="CU129" i="10"/>
  <c r="CU131" i="10"/>
  <c r="CU133" i="10"/>
  <c r="CU135" i="10"/>
  <c r="CU137" i="10"/>
  <c r="CU139" i="10"/>
  <c r="CU141" i="10"/>
  <c r="CU143" i="10"/>
  <c r="CU145" i="10"/>
  <c r="CU147" i="10"/>
  <c r="CU149" i="10"/>
  <c r="CU151" i="10"/>
  <c r="CU153" i="10"/>
  <c r="CU155" i="10"/>
  <c r="CU157" i="10"/>
  <c r="CU159" i="10"/>
  <c r="CU161" i="10"/>
  <c r="CU163" i="10"/>
  <c r="CU165" i="10"/>
  <c r="CU167" i="10"/>
  <c r="CU169" i="10"/>
  <c r="CU171" i="10"/>
  <c r="CU173" i="10"/>
  <c r="CU175" i="10"/>
  <c r="CU177" i="10"/>
  <c r="CU179" i="10"/>
  <c r="CU181" i="10"/>
  <c r="CU183" i="10"/>
  <c r="CU185" i="10"/>
  <c r="CU187" i="10"/>
  <c r="CU189" i="10"/>
  <c r="CU191" i="10"/>
  <c r="CU193" i="10"/>
  <c r="CU195" i="10"/>
  <c r="CU81" i="10"/>
  <c r="CT85" i="10"/>
  <c r="CT95" i="10"/>
  <c r="CT99" i="10"/>
  <c r="CT103" i="10"/>
  <c r="CT107" i="10"/>
  <c r="CT111" i="10"/>
  <c r="CU98" i="10"/>
  <c r="CU114" i="10"/>
  <c r="CT119" i="10"/>
  <c r="CT126" i="10"/>
  <c r="CT130" i="10"/>
  <c r="CT134" i="10"/>
  <c r="CT138" i="10"/>
  <c r="CT142" i="10"/>
  <c r="CT146" i="10"/>
  <c r="CT150" i="10"/>
  <c r="CT154" i="10"/>
  <c r="CT158" i="10"/>
  <c r="CT162" i="10"/>
  <c r="CT166" i="10"/>
  <c r="CT170" i="10"/>
  <c r="CT174" i="10"/>
  <c r="CT178" i="10"/>
  <c r="CT182" i="10"/>
  <c r="CT186" i="10"/>
  <c r="CT188" i="10"/>
  <c r="CT191" i="10"/>
  <c r="CU194" i="10"/>
  <c r="CU197" i="10"/>
  <c r="CU199" i="10"/>
  <c r="CU201" i="10"/>
  <c r="CU203" i="10"/>
  <c r="CU205" i="10"/>
  <c r="CU207" i="10"/>
  <c r="CU209" i="10"/>
  <c r="CU211" i="10"/>
  <c r="CU213" i="10"/>
  <c r="CU215" i="10"/>
  <c r="CU217" i="10"/>
  <c r="CU219" i="10"/>
  <c r="CU221" i="10"/>
  <c r="CU223" i="10"/>
  <c r="CU225" i="10"/>
  <c r="CU227" i="10"/>
  <c r="CU94" i="10"/>
  <c r="CU110" i="10"/>
  <c r="CU118" i="10"/>
  <c r="CU126" i="10"/>
  <c r="CU130" i="10"/>
  <c r="CU134" i="10"/>
  <c r="CU138" i="10"/>
  <c r="CU142" i="10"/>
  <c r="CU146" i="10"/>
  <c r="CU150" i="10"/>
  <c r="CU154" i="10"/>
  <c r="CU158" i="10"/>
  <c r="CU162" i="10"/>
  <c r="CU166" i="10"/>
  <c r="CU170" i="10"/>
  <c r="CU174" i="10"/>
  <c r="CU178" i="10"/>
  <c r="CU182" i="10"/>
  <c r="CU186" i="10"/>
  <c r="CU188" i="10"/>
  <c r="CT190" i="10"/>
  <c r="CT193" i="10"/>
  <c r="CT196" i="10"/>
  <c r="CT198" i="10"/>
  <c r="CT200" i="10"/>
  <c r="CT202" i="10"/>
  <c r="CT204" i="10"/>
  <c r="CT206" i="10"/>
  <c r="CT208" i="10"/>
  <c r="CT210" i="10"/>
  <c r="CT212" i="10"/>
  <c r="CT214" i="10"/>
  <c r="CT216" i="10"/>
  <c r="CT218" i="10"/>
  <c r="CT220" i="10"/>
  <c r="CT222" i="10"/>
  <c r="CT224" i="10"/>
  <c r="CT226" i="10"/>
  <c r="CT228" i="10"/>
  <c r="CU106" i="10"/>
  <c r="CT115" i="10"/>
  <c r="CT123" i="10"/>
  <c r="CT124" i="10"/>
  <c r="CT128" i="10"/>
  <c r="CT132" i="10"/>
  <c r="CT136" i="10"/>
  <c r="CT140" i="10"/>
  <c r="CT144" i="10"/>
  <c r="CT148" i="10"/>
  <c r="CT152" i="10"/>
  <c r="CT156" i="10"/>
  <c r="CT160" i="10"/>
  <c r="CT164" i="10"/>
  <c r="CT168" i="10"/>
  <c r="CT172" i="10"/>
  <c r="CT176" i="10"/>
  <c r="CT180" i="10"/>
  <c r="CT184" i="10"/>
  <c r="CT187" i="10"/>
  <c r="CU190" i="10"/>
  <c r="CT192" i="10"/>
  <c r="CT195" i="10"/>
  <c r="CU196" i="10"/>
  <c r="CU122" i="10"/>
  <c r="CU124" i="10"/>
  <c r="CU140" i="10"/>
  <c r="CU156" i="10"/>
  <c r="CU172" i="10"/>
  <c r="CT189" i="10"/>
  <c r="CT194" i="10"/>
  <c r="CU73" i="10"/>
  <c r="CU136" i="10"/>
  <c r="CU152" i="10"/>
  <c r="CU168" i="10"/>
  <c r="CU184" i="10"/>
  <c r="CU192" i="10"/>
  <c r="CU102" i="10"/>
  <c r="CU132" i="10"/>
  <c r="CU148" i="10"/>
  <c r="CU164" i="10"/>
  <c r="CU180" i="10"/>
  <c r="CU128" i="10"/>
  <c r="CU144" i="10"/>
  <c r="CU160" i="10"/>
  <c r="CU176" i="10"/>
  <c r="CT201" i="10"/>
  <c r="CT205" i="10"/>
  <c r="CT209" i="10"/>
  <c r="CT213" i="10"/>
  <c r="CT217" i="10"/>
  <c r="CT221" i="10"/>
  <c r="CT225" i="10"/>
  <c r="CU229" i="10"/>
  <c r="CU231" i="10"/>
  <c r="CU233" i="10"/>
  <c r="CT197" i="10"/>
  <c r="CU200" i="10"/>
  <c r="CU204" i="10"/>
  <c r="CU208" i="10"/>
  <c r="CU212" i="10"/>
  <c r="CU216" i="10"/>
  <c r="CU220" i="10"/>
  <c r="CU224" i="10"/>
  <c r="CU228" i="10"/>
  <c r="CT230" i="10"/>
  <c r="CT232" i="10"/>
  <c r="CT234" i="10"/>
  <c r="CT199" i="10"/>
  <c r="CT203" i="10"/>
  <c r="CT207" i="10"/>
  <c r="CT211" i="10"/>
  <c r="CT215" i="10"/>
  <c r="CT219" i="10"/>
  <c r="CT223" i="10"/>
  <c r="CU198" i="10"/>
  <c r="CU202" i="10"/>
  <c r="CU206" i="10"/>
  <c r="CU210" i="10"/>
  <c r="CU214" i="10"/>
  <c r="CU218" i="10"/>
  <c r="CU222" i="10"/>
  <c r="CU226" i="10"/>
  <c r="CT229" i="10"/>
  <c r="CT231" i="10"/>
  <c r="CT233" i="10"/>
  <c r="CU232" i="10"/>
  <c r="CU235" i="10"/>
  <c r="CU237" i="10"/>
  <c r="CU239" i="10"/>
  <c r="CU241" i="10"/>
  <c r="CU243" i="10"/>
  <c r="CU245" i="10"/>
  <c r="CU247" i="10"/>
  <c r="CU249" i="10"/>
  <c r="CU251" i="10"/>
  <c r="CU253" i="10"/>
  <c r="CU255" i="10"/>
  <c r="CU257" i="10"/>
  <c r="CU259" i="10"/>
  <c r="CU261" i="10"/>
  <c r="CU263" i="10"/>
  <c r="CU265" i="10"/>
  <c r="CU267" i="10"/>
  <c r="CU269" i="10"/>
  <c r="CU271" i="10"/>
  <c r="CU273" i="10"/>
  <c r="CU275" i="10"/>
  <c r="CU277" i="10"/>
  <c r="CU279" i="10"/>
  <c r="CU281" i="10"/>
  <c r="CU283" i="10"/>
  <c r="CU285" i="10"/>
  <c r="CU287" i="10"/>
  <c r="CU289" i="10"/>
  <c r="CU291" i="10"/>
  <c r="CU293" i="10"/>
  <c r="CU295" i="10"/>
  <c r="CU297" i="10"/>
  <c r="CU299" i="10"/>
  <c r="CU301" i="10"/>
  <c r="CU303" i="10"/>
  <c r="CU305" i="10"/>
  <c r="CU307" i="10"/>
  <c r="CU230" i="10"/>
  <c r="CT236" i="10"/>
  <c r="CT238" i="10"/>
  <c r="CT240" i="10"/>
  <c r="CT242" i="10"/>
  <c r="CT244" i="10"/>
  <c r="CT246" i="10"/>
  <c r="CT248" i="10"/>
  <c r="CT250" i="10"/>
  <c r="CT252" i="10"/>
  <c r="CT254" i="10"/>
  <c r="CT256" i="10"/>
  <c r="CT258" i="10"/>
  <c r="CT260" i="10"/>
  <c r="CT262" i="10"/>
  <c r="CT264" i="10"/>
  <c r="CT266" i="10"/>
  <c r="CT268" i="10"/>
  <c r="CT270" i="10"/>
  <c r="CT272" i="10"/>
  <c r="CT274" i="10"/>
  <c r="CT276" i="10"/>
  <c r="CT278" i="10"/>
  <c r="CT280" i="10"/>
  <c r="CT282" i="10"/>
  <c r="CT284" i="10"/>
  <c r="CT286" i="10"/>
  <c r="CT288" i="10"/>
  <c r="CT290" i="10"/>
  <c r="CT292" i="10"/>
  <c r="CT294" i="10"/>
  <c r="CT296" i="10"/>
  <c r="CT298" i="10"/>
  <c r="CT300" i="10"/>
  <c r="CT302" i="10"/>
  <c r="CT304" i="10"/>
  <c r="CT306" i="10"/>
  <c r="CT308" i="10"/>
  <c r="CT310" i="10"/>
  <c r="CT312" i="10"/>
  <c r="CT314" i="10"/>
  <c r="CT316" i="10"/>
  <c r="CT318" i="10"/>
  <c r="CU236" i="10"/>
  <c r="CU238" i="10"/>
  <c r="CU240" i="10"/>
  <c r="CU242" i="10"/>
  <c r="CU244" i="10"/>
  <c r="CU246" i="10"/>
  <c r="CU248" i="10"/>
  <c r="CU250" i="10"/>
  <c r="CU252" i="10"/>
  <c r="CU254" i="10"/>
  <c r="CU256" i="10"/>
  <c r="CU258" i="10"/>
  <c r="CU260" i="10"/>
  <c r="CU262" i="10"/>
  <c r="CU264" i="10"/>
  <c r="CU266" i="10"/>
  <c r="CU268" i="10"/>
  <c r="CU270" i="10"/>
  <c r="CU272" i="10"/>
  <c r="CU274" i="10"/>
  <c r="CU276" i="10"/>
  <c r="CU278" i="10"/>
  <c r="CU280" i="10"/>
  <c r="CU282" i="10"/>
  <c r="CU284" i="10"/>
  <c r="CU286" i="10"/>
  <c r="CU288" i="10"/>
  <c r="CU290" i="10"/>
  <c r="CU292" i="10"/>
  <c r="CU294" i="10"/>
  <c r="CU296" i="10"/>
  <c r="CU298" i="10"/>
  <c r="CU300" i="10"/>
  <c r="CU302" i="10"/>
  <c r="CU304" i="10"/>
  <c r="CU306" i="10"/>
  <c r="CU308" i="10"/>
  <c r="CU310" i="10"/>
  <c r="CU312" i="10"/>
  <c r="CU314" i="10"/>
  <c r="CU316" i="10"/>
  <c r="CU318" i="10"/>
  <c r="CU320" i="10"/>
  <c r="CU322" i="10"/>
  <c r="CT227" i="10"/>
  <c r="CU234" i="10"/>
  <c r="CT235" i="10"/>
  <c r="CT237" i="10"/>
  <c r="CT239" i="10"/>
  <c r="CT241" i="10"/>
  <c r="CT243" i="10"/>
  <c r="CT245" i="10"/>
  <c r="CT247" i="10"/>
  <c r="CT249" i="10"/>
  <c r="CT251" i="10"/>
  <c r="CT253" i="10"/>
  <c r="CT255" i="10"/>
  <c r="CT257" i="10"/>
  <c r="CT259" i="10"/>
  <c r="CT261" i="10"/>
  <c r="CT263" i="10"/>
  <c r="CT265" i="10"/>
  <c r="CT267" i="10"/>
  <c r="CT269" i="10"/>
  <c r="CT273" i="10"/>
  <c r="CT281" i="10"/>
  <c r="CT289" i="10"/>
  <c r="CT311" i="10"/>
  <c r="CU327" i="10"/>
  <c r="CT326" i="10"/>
  <c r="CT328" i="10"/>
  <c r="CT271" i="10"/>
  <c r="CT279" i="10"/>
  <c r="CT287" i="10"/>
  <c r="CT295" i="10"/>
  <c r="CT303" i="10"/>
  <c r="CU311" i="10"/>
  <c r="CU315" i="10"/>
  <c r="CU321" i="10"/>
  <c r="CT324" i="10"/>
  <c r="CT277" i="10"/>
  <c r="CT285" i="10"/>
  <c r="CT293" i="10"/>
  <c r="CT301" i="10"/>
  <c r="CT309" i="10"/>
  <c r="CT313" i="10"/>
  <c r="CT317" i="10"/>
  <c r="CT320" i="10"/>
  <c r="CU323" i="10"/>
  <c r="CU324" i="10"/>
  <c r="CU326" i="10"/>
  <c r="CU328" i="10"/>
  <c r="CT315" i="10"/>
  <c r="CU319" i="10"/>
  <c r="CT321" i="10"/>
  <c r="CU325" i="10"/>
  <c r="CT323" i="10"/>
  <c r="CT275" i="10"/>
  <c r="CT283" i="10"/>
  <c r="CT291" i="10"/>
  <c r="CT299" i="10"/>
  <c r="CT307" i="10"/>
  <c r="CU309" i="10"/>
  <c r="CU313" i="10"/>
  <c r="CU317" i="10"/>
  <c r="CT319" i="10"/>
  <c r="CT322" i="10"/>
  <c r="CT325" i="10"/>
  <c r="CT327" i="10"/>
  <c r="CT297" i="10"/>
  <c r="CT305" i="10"/>
  <c r="CC13" i="10"/>
  <c r="CC11" i="10"/>
  <c r="CC15" i="10"/>
  <c r="CC14" i="10"/>
  <c r="CC16" i="10"/>
  <c r="CC20" i="10"/>
  <c r="CC24" i="10"/>
  <c r="CC28" i="10"/>
  <c r="CC33" i="10"/>
  <c r="CC34" i="10"/>
  <c r="CC36" i="10"/>
  <c r="CC38" i="10"/>
  <c r="CC40" i="10"/>
  <c r="CC42" i="10"/>
  <c r="CC19" i="10"/>
  <c r="CC23" i="10"/>
  <c r="CC27" i="10"/>
  <c r="CC30" i="10"/>
  <c r="CC18" i="10"/>
  <c r="CC22" i="10"/>
  <c r="CC21" i="10"/>
  <c r="CC26" i="10"/>
  <c r="CC31" i="10"/>
  <c r="CC17" i="10"/>
  <c r="CC29" i="10"/>
  <c r="CC35" i="10"/>
  <c r="CC39" i="10"/>
  <c r="CC45" i="10"/>
  <c r="CC47" i="10"/>
  <c r="CC49" i="10"/>
  <c r="CC51" i="10"/>
  <c r="CC53" i="10"/>
  <c r="CC55" i="10"/>
  <c r="CC43" i="10"/>
  <c r="CC46" i="10"/>
  <c r="CC50" i="10"/>
  <c r="CC54" i="10"/>
  <c r="CC32" i="10"/>
  <c r="CC41" i="10"/>
  <c r="CC58" i="10"/>
  <c r="CC60" i="10"/>
  <c r="CC62" i="10"/>
  <c r="CC64" i="10"/>
  <c r="CC66" i="10"/>
  <c r="CC68" i="10"/>
  <c r="CC70" i="10"/>
  <c r="CC72" i="10"/>
  <c r="CC74" i="10"/>
  <c r="CC76" i="10"/>
  <c r="CC78" i="10"/>
  <c r="CC80" i="10"/>
  <c r="CC82" i="10"/>
  <c r="CC84" i="10"/>
  <c r="CC86" i="10"/>
  <c r="CC88" i="10"/>
  <c r="CC90" i="10"/>
  <c r="CC92" i="10"/>
  <c r="CC37" i="10"/>
  <c r="CC48" i="10"/>
  <c r="CC52" i="10"/>
  <c r="CC56" i="10"/>
  <c r="CC57" i="10"/>
  <c r="CC65" i="10"/>
  <c r="CC73" i="10"/>
  <c r="CC81" i="10"/>
  <c r="CC83" i="10"/>
  <c r="CC87" i="10"/>
  <c r="CC91" i="10"/>
  <c r="CC95" i="10"/>
  <c r="CC97" i="10"/>
  <c r="CC99" i="10"/>
  <c r="CC101" i="10"/>
  <c r="CC103" i="10"/>
  <c r="CC105" i="10"/>
  <c r="CC107" i="10"/>
  <c r="CC109" i="10"/>
  <c r="CC111" i="10"/>
  <c r="CC113" i="10"/>
  <c r="CC115" i="10"/>
  <c r="CC117" i="10"/>
  <c r="CC119" i="10"/>
  <c r="CC121" i="10"/>
  <c r="CC123" i="10"/>
  <c r="CC63" i="10"/>
  <c r="CC71" i="10"/>
  <c r="CC79" i="10"/>
  <c r="CC25" i="10"/>
  <c r="CC44" i="10"/>
  <c r="CC61" i="10"/>
  <c r="CC69" i="10"/>
  <c r="CC77" i="10"/>
  <c r="CC85" i="10"/>
  <c r="CC89" i="10"/>
  <c r="CC59" i="10"/>
  <c r="CC94" i="10"/>
  <c r="CC98" i="10"/>
  <c r="CC102" i="10"/>
  <c r="CC106" i="10"/>
  <c r="CC110" i="10"/>
  <c r="CC114" i="10"/>
  <c r="CC118" i="10"/>
  <c r="CC122" i="10"/>
  <c r="CC125" i="10"/>
  <c r="CC127" i="10"/>
  <c r="CC129" i="10"/>
  <c r="CC131" i="10"/>
  <c r="CC133" i="10"/>
  <c r="CC135" i="10"/>
  <c r="CC137" i="10"/>
  <c r="CC139" i="10"/>
  <c r="CC141" i="10"/>
  <c r="CC143" i="10"/>
  <c r="CC145" i="10"/>
  <c r="CC147" i="10"/>
  <c r="CC149" i="10"/>
  <c r="CC151" i="10"/>
  <c r="CC153" i="10"/>
  <c r="CC155" i="10"/>
  <c r="CC157" i="10"/>
  <c r="CC159" i="10"/>
  <c r="CC161" i="10"/>
  <c r="CC163" i="10"/>
  <c r="CC165" i="10"/>
  <c r="CC167" i="10"/>
  <c r="CC169" i="10"/>
  <c r="CC171" i="10"/>
  <c r="CC173" i="10"/>
  <c r="CC175" i="10"/>
  <c r="CC177" i="10"/>
  <c r="CC179" i="10"/>
  <c r="CC181" i="10"/>
  <c r="CC183" i="10"/>
  <c r="CC185" i="10"/>
  <c r="CC187" i="10"/>
  <c r="CC189" i="10"/>
  <c r="CC191" i="10"/>
  <c r="CC193" i="10"/>
  <c r="CC195" i="10"/>
  <c r="CC75" i="10"/>
  <c r="CC67" i="10"/>
  <c r="CC93" i="10"/>
  <c r="CC108" i="10"/>
  <c r="CC188" i="10"/>
  <c r="CC197" i="10"/>
  <c r="CC199" i="10"/>
  <c r="CC201" i="10"/>
  <c r="CC203" i="10"/>
  <c r="CC205" i="10"/>
  <c r="CC207" i="10"/>
  <c r="CC209" i="10"/>
  <c r="CC211" i="10"/>
  <c r="CC213" i="10"/>
  <c r="CC215" i="10"/>
  <c r="CC217" i="10"/>
  <c r="CC219" i="10"/>
  <c r="CC221" i="10"/>
  <c r="CC223" i="10"/>
  <c r="CC225" i="10"/>
  <c r="CC227" i="10"/>
  <c r="CC104" i="10"/>
  <c r="CC120" i="10"/>
  <c r="CC128" i="10"/>
  <c r="CC132" i="10"/>
  <c r="CC136" i="10"/>
  <c r="CC140" i="10"/>
  <c r="CC144" i="10"/>
  <c r="CC148" i="10"/>
  <c r="CC152" i="10"/>
  <c r="CC156" i="10"/>
  <c r="CC160" i="10"/>
  <c r="CC164" i="10"/>
  <c r="CC168" i="10"/>
  <c r="CC172" i="10"/>
  <c r="CC176" i="10"/>
  <c r="CC180" i="10"/>
  <c r="CC184" i="10"/>
  <c r="CC190" i="10"/>
  <c r="CC100" i="10"/>
  <c r="CC192" i="10"/>
  <c r="CC196" i="10"/>
  <c r="CC96" i="10"/>
  <c r="CC116" i="10"/>
  <c r="CC134" i="10"/>
  <c r="CC150" i="10"/>
  <c r="CC166" i="10"/>
  <c r="CC182" i="10"/>
  <c r="CC130" i="10"/>
  <c r="CC146" i="10"/>
  <c r="CC162" i="10"/>
  <c r="CC178" i="10"/>
  <c r="CC126" i="10"/>
  <c r="CC142" i="10"/>
  <c r="CC158" i="10"/>
  <c r="CC174" i="10"/>
  <c r="CC112" i="10"/>
  <c r="CC124" i="10"/>
  <c r="CC138" i="10"/>
  <c r="CC154" i="10"/>
  <c r="CC170" i="10"/>
  <c r="CC186" i="10"/>
  <c r="CC229" i="10"/>
  <c r="CC231" i="10"/>
  <c r="CC233" i="10"/>
  <c r="CC198" i="10"/>
  <c r="CC202" i="10"/>
  <c r="CC206" i="10"/>
  <c r="CC210" i="10"/>
  <c r="CC214" i="10"/>
  <c r="CC218" i="10"/>
  <c r="CC222" i="10"/>
  <c r="CC226" i="10"/>
  <c r="CC194" i="10"/>
  <c r="CC200" i="10"/>
  <c r="CC204" i="10"/>
  <c r="CC208" i="10"/>
  <c r="CC212" i="10"/>
  <c r="CC216" i="10"/>
  <c r="CC220" i="10"/>
  <c r="CC224" i="10"/>
  <c r="CC228" i="10"/>
  <c r="CC234" i="10"/>
  <c r="CC235" i="10"/>
  <c r="CC237" i="10"/>
  <c r="CC239" i="10"/>
  <c r="CC241" i="10"/>
  <c r="CC243" i="10"/>
  <c r="CC245" i="10"/>
  <c r="CC247" i="10"/>
  <c r="CC249" i="10"/>
  <c r="CC251" i="10"/>
  <c r="CC253" i="10"/>
  <c r="CC255" i="10"/>
  <c r="CC257" i="10"/>
  <c r="CC259" i="10"/>
  <c r="CC261" i="10"/>
  <c r="CC263" i="10"/>
  <c r="CC265" i="10"/>
  <c r="CC267" i="10"/>
  <c r="CC269" i="10"/>
  <c r="CC271" i="10"/>
  <c r="CC273" i="10"/>
  <c r="CC275" i="10"/>
  <c r="CC277" i="10"/>
  <c r="CC279" i="10"/>
  <c r="CC281" i="10"/>
  <c r="CC283" i="10"/>
  <c r="CC285" i="10"/>
  <c r="CC287" i="10"/>
  <c r="CC289" i="10"/>
  <c r="CC291" i="10"/>
  <c r="CC293" i="10"/>
  <c r="CC295" i="10"/>
  <c r="CC297" i="10"/>
  <c r="CC299" i="10"/>
  <c r="CC301" i="10"/>
  <c r="CC303" i="10"/>
  <c r="CC305" i="10"/>
  <c r="CC307" i="10"/>
  <c r="CC232" i="10"/>
  <c r="CC230" i="10"/>
  <c r="CC236" i="10"/>
  <c r="CC238" i="10"/>
  <c r="CC240" i="10"/>
  <c r="CC242" i="10"/>
  <c r="CC244" i="10"/>
  <c r="CC246" i="10"/>
  <c r="CC248" i="10"/>
  <c r="CC250" i="10"/>
  <c r="CC252" i="10"/>
  <c r="CC254" i="10"/>
  <c r="CC256" i="10"/>
  <c r="CC258" i="10"/>
  <c r="CC260" i="10"/>
  <c r="CC262" i="10"/>
  <c r="CC264" i="10"/>
  <c r="CC266" i="10"/>
  <c r="CC268" i="10"/>
  <c r="CC270" i="10"/>
  <c r="CC272" i="10"/>
  <c r="CC274" i="10"/>
  <c r="CC276" i="10"/>
  <c r="CC278" i="10"/>
  <c r="CC280" i="10"/>
  <c r="CC282" i="10"/>
  <c r="CC284" i="10"/>
  <c r="CC286" i="10"/>
  <c r="CC288" i="10"/>
  <c r="CC290" i="10"/>
  <c r="CC292" i="10"/>
  <c r="CC294" i="10"/>
  <c r="CC296" i="10"/>
  <c r="CC298" i="10"/>
  <c r="CC300" i="10"/>
  <c r="CC302" i="10"/>
  <c r="CC304" i="10"/>
  <c r="CC306" i="10"/>
  <c r="CC308" i="10"/>
  <c r="CC310" i="10"/>
  <c r="CC312" i="10"/>
  <c r="CC314" i="10"/>
  <c r="CC316" i="10"/>
  <c r="CC318" i="10"/>
  <c r="CC320" i="10"/>
  <c r="CC322" i="10"/>
  <c r="CC325" i="10"/>
  <c r="CC330" i="10"/>
  <c r="CC323" i="10"/>
  <c r="CC331" i="10"/>
  <c r="CC309" i="10"/>
  <c r="CC313" i="10"/>
  <c r="CC317" i="10"/>
  <c r="CC324" i="10"/>
  <c r="CC326" i="10"/>
  <c r="CC328" i="10"/>
  <c r="CC332" i="10"/>
  <c r="CC336" i="10"/>
  <c r="CC321" i="10"/>
  <c r="CC327" i="10"/>
  <c r="CC334" i="10"/>
  <c r="CC338" i="10"/>
  <c r="CC335" i="10"/>
  <c r="CC311" i="10"/>
  <c r="CC315" i="10"/>
  <c r="CC319" i="10"/>
  <c r="CC329" i="10"/>
  <c r="CC333" i="10"/>
  <c r="CC337" i="10"/>
  <c r="DR4" i="10"/>
  <c r="DR11" i="10"/>
  <c r="DS8" i="10"/>
  <c r="DS11" i="10"/>
  <c r="DR12" i="10"/>
  <c r="DR13" i="10"/>
  <c r="DR15" i="10"/>
  <c r="DR17" i="10"/>
  <c r="DR19" i="10"/>
  <c r="DR21" i="10"/>
  <c r="DR23" i="10"/>
  <c r="DR25" i="10"/>
  <c r="DR27" i="10"/>
  <c r="DR29" i="10"/>
  <c r="DR31" i="10"/>
  <c r="DS14" i="10"/>
  <c r="DR16" i="10"/>
  <c r="DR18" i="10"/>
  <c r="DR20" i="10"/>
  <c r="DR22" i="10"/>
  <c r="DR24" i="10"/>
  <c r="DS18" i="10"/>
  <c r="DS22" i="10"/>
  <c r="DS26" i="10"/>
  <c r="DR28" i="10"/>
  <c r="DS31" i="10"/>
  <c r="DS34" i="10"/>
  <c r="DS36" i="10"/>
  <c r="DS38" i="10"/>
  <c r="DS40" i="10"/>
  <c r="DR14" i="10"/>
  <c r="DS17" i="10"/>
  <c r="DS21" i="10"/>
  <c r="DS25" i="10"/>
  <c r="DS28" i="10"/>
  <c r="DR30" i="10"/>
  <c r="DR33" i="10"/>
  <c r="DR35" i="10"/>
  <c r="DR37" i="10"/>
  <c r="DR39" i="10"/>
  <c r="DR41" i="10"/>
  <c r="DS16" i="10"/>
  <c r="DS20" i="10"/>
  <c r="DS24" i="10"/>
  <c r="DS19" i="10"/>
  <c r="DS29" i="10"/>
  <c r="DR34" i="10"/>
  <c r="DR38" i="10"/>
  <c r="DR42" i="10"/>
  <c r="DR43" i="10"/>
  <c r="DS15" i="10"/>
  <c r="DS27" i="10"/>
  <c r="DR32" i="10"/>
  <c r="DS33" i="10"/>
  <c r="DS37" i="10"/>
  <c r="DS41" i="10"/>
  <c r="DS42" i="10"/>
  <c r="DS43" i="10"/>
  <c r="DS45" i="10"/>
  <c r="DS47" i="10"/>
  <c r="DS49" i="10"/>
  <c r="DS51" i="10"/>
  <c r="DS53" i="10"/>
  <c r="DS55" i="10"/>
  <c r="DR26" i="10"/>
  <c r="DS32" i="10"/>
  <c r="DR36" i="10"/>
  <c r="DR40" i="10"/>
  <c r="DR44" i="10"/>
  <c r="DR46" i="10"/>
  <c r="DR48" i="10"/>
  <c r="DR50" i="10"/>
  <c r="DR52" i="10"/>
  <c r="DR54" i="10"/>
  <c r="DS44" i="10"/>
  <c r="DS48" i="10"/>
  <c r="DS52" i="10"/>
  <c r="DR56" i="10"/>
  <c r="DR58" i="10"/>
  <c r="DR60" i="10"/>
  <c r="DR62" i="10"/>
  <c r="DR64" i="10"/>
  <c r="DR66" i="10"/>
  <c r="DR68" i="10"/>
  <c r="DR70" i="10"/>
  <c r="DR72" i="10"/>
  <c r="DR74" i="10"/>
  <c r="DR76" i="10"/>
  <c r="DR78" i="10"/>
  <c r="DR80" i="10"/>
  <c r="DR82" i="10"/>
  <c r="DR84" i="10"/>
  <c r="DR86" i="10"/>
  <c r="DR88" i="10"/>
  <c r="DR90" i="10"/>
  <c r="DS39" i="10"/>
  <c r="DR47" i="10"/>
  <c r="DR51" i="10"/>
  <c r="DR55" i="10"/>
  <c r="DS56" i="10"/>
  <c r="DS58" i="10"/>
  <c r="DS60" i="10"/>
  <c r="DS62" i="10"/>
  <c r="DS64" i="10"/>
  <c r="DS66" i="10"/>
  <c r="DS68" i="10"/>
  <c r="DS70" i="10"/>
  <c r="DS72" i="10"/>
  <c r="DS74" i="10"/>
  <c r="DS76" i="10"/>
  <c r="DS78" i="10"/>
  <c r="DS80" i="10"/>
  <c r="DS82" i="10"/>
  <c r="DS84" i="10"/>
  <c r="DS86" i="10"/>
  <c r="DS88" i="10"/>
  <c r="DS90" i="10"/>
  <c r="DS92" i="10"/>
  <c r="DS23" i="10"/>
  <c r="DS30" i="10"/>
  <c r="DS35" i="10"/>
  <c r="DS46" i="10"/>
  <c r="DS50" i="10"/>
  <c r="DS54" i="10"/>
  <c r="DR57" i="10"/>
  <c r="DR59" i="10"/>
  <c r="DR61" i="10"/>
  <c r="DR63" i="10"/>
  <c r="DR65" i="10"/>
  <c r="DR67" i="10"/>
  <c r="DR69" i="10"/>
  <c r="DR71" i="10"/>
  <c r="DR73" i="10"/>
  <c r="DR75" i="10"/>
  <c r="DR77" i="10"/>
  <c r="DR79" i="10"/>
  <c r="DR81" i="10"/>
  <c r="DR49" i="10"/>
  <c r="DS63" i="10"/>
  <c r="DS71" i="10"/>
  <c r="DS79" i="10"/>
  <c r="DS85" i="10"/>
  <c r="DS89" i="10"/>
  <c r="DR92" i="10"/>
  <c r="DS93" i="10"/>
  <c r="DS95" i="10"/>
  <c r="DS97" i="10"/>
  <c r="DS99" i="10"/>
  <c r="DS101" i="10"/>
  <c r="DS103" i="10"/>
  <c r="DS105" i="10"/>
  <c r="DS107" i="10"/>
  <c r="DS109" i="10"/>
  <c r="DS111" i="10"/>
  <c r="DS113" i="10"/>
  <c r="DS115" i="10"/>
  <c r="DS117" i="10"/>
  <c r="DS119" i="10"/>
  <c r="DS121" i="10"/>
  <c r="DS123" i="10"/>
  <c r="DR45" i="10"/>
  <c r="DS61" i="10"/>
  <c r="DS69" i="10"/>
  <c r="DS77" i="10"/>
  <c r="DR83" i="10"/>
  <c r="DR87" i="10"/>
  <c r="DR91" i="10"/>
  <c r="DR94" i="10"/>
  <c r="DR96" i="10"/>
  <c r="DR98" i="10"/>
  <c r="DR100" i="10"/>
  <c r="DR102" i="10"/>
  <c r="DR104" i="10"/>
  <c r="DR106" i="10"/>
  <c r="DR108" i="10"/>
  <c r="DR110" i="10"/>
  <c r="DR112" i="10"/>
  <c r="DR114" i="10"/>
  <c r="DR116" i="10"/>
  <c r="DR118" i="10"/>
  <c r="DR120" i="10"/>
  <c r="DR122" i="10"/>
  <c r="DS59" i="10"/>
  <c r="DS67" i="10"/>
  <c r="DS75" i="10"/>
  <c r="DS83" i="10"/>
  <c r="DS87" i="10"/>
  <c r="DS73" i="10"/>
  <c r="DR85" i="10"/>
  <c r="DR93" i="10"/>
  <c r="DR97" i="10"/>
  <c r="DR101" i="10"/>
  <c r="DR105" i="10"/>
  <c r="DR109" i="10"/>
  <c r="DR113" i="10"/>
  <c r="DR117" i="10"/>
  <c r="DR121" i="10"/>
  <c r="DR125" i="10"/>
  <c r="DR127" i="10"/>
  <c r="DR129" i="10"/>
  <c r="DR131" i="10"/>
  <c r="DR133" i="10"/>
  <c r="DR135" i="10"/>
  <c r="DR137" i="10"/>
  <c r="DR139" i="10"/>
  <c r="DR141" i="10"/>
  <c r="DR143" i="10"/>
  <c r="DR145" i="10"/>
  <c r="DR147" i="10"/>
  <c r="DR149" i="10"/>
  <c r="DR151" i="10"/>
  <c r="DR153" i="10"/>
  <c r="DR155" i="10"/>
  <c r="DR157" i="10"/>
  <c r="DR159" i="10"/>
  <c r="DR161" i="10"/>
  <c r="DR163" i="10"/>
  <c r="DR165" i="10"/>
  <c r="DR167" i="10"/>
  <c r="DR169" i="10"/>
  <c r="DR171" i="10"/>
  <c r="DR173" i="10"/>
  <c r="DR175" i="10"/>
  <c r="DR177" i="10"/>
  <c r="DR179" i="10"/>
  <c r="DR181" i="10"/>
  <c r="DR183" i="10"/>
  <c r="DR185" i="10"/>
  <c r="DR53" i="10"/>
  <c r="DS65" i="10"/>
  <c r="DS96" i="10"/>
  <c r="DS100" i="10"/>
  <c r="DS104" i="10"/>
  <c r="DS108" i="10"/>
  <c r="DS112" i="10"/>
  <c r="DS116" i="10"/>
  <c r="DS120" i="10"/>
  <c r="DS125" i="10"/>
  <c r="DS127" i="10"/>
  <c r="DS129" i="10"/>
  <c r="DS131" i="10"/>
  <c r="DS133" i="10"/>
  <c r="DS135" i="10"/>
  <c r="DS137" i="10"/>
  <c r="DS139" i="10"/>
  <c r="DS141" i="10"/>
  <c r="DS143" i="10"/>
  <c r="DS145" i="10"/>
  <c r="DS147" i="10"/>
  <c r="DS149" i="10"/>
  <c r="DS151" i="10"/>
  <c r="DS153" i="10"/>
  <c r="DS155" i="10"/>
  <c r="DS157" i="10"/>
  <c r="DS159" i="10"/>
  <c r="DS161" i="10"/>
  <c r="DS163" i="10"/>
  <c r="DS165" i="10"/>
  <c r="DS167" i="10"/>
  <c r="DS169" i="10"/>
  <c r="DS171" i="10"/>
  <c r="DS173" i="10"/>
  <c r="DS175" i="10"/>
  <c r="DS177" i="10"/>
  <c r="DS179" i="10"/>
  <c r="DS181" i="10"/>
  <c r="DS183" i="10"/>
  <c r="DS185" i="10"/>
  <c r="DS187" i="10"/>
  <c r="DS189" i="10"/>
  <c r="DS191" i="10"/>
  <c r="DS193" i="10"/>
  <c r="DS57" i="10"/>
  <c r="DR95" i="10"/>
  <c r="DR99" i="10"/>
  <c r="DR103" i="10"/>
  <c r="DR107" i="10"/>
  <c r="DR111" i="10"/>
  <c r="DS106" i="10"/>
  <c r="DR119" i="10"/>
  <c r="DR126" i="10"/>
  <c r="DR130" i="10"/>
  <c r="DR134" i="10"/>
  <c r="DR138" i="10"/>
  <c r="DR142" i="10"/>
  <c r="DR146" i="10"/>
  <c r="DR150" i="10"/>
  <c r="DR154" i="10"/>
  <c r="DR158" i="10"/>
  <c r="DR162" i="10"/>
  <c r="DR166" i="10"/>
  <c r="DR170" i="10"/>
  <c r="DR174" i="10"/>
  <c r="DR178" i="10"/>
  <c r="DR182" i="10"/>
  <c r="DR186" i="10"/>
  <c r="DR188" i="10"/>
  <c r="DR191" i="10"/>
  <c r="DS194" i="10"/>
  <c r="DS195" i="10"/>
  <c r="DS197" i="10"/>
  <c r="DS199" i="10"/>
  <c r="DS201" i="10"/>
  <c r="DS203" i="10"/>
  <c r="DS205" i="10"/>
  <c r="DS207" i="10"/>
  <c r="DS209" i="10"/>
  <c r="DS211" i="10"/>
  <c r="DS213" i="10"/>
  <c r="DS215" i="10"/>
  <c r="DS217" i="10"/>
  <c r="DS219" i="10"/>
  <c r="DS221" i="10"/>
  <c r="DS223" i="10"/>
  <c r="DS225" i="10"/>
  <c r="DS227" i="10"/>
  <c r="DS91" i="10"/>
  <c r="DS102" i="10"/>
  <c r="DS118" i="10"/>
  <c r="DS126" i="10"/>
  <c r="DS130" i="10"/>
  <c r="DS134" i="10"/>
  <c r="DS138" i="10"/>
  <c r="DS142" i="10"/>
  <c r="DS146" i="10"/>
  <c r="DS150" i="10"/>
  <c r="DS154" i="10"/>
  <c r="DS158" i="10"/>
  <c r="DS162" i="10"/>
  <c r="DS166" i="10"/>
  <c r="DS170" i="10"/>
  <c r="DS174" i="10"/>
  <c r="DS178" i="10"/>
  <c r="DS182" i="10"/>
  <c r="DS186" i="10"/>
  <c r="DS188" i="10"/>
  <c r="DR190" i="10"/>
  <c r="DR193" i="10"/>
  <c r="DR196" i="10"/>
  <c r="DR198" i="10"/>
  <c r="DR200" i="10"/>
  <c r="DR202" i="10"/>
  <c r="DR204" i="10"/>
  <c r="DR206" i="10"/>
  <c r="DR208" i="10"/>
  <c r="DR210" i="10"/>
  <c r="DR212" i="10"/>
  <c r="DR214" i="10"/>
  <c r="DR216" i="10"/>
  <c r="DR218" i="10"/>
  <c r="DR220" i="10"/>
  <c r="DR222" i="10"/>
  <c r="DR224" i="10"/>
  <c r="DR226" i="10"/>
  <c r="DR89" i="10"/>
  <c r="DS98" i="10"/>
  <c r="DR115" i="10"/>
  <c r="DR123" i="10"/>
  <c r="DR124" i="10"/>
  <c r="DR128" i="10"/>
  <c r="DR132" i="10"/>
  <c r="DR136" i="10"/>
  <c r="DR140" i="10"/>
  <c r="DR144" i="10"/>
  <c r="DR148" i="10"/>
  <c r="DR152" i="10"/>
  <c r="DR156" i="10"/>
  <c r="DR160" i="10"/>
  <c r="DR164" i="10"/>
  <c r="DR168" i="10"/>
  <c r="DR172" i="10"/>
  <c r="DR176" i="10"/>
  <c r="DR180" i="10"/>
  <c r="DR184" i="10"/>
  <c r="DR187" i="10"/>
  <c r="DS190" i="10"/>
  <c r="DR192" i="10"/>
  <c r="DS196" i="10"/>
  <c r="DS132" i="10"/>
  <c r="DS148" i="10"/>
  <c r="DS164" i="10"/>
  <c r="DS180" i="10"/>
  <c r="DS192" i="10"/>
  <c r="DS122" i="10"/>
  <c r="DS128" i="10"/>
  <c r="DS144" i="10"/>
  <c r="DS160" i="10"/>
  <c r="DS176" i="10"/>
  <c r="DR195" i="10"/>
  <c r="DS81" i="10"/>
  <c r="DS110" i="10"/>
  <c r="DS114" i="10"/>
  <c r="DS124" i="10"/>
  <c r="DS140" i="10"/>
  <c r="DS156" i="10"/>
  <c r="DS172" i="10"/>
  <c r="DS94" i="10"/>
  <c r="DS136" i="10"/>
  <c r="DS152" i="10"/>
  <c r="DS168" i="10"/>
  <c r="DS184" i="10"/>
  <c r="DR189" i="10"/>
  <c r="DR194" i="10"/>
  <c r="DR197" i="10"/>
  <c r="DR201" i="10"/>
  <c r="DR205" i="10"/>
  <c r="DR209" i="10"/>
  <c r="DR213" i="10"/>
  <c r="DR217" i="10"/>
  <c r="DR221" i="10"/>
  <c r="DR225" i="10"/>
  <c r="DS229" i="10"/>
  <c r="DS231" i="10"/>
  <c r="DS233" i="10"/>
  <c r="DS200" i="10"/>
  <c r="DS204" i="10"/>
  <c r="DS208" i="10"/>
  <c r="DS212" i="10"/>
  <c r="DS216" i="10"/>
  <c r="DS220" i="10"/>
  <c r="DS224" i="10"/>
  <c r="DR228" i="10"/>
  <c r="DR230" i="10"/>
  <c r="DR232" i="10"/>
  <c r="DR234" i="10"/>
  <c r="DR199" i="10"/>
  <c r="DR203" i="10"/>
  <c r="DR207" i="10"/>
  <c r="DR211" i="10"/>
  <c r="DR215" i="10"/>
  <c r="DR219" i="10"/>
  <c r="DR223" i="10"/>
  <c r="DS198" i="10"/>
  <c r="DS202" i="10"/>
  <c r="DS206" i="10"/>
  <c r="DS210" i="10"/>
  <c r="DS214" i="10"/>
  <c r="DS218" i="10"/>
  <c r="DS222" i="10"/>
  <c r="DS226" i="10"/>
  <c r="DR229" i="10"/>
  <c r="DR231" i="10"/>
  <c r="DR233" i="10"/>
  <c r="DS232" i="10"/>
  <c r="DS235" i="10"/>
  <c r="DS237" i="10"/>
  <c r="DS239" i="10"/>
  <c r="DS241" i="10"/>
  <c r="DS243" i="10"/>
  <c r="DS245" i="10"/>
  <c r="DS247" i="10"/>
  <c r="DS249" i="10"/>
  <c r="DS251" i="10"/>
  <c r="DS253" i="10"/>
  <c r="DS255" i="10"/>
  <c r="DS257" i="10"/>
  <c r="DS259" i="10"/>
  <c r="DS261" i="10"/>
  <c r="DS263" i="10"/>
  <c r="DS265" i="10"/>
  <c r="DS267" i="10"/>
  <c r="DS269" i="10"/>
  <c r="DS271" i="10"/>
  <c r="DS273" i="10"/>
  <c r="DS275" i="10"/>
  <c r="DS277" i="10"/>
  <c r="DS279" i="10"/>
  <c r="DS281" i="10"/>
  <c r="DS283" i="10"/>
  <c r="DS285" i="10"/>
  <c r="DS287" i="10"/>
  <c r="DS289" i="10"/>
  <c r="DS291" i="10"/>
  <c r="DS293" i="10"/>
  <c r="DS295" i="10"/>
  <c r="DS297" i="10"/>
  <c r="DS299" i="10"/>
  <c r="DS301" i="10"/>
  <c r="DS303" i="10"/>
  <c r="DS305" i="10"/>
  <c r="DS307" i="10"/>
  <c r="DR227" i="10"/>
  <c r="DS230" i="10"/>
  <c r="DR236" i="10"/>
  <c r="DR238" i="10"/>
  <c r="DR240" i="10"/>
  <c r="DR242" i="10"/>
  <c r="DR244" i="10"/>
  <c r="DR246" i="10"/>
  <c r="DR248" i="10"/>
  <c r="DR250" i="10"/>
  <c r="DR252" i="10"/>
  <c r="DR254" i="10"/>
  <c r="DR256" i="10"/>
  <c r="DR258" i="10"/>
  <c r="DR260" i="10"/>
  <c r="DR262" i="10"/>
  <c r="DR264" i="10"/>
  <c r="DR266" i="10"/>
  <c r="DR268" i="10"/>
  <c r="DR270" i="10"/>
  <c r="DR272" i="10"/>
  <c r="DR274" i="10"/>
  <c r="DR276" i="10"/>
  <c r="DR278" i="10"/>
  <c r="DR280" i="10"/>
  <c r="DR282" i="10"/>
  <c r="DR284" i="10"/>
  <c r="DR286" i="10"/>
  <c r="DR288" i="10"/>
  <c r="DR290" i="10"/>
  <c r="DR292" i="10"/>
  <c r="DR294" i="10"/>
  <c r="DR296" i="10"/>
  <c r="DR298" i="10"/>
  <c r="DR300" i="10"/>
  <c r="DR302" i="10"/>
  <c r="DR304" i="10"/>
  <c r="DR306" i="10"/>
  <c r="DR308" i="10"/>
  <c r="DR310" i="10"/>
  <c r="DR312" i="10"/>
  <c r="DR314" i="10"/>
  <c r="DR316" i="10"/>
  <c r="DR318" i="10"/>
  <c r="DS228" i="10"/>
  <c r="DS236" i="10"/>
  <c r="DS238" i="10"/>
  <c r="DS240" i="10"/>
  <c r="DS242" i="10"/>
  <c r="DS244" i="10"/>
  <c r="DS246" i="10"/>
  <c r="DS248" i="10"/>
  <c r="DS250" i="10"/>
  <c r="DS252" i="10"/>
  <c r="DS254" i="10"/>
  <c r="DS256" i="10"/>
  <c r="DS258" i="10"/>
  <c r="DS260" i="10"/>
  <c r="DS262" i="10"/>
  <c r="DS264" i="10"/>
  <c r="DS266" i="10"/>
  <c r="DS268" i="10"/>
  <c r="DS270" i="10"/>
  <c r="DS272" i="10"/>
  <c r="DS274" i="10"/>
  <c r="DS276" i="10"/>
  <c r="DS278" i="10"/>
  <c r="DS280" i="10"/>
  <c r="DS282" i="10"/>
  <c r="DS284" i="10"/>
  <c r="DS286" i="10"/>
  <c r="DS288" i="10"/>
  <c r="DS290" i="10"/>
  <c r="DS292" i="10"/>
  <c r="DS294" i="10"/>
  <c r="DS296" i="10"/>
  <c r="DS298" i="10"/>
  <c r="DS300" i="10"/>
  <c r="DS302" i="10"/>
  <c r="DS304" i="10"/>
  <c r="DS306" i="10"/>
  <c r="DS308" i="10"/>
  <c r="DS310" i="10"/>
  <c r="DS312" i="10"/>
  <c r="DS314" i="10"/>
  <c r="DS316" i="10"/>
  <c r="DS318" i="10"/>
  <c r="DS320" i="10"/>
  <c r="DS322" i="10"/>
  <c r="DS234" i="10"/>
  <c r="DR235" i="10"/>
  <c r="DR237" i="10"/>
  <c r="DR239" i="10"/>
  <c r="DR241" i="10"/>
  <c r="DR243" i="10"/>
  <c r="DR245" i="10"/>
  <c r="DR247" i="10"/>
  <c r="DR249" i="10"/>
  <c r="DR251" i="10"/>
  <c r="DR253" i="10"/>
  <c r="DR255" i="10"/>
  <c r="DR257" i="10"/>
  <c r="DR259" i="10"/>
  <c r="DR261" i="10"/>
  <c r="DR263" i="10"/>
  <c r="DR265" i="10"/>
  <c r="DR267" i="10"/>
  <c r="DR269" i="10"/>
  <c r="DR273" i="10"/>
  <c r="DR281" i="10"/>
  <c r="DR321" i="10"/>
  <c r="DS323" i="10"/>
  <c r="DS327" i="10"/>
  <c r="DR271" i="10"/>
  <c r="DR279" i="10"/>
  <c r="DR287" i="10"/>
  <c r="DR295" i="10"/>
  <c r="DR303" i="10"/>
  <c r="DS311" i="10"/>
  <c r="DS315" i="10"/>
  <c r="DS321" i="10"/>
  <c r="DR328" i="10"/>
  <c r="DR277" i="10"/>
  <c r="DR285" i="10"/>
  <c r="DR293" i="10"/>
  <c r="DR301" i="10"/>
  <c r="DR309" i="10"/>
  <c r="DR313" i="10"/>
  <c r="DR317" i="10"/>
  <c r="DR320" i="10"/>
  <c r="DS324" i="10"/>
  <c r="DS326" i="10"/>
  <c r="DS328" i="10"/>
  <c r="DR297" i="10"/>
  <c r="DR305" i="10"/>
  <c r="DR311" i="10"/>
  <c r="DS325" i="10"/>
  <c r="DR324" i="10"/>
  <c r="DR326" i="10"/>
  <c r="DR275" i="10"/>
  <c r="DR283" i="10"/>
  <c r="DR291" i="10"/>
  <c r="DR299" i="10"/>
  <c r="DR307" i="10"/>
  <c r="DS309" i="10"/>
  <c r="DS313" i="10"/>
  <c r="DS317" i="10"/>
  <c r="DR319" i="10"/>
  <c r="DR322" i="10"/>
  <c r="DR323" i="10"/>
  <c r="DR325" i="10"/>
  <c r="DR327" i="10"/>
  <c r="DR289" i="10"/>
  <c r="DR315" i="10"/>
  <c r="DS319" i="10"/>
  <c r="DI9" i="10"/>
  <c r="DI14" i="10"/>
  <c r="DJ9" i="10"/>
  <c r="DJ14" i="10"/>
  <c r="DJ11" i="10"/>
  <c r="DI16" i="10"/>
  <c r="DI18" i="10"/>
  <c r="DI20" i="10"/>
  <c r="DI22" i="10"/>
  <c r="DI24" i="10"/>
  <c r="DI26" i="10"/>
  <c r="DI28" i="10"/>
  <c r="DI30" i="10"/>
  <c r="DI32" i="10"/>
  <c r="DI15" i="10"/>
  <c r="DI17" i="10"/>
  <c r="DI19" i="10"/>
  <c r="DI21" i="10"/>
  <c r="DI23" i="10"/>
  <c r="DI25" i="10"/>
  <c r="DI11" i="10"/>
  <c r="DJ15" i="10"/>
  <c r="DJ19" i="10"/>
  <c r="DJ23" i="10"/>
  <c r="DJ28" i="10"/>
  <c r="DJ31" i="10"/>
  <c r="DI33" i="10"/>
  <c r="DJ35" i="10"/>
  <c r="DJ37" i="10"/>
  <c r="DJ39" i="10"/>
  <c r="DJ41" i="10"/>
  <c r="DJ18" i="10"/>
  <c r="DJ22" i="10"/>
  <c r="DI27" i="10"/>
  <c r="DJ30" i="10"/>
  <c r="DJ33" i="10"/>
  <c r="DI34" i="10"/>
  <c r="DI36" i="10"/>
  <c r="DI38" i="10"/>
  <c r="DI40" i="10"/>
  <c r="DI42" i="10"/>
  <c r="DJ17" i="10"/>
  <c r="DJ21" i="10"/>
  <c r="DJ25" i="10"/>
  <c r="DJ16" i="10"/>
  <c r="DJ26" i="10"/>
  <c r="DI31" i="10"/>
  <c r="DI35" i="10"/>
  <c r="DI39" i="10"/>
  <c r="DI29" i="10"/>
  <c r="DJ34" i="10"/>
  <c r="DJ38" i="10"/>
  <c r="DJ42" i="10"/>
  <c r="DJ44" i="10"/>
  <c r="DJ46" i="10"/>
  <c r="DJ48" i="10"/>
  <c r="DJ50" i="10"/>
  <c r="DJ52" i="10"/>
  <c r="DJ54" i="10"/>
  <c r="DJ24" i="10"/>
  <c r="DJ29" i="10"/>
  <c r="DI37" i="10"/>
  <c r="DI41" i="10"/>
  <c r="DI43" i="10"/>
  <c r="DI45" i="10"/>
  <c r="DI47" i="10"/>
  <c r="DI49" i="10"/>
  <c r="DI51" i="10"/>
  <c r="DI53" i="10"/>
  <c r="DI55" i="10"/>
  <c r="DJ40" i="10"/>
  <c r="DJ45" i="10"/>
  <c r="DJ49" i="10"/>
  <c r="DJ53" i="10"/>
  <c r="DI57" i="10"/>
  <c r="DI59" i="10"/>
  <c r="DI61" i="10"/>
  <c r="DI63" i="10"/>
  <c r="DI65" i="10"/>
  <c r="DI67" i="10"/>
  <c r="DI69" i="10"/>
  <c r="DI71" i="10"/>
  <c r="DI73" i="10"/>
  <c r="DI75" i="10"/>
  <c r="DI77" i="10"/>
  <c r="DI79" i="10"/>
  <c r="DI81" i="10"/>
  <c r="DI83" i="10"/>
  <c r="DI85" i="10"/>
  <c r="DI87" i="10"/>
  <c r="DI89" i="10"/>
  <c r="DJ27" i="10"/>
  <c r="DJ36" i="10"/>
  <c r="DJ43" i="10"/>
  <c r="DI44" i="10"/>
  <c r="DI48" i="10"/>
  <c r="DI52" i="10"/>
  <c r="DJ57" i="10"/>
  <c r="DJ59" i="10"/>
  <c r="DJ61" i="10"/>
  <c r="DJ63" i="10"/>
  <c r="DJ65" i="10"/>
  <c r="DJ67" i="10"/>
  <c r="DJ69" i="10"/>
  <c r="DJ71" i="10"/>
  <c r="DJ73" i="10"/>
  <c r="DJ75" i="10"/>
  <c r="DJ77" i="10"/>
  <c r="DJ79" i="10"/>
  <c r="DJ81" i="10"/>
  <c r="DJ83" i="10"/>
  <c r="DJ85" i="10"/>
  <c r="DJ87" i="10"/>
  <c r="DJ89" i="10"/>
  <c r="DJ91" i="10"/>
  <c r="DJ47" i="10"/>
  <c r="DJ51" i="10"/>
  <c r="DJ55" i="10"/>
  <c r="DI56" i="10"/>
  <c r="DI58" i="10"/>
  <c r="DI60" i="10"/>
  <c r="DI62" i="10"/>
  <c r="DI64" i="10"/>
  <c r="DI66" i="10"/>
  <c r="DI68" i="10"/>
  <c r="DI70" i="10"/>
  <c r="DI72" i="10"/>
  <c r="DI74" i="10"/>
  <c r="DI76" i="10"/>
  <c r="DI78" i="10"/>
  <c r="DI80" i="10"/>
  <c r="DI82" i="10"/>
  <c r="DI46" i="10"/>
  <c r="DJ60" i="10"/>
  <c r="DJ68" i="10"/>
  <c r="DJ76" i="10"/>
  <c r="DJ86" i="10"/>
  <c r="DJ90" i="10"/>
  <c r="DJ92" i="10"/>
  <c r="DJ94" i="10"/>
  <c r="DJ96" i="10"/>
  <c r="DJ98" i="10"/>
  <c r="DJ100" i="10"/>
  <c r="DJ102" i="10"/>
  <c r="DJ104" i="10"/>
  <c r="DJ106" i="10"/>
  <c r="DJ108" i="10"/>
  <c r="DJ110" i="10"/>
  <c r="DJ112" i="10"/>
  <c r="DJ114" i="10"/>
  <c r="DJ116" i="10"/>
  <c r="DJ118" i="10"/>
  <c r="DJ120" i="10"/>
  <c r="DJ122" i="10"/>
  <c r="DJ20" i="10"/>
  <c r="DJ58" i="10"/>
  <c r="DJ66" i="10"/>
  <c r="DJ74" i="10"/>
  <c r="DJ82" i="10"/>
  <c r="DI84" i="10"/>
  <c r="DI88" i="10"/>
  <c r="DI91" i="10"/>
  <c r="DI93" i="10"/>
  <c r="DI95" i="10"/>
  <c r="DI97" i="10"/>
  <c r="DI99" i="10"/>
  <c r="DI101" i="10"/>
  <c r="DI103" i="10"/>
  <c r="DI105" i="10"/>
  <c r="DI107" i="10"/>
  <c r="DI109" i="10"/>
  <c r="DI111" i="10"/>
  <c r="DI113" i="10"/>
  <c r="DI115" i="10"/>
  <c r="DI117" i="10"/>
  <c r="DI119" i="10"/>
  <c r="DI121" i="10"/>
  <c r="DI123" i="10"/>
  <c r="DI54" i="10"/>
  <c r="DJ56" i="10"/>
  <c r="DJ64" i="10"/>
  <c r="DJ72" i="10"/>
  <c r="DJ80" i="10"/>
  <c r="DJ84" i="10"/>
  <c r="DJ88" i="10"/>
  <c r="DI92" i="10"/>
  <c r="DI94" i="10"/>
  <c r="DI98" i="10"/>
  <c r="DI102" i="10"/>
  <c r="DI106" i="10"/>
  <c r="DI110" i="10"/>
  <c r="DI114" i="10"/>
  <c r="DI118" i="10"/>
  <c r="DI122" i="10"/>
  <c r="DI124" i="10"/>
  <c r="DI126" i="10"/>
  <c r="DI128" i="10"/>
  <c r="DI130" i="10"/>
  <c r="DI132" i="10"/>
  <c r="DI134" i="10"/>
  <c r="DI136" i="10"/>
  <c r="DI138" i="10"/>
  <c r="DI140" i="10"/>
  <c r="DI142" i="10"/>
  <c r="DI144" i="10"/>
  <c r="DI146" i="10"/>
  <c r="DI148" i="10"/>
  <c r="DI150" i="10"/>
  <c r="DI152" i="10"/>
  <c r="DI154" i="10"/>
  <c r="DI156" i="10"/>
  <c r="DI158" i="10"/>
  <c r="DI160" i="10"/>
  <c r="DI162" i="10"/>
  <c r="DI164" i="10"/>
  <c r="DI166" i="10"/>
  <c r="DI168" i="10"/>
  <c r="DI170" i="10"/>
  <c r="DI172" i="10"/>
  <c r="DI174" i="10"/>
  <c r="DI176" i="10"/>
  <c r="DI178" i="10"/>
  <c r="DI180" i="10"/>
  <c r="DI182" i="10"/>
  <c r="DI184" i="10"/>
  <c r="DI186" i="10"/>
  <c r="DJ32" i="10"/>
  <c r="DJ78" i="10"/>
  <c r="DJ93" i="10"/>
  <c r="DJ97" i="10"/>
  <c r="DJ101" i="10"/>
  <c r="DJ105" i="10"/>
  <c r="DJ109" i="10"/>
  <c r="DJ113" i="10"/>
  <c r="DJ117" i="10"/>
  <c r="DJ121" i="10"/>
  <c r="DJ124" i="10"/>
  <c r="DJ126" i="10"/>
  <c r="DJ128" i="10"/>
  <c r="DJ130" i="10"/>
  <c r="DJ132" i="10"/>
  <c r="DJ134" i="10"/>
  <c r="DJ136" i="10"/>
  <c r="DJ138" i="10"/>
  <c r="DJ140" i="10"/>
  <c r="DJ142" i="10"/>
  <c r="DJ144" i="10"/>
  <c r="DJ146" i="10"/>
  <c r="DJ148" i="10"/>
  <c r="DJ150" i="10"/>
  <c r="DJ152" i="10"/>
  <c r="DJ154" i="10"/>
  <c r="DJ156" i="10"/>
  <c r="DJ158" i="10"/>
  <c r="DJ160" i="10"/>
  <c r="DJ162" i="10"/>
  <c r="DJ164" i="10"/>
  <c r="DJ166" i="10"/>
  <c r="DJ168" i="10"/>
  <c r="DJ170" i="10"/>
  <c r="DJ172" i="10"/>
  <c r="DJ174" i="10"/>
  <c r="DJ176" i="10"/>
  <c r="DJ178" i="10"/>
  <c r="DJ180" i="10"/>
  <c r="DJ182" i="10"/>
  <c r="DJ184" i="10"/>
  <c r="DJ186" i="10"/>
  <c r="DJ188" i="10"/>
  <c r="DJ190" i="10"/>
  <c r="DJ192" i="10"/>
  <c r="DJ194" i="10"/>
  <c r="DI50" i="10"/>
  <c r="DJ70" i="10"/>
  <c r="DI90" i="10"/>
  <c r="DI96" i="10"/>
  <c r="DI100" i="10"/>
  <c r="DI104" i="10"/>
  <c r="DI108" i="10"/>
  <c r="DI112" i="10"/>
  <c r="DJ103" i="10"/>
  <c r="DI116" i="10"/>
  <c r="DI127" i="10"/>
  <c r="DI131" i="10"/>
  <c r="DI135" i="10"/>
  <c r="DI139" i="10"/>
  <c r="DI143" i="10"/>
  <c r="DI147" i="10"/>
  <c r="DI151" i="10"/>
  <c r="DI155" i="10"/>
  <c r="DI159" i="10"/>
  <c r="DI163" i="10"/>
  <c r="DI167" i="10"/>
  <c r="DI171" i="10"/>
  <c r="DI175" i="10"/>
  <c r="DI179" i="10"/>
  <c r="DI183" i="10"/>
  <c r="DI188" i="10"/>
  <c r="DJ191" i="10"/>
  <c r="DI193" i="10"/>
  <c r="DJ196" i="10"/>
  <c r="DJ198" i="10"/>
  <c r="DJ200" i="10"/>
  <c r="DJ202" i="10"/>
  <c r="DJ204" i="10"/>
  <c r="DJ206" i="10"/>
  <c r="DJ208" i="10"/>
  <c r="DJ210" i="10"/>
  <c r="DJ212" i="10"/>
  <c r="DJ214" i="10"/>
  <c r="DJ216" i="10"/>
  <c r="DJ218" i="10"/>
  <c r="DJ220" i="10"/>
  <c r="DJ222" i="10"/>
  <c r="DJ224" i="10"/>
  <c r="DJ226" i="10"/>
  <c r="DJ99" i="10"/>
  <c r="DJ115" i="10"/>
  <c r="DJ123" i="10"/>
  <c r="DJ127" i="10"/>
  <c r="DJ131" i="10"/>
  <c r="DJ135" i="10"/>
  <c r="DJ139" i="10"/>
  <c r="DJ143" i="10"/>
  <c r="DJ147" i="10"/>
  <c r="DJ151" i="10"/>
  <c r="DJ155" i="10"/>
  <c r="DJ159" i="10"/>
  <c r="DJ163" i="10"/>
  <c r="DJ167" i="10"/>
  <c r="DJ171" i="10"/>
  <c r="DJ175" i="10"/>
  <c r="DJ179" i="10"/>
  <c r="DJ183" i="10"/>
  <c r="DI187" i="10"/>
  <c r="DI190" i="10"/>
  <c r="DJ193" i="10"/>
  <c r="DI195" i="10"/>
  <c r="DI197" i="10"/>
  <c r="DI199" i="10"/>
  <c r="DI201" i="10"/>
  <c r="DI203" i="10"/>
  <c r="DI205" i="10"/>
  <c r="DI207" i="10"/>
  <c r="DI209" i="10"/>
  <c r="DI211" i="10"/>
  <c r="DI213" i="10"/>
  <c r="DI215" i="10"/>
  <c r="DI217" i="10"/>
  <c r="DI219" i="10"/>
  <c r="DI221" i="10"/>
  <c r="DI223" i="10"/>
  <c r="DI225" i="10"/>
  <c r="DI227" i="10"/>
  <c r="DJ62" i="10"/>
  <c r="DJ95" i="10"/>
  <c r="DJ111" i="10"/>
  <c r="DI120" i="10"/>
  <c r="DI125" i="10"/>
  <c r="DI129" i="10"/>
  <c r="DI133" i="10"/>
  <c r="DI137" i="10"/>
  <c r="DI141" i="10"/>
  <c r="DI145" i="10"/>
  <c r="DI149" i="10"/>
  <c r="DI153" i="10"/>
  <c r="DI157" i="10"/>
  <c r="DI161" i="10"/>
  <c r="DI165" i="10"/>
  <c r="DI169" i="10"/>
  <c r="DI173" i="10"/>
  <c r="DI177" i="10"/>
  <c r="DI181" i="10"/>
  <c r="DI185" i="10"/>
  <c r="DJ187" i="10"/>
  <c r="DI189" i="10"/>
  <c r="DI192" i="10"/>
  <c r="DJ195" i="10"/>
  <c r="DJ129" i="10"/>
  <c r="DJ145" i="10"/>
  <c r="DJ161" i="10"/>
  <c r="DJ177" i="10"/>
  <c r="DJ125" i="10"/>
  <c r="DJ141" i="10"/>
  <c r="DJ157" i="10"/>
  <c r="DJ173" i="10"/>
  <c r="DI191" i="10"/>
  <c r="DJ137" i="10"/>
  <c r="DJ153" i="10"/>
  <c r="DJ169" i="10"/>
  <c r="DI86" i="10"/>
  <c r="DJ107" i="10"/>
  <c r="DJ119" i="10"/>
  <c r="DJ133" i="10"/>
  <c r="DJ149" i="10"/>
  <c r="DJ165" i="10"/>
  <c r="DJ181" i="10"/>
  <c r="DI196" i="10"/>
  <c r="DJ189" i="10"/>
  <c r="DI198" i="10"/>
  <c r="DI202" i="10"/>
  <c r="DI206" i="10"/>
  <c r="DI210" i="10"/>
  <c r="DI214" i="10"/>
  <c r="DI218" i="10"/>
  <c r="DI222" i="10"/>
  <c r="DI226" i="10"/>
  <c r="DJ228" i="10"/>
  <c r="DJ230" i="10"/>
  <c r="DJ232" i="10"/>
  <c r="DJ197" i="10"/>
  <c r="DJ201" i="10"/>
  <c r="DJ205" i="10"/>
  <c r="DJ209" i="10"/>
  <c r="DJ213" i="10"/>
  <c r="DJ217" i="10"/>
  <c r="DJ221" i="10"/>
  <c r="DJ225" i="10"/>
  <c r="DI229" i="10"/>
  <c r="DI231" i="10"/>
  <c r="DI233" i="10"/>
  <c r="DI200" i="10"/>
  <c r="DI204" i="10"/>
  <c r="DI208" i="10"/>
  <c r="DI212" i="10"/>
  <c r="DI216" i="10"/>
  <c r="DI220" i="10"/>
  <c r="DJ185" i="10"/>
  <c r="DI194" i="10"/>
  <c r="DJ199" i="10"/>
  <c r="DJ203" i="10"/>
  <c r="DJ207" i="10"/>
  <c r="DJ211" i="10"/>
  <c r="DJ215" i="10"/>
  <c r="DJ219" i="10"/>
  <c r="DJ223" i="10"/>
  <c r="DJ227" i="10"/>
  <c r="DI228" i="10"/>
  <c r="DI230" i="10"/>
  <c r="DI232" i="10"/>
  <c r="DI234" i="10"/>
  <c r="DJ229" i="10"/>
  <c r="DJ234" i="10"/>
  <c r="DJ236" i="10"/>
  <c r="DJ238" i="10"/>
  <c r="DJ240" i="10"/>
  <c r="DJ242" i="10"/>
  <c r="DJ244" i="10"/>
  <c r="DJ246" i="10"/>
  <c r="DJ248" i="10"/>
  <c r="DJ250" i="10"/>
  <c r="DJ252" i="10"/>
  <c r="DJ254" i="10"/>
  <c r="DJ256" i="10"/>
  <c r="DJ258" i="10"/>
  <c r="DJ260" i="10"/>
  <c r="DJ262" i="10"/>
  <c r="DJ264" i="10"/>
  <c r="DJ266" i="10"/>
  <c r="DJ268" i="10"/>
  <c r="DJ270" i="10"/>
  <c r="DJ272" i="10"/>
  <c r="DJ274" i="10"/>
  <c r="DJ276" i="10"/>
  <c r="DJ278" i="10"/>
  <c r="DJ280" i="10"/>
  <c r="DJ282" i="10"/>
  <c r="DJ284" i="10"/>
  <c r="DJ286" i="10"/>
  <c r="DJ288" i="10"/>
  <c r="DJ290" i="10"/>
  <c r="DJ292" i="10"/>
  <c r="DJ294" i="10"/>
  <c r="DJ296" i="10"/>
  <c r="DJ298" i="10"/>
  <c r="DJ300" i="10"/>
  <c r="DJ302" i="10"/>
  <c r="DJ304" i="10"/>
  <c r="DJ306" i="10"/>
  <c r="DI224" i="10"/>
  <c r="DI235" i="10"/>
  <c r="DI237" i="10"/>
  <c r="DI239" i="10"/>
  <c r="DI241" i="10"/>
  <c r="DI243" i="10"/>
  <c r="DI245" i="10"/>
  <c r="DI247" i="10"/>
  <c r="DI249" i="10"/>
  <c r="DI251" i="10"/>
  <c r="DI253" i="10"/>
  <c r="DI255" i="10"/>
  <c r="DI257" i="10"/>
  <c r="DI259" i="10"/>
  <c r="DI261" i="10"/>
  <c r="DI263" i="10"/>
  <c r="DI265" i="10"/>
  <c r="DI267" i="10"/>
  <c r="DI269" i="10"/>
  <c r="DI271" i="10"/>
  <c r="DI273" i="10"/>
  <c r="DI275" i="10"/>
  <c r="DI277" i="10"/>
  <c r="DI279" i="10"/>
  <c r="DI281" i="10"/>
  <c r="DI283" i="10"/>
  <c r="DI285" i="10"/>
  <c r="DI287" i="10"/>
  <c r="DI289" i="10"/>
  <c r="DI291" i="10"/>
  <c r="DI293" i="10"/>
  <c r="DI295" i="10"/>
  <c r="DI297" i="10"/>
  <c r="DI299" i="10"/>
  <c r="DI301" i="10"/>
  <c r="DI303" i="10"/>
  <c r="DI305" i="10"/>
  <c r="DI307" i="10"/>
  <c r="DI309" i="10"/>
  <c r="DI311" i="10"/>
  <c r="DI313" i="10"/>
  <c r="DI315" i="10"/>
  <c r="DI317" i="10"/>
  <c r="DJ233" i="10"/>
  <c r="DJ235" i="10"/>
  <c r="DJ237" i="10"/>
  <c r="DJ239" i="10"/>
  <c r="DJ241" i="10"/>
  <c r="DJ243" i="10"/>
  <c r="DJ245" i="10"/>
  <c r="DJ247" i="10"/>
  <c r="DJ249" i="10"/>
  <c r="DJ251" i="10"/>
  <c r="DJ253" i="10"/>
  <c r="DJ255" i="10"/>
  <c r="DJ257" i="10"/>
  <c r="DJ259" i="10"/>
  <c r="DJ261" i="10"/>
  <c r="DJ263" i="10"/>
  <c r="DJ265" i="10"/>
  <c r="DJ267" i="10"/>
  <c r="DJ269" i="10"/>
  <c r="DJ271" i="10"/>
  <c r="DJ273" i="10"/>
  <c r="DJ275" i="10"/>
  <c r="DJ277" i="10"/>
  <c r="DJ279" i="10"/>
  <c r="DJ281" i="10"/>
  <c r="DJ283" i="10"/>
  <c r="DJ285" i="10"/>
  <c r="DJ287" i="10"/>
  <c r="DJ289" i="10"/>
  <c r="DJ291" i="10"/>
  <c r="DJ293" i="10"/>
  <c r="DJ295" i="10"/>
  <c r="DJ297" i="10"/>
  <c r="DJ299" i="10"/>
  <c r="DJ301" i="10"/>
  <c r="DJ303" i="10"/>
  <c r="DJ305" i="10"/>
  <c r="DJ307" i="10"/>
  <c r="DJ309" i="10"/>
  <c r="DJ311" i="10"/>
  <c r="DJ313" i="10"/>
  <c r="DJ315" i="10"/>
  <c r="DJ317" i="10"/>
  <c r="DJ319" i="10"/>
  <c r="DJ321" i="10"/>
  <c r="DJ231" i="10"/>
  <c r="DI236" i="10"/>
  <c r="DI238" i="10"/>
  <c r="DI240" i="10"/>
  <c r="DI242" i="10"/>
  <c r="DI244" i="10"/>
  <c r="DI246" i="10"/>
  <c r="DI248" i="10"/>
  <c r="DI250" i="10"/>
  <c r="DI252" i="10"/>
  <c r="DI254" i="10"/>
  <c r="DI256" i="10"/>
  <c r="DI258" i="10"/>
  <c r="DI260" i="10"/>
  <c r="DI262" i="10"/>
  <c r="DI264" i="10"/>
  <c r="DI266" i="10"/>
  <c r="DI268" i="10"/>
  <c r="DI270" i="10"/>
  <c r="DI278" i="10"/>
  <c r="DI308" i="10"/>
  <c r="DJ324" i="10"/>
  <c r="DJ328" i="10"/>
  <c r="DI325" i="10"/>
  <c r="DI327" i="10"/>
  <c r="DI276" i="10"/>
  <c r="DI284" i="10"/>
  <c r="DI292" i="10"/>
  <c r="DI300" i="10"/>
  <c r="DJ308" i="10"/>
  <c r="DJ312" i="10"/>
  <c r="DJ316" i="10"/>
  <c r="DI320" i="10"/>
  <c r="DI323" i="10"/>
  <c r="DI274" i="10"/>
  <c r="DI282" i="10"/>
  <c r="DI290" i="10"/>
  <c r="DI298" i="10"/>
  <c r="DI306" i="10"/>
  <c r="DI310" i="10"/>
  <c r="DI314" i="10"/>
  <c r="DI318" i="10"/>
  <c r="DJ320" i="10"/>
  <c r="DI322" i="10"/>
  <c r="DJ323" i="10"/>
  <c r="DJ325" i="10"/>
  <c r="DJ327" i="10"/>
  <c r="DI302" i="10"/>
  <c r="DI312" i="10"/>
  <c r="DI316" i="10"/>
  <c r="DI321" i="10"/>
  <c r="DJ326" i="10"/>
  <c r="DI272" i="10"/>
  <c r="DI280" i="10"/>
  <c r="DI288" i="10"/>
  <c r="DI296" i="10"/>
  <c r="DI304" i="10"/>
  <c r="DJ310" i="10"/>
  <c r="DJ314" i="10"/>
  <c r="DJ318" i="10"/>
  <c r="DI319" i="10"/>
  <c r="DJ322" i="10"/>
  <c r="DI324" i="10"/>
  <c r="DI326" i="10"/>
  <c r="DI328" i="10"/>
  <c r="DI286" i="10"/>
  <c r="DI294" i="10"/>
  <c r="CW9" i="10"/>
  <c r="CW14" i="10"/>
  <c r="CX7" i="10"/>
  <c r="CX9" i="10"/>
  <c r="CX14" i="10"/>
  <c r="CX11" i="10"/>
  <c r="CW16" i="10"/>
  <c r="CW18" i="10"/>
  <c r="CW20" i="10"/>
  <c r="CW22" i="10"/>
  <c r="CW24" i="10"/>
  <c r="CW26" i="10"/>
  <c r="CW28" i="10"/>
  <c r="CW30" i="10"/>
  <c r="CW32" i="10"/>
  <c r="CX15" i="10"/>
  <c r="CW17" i="10"/>
  <c r="CW19" i="10"/>
  <c r="CW21" i="10"/>
  <c r="CW23" i="10"/>
  <c r="CW25" i="10"/>
  <c r="CX19" i="10"/>
  <c r="CX23" i="10"/>
  <c r="CX27" i="10"/>
  <c r="CW29" i="10"/>
  <c r="CX32" i="10"/>
  <c r="CX35" i="10"/>
  <c r="CX37" i="10"/>
  <c r="CX39" i="10"/>
  <c r="CX41" i="10"/>
  <c r="CW15" i="10"/>
  <c r="CX18" i="10"/>
  <c r="CX22" i="10"/>
  <c r="CX26" i="10"/>
  <c r="CX29" i="10"/>
  <c r="CW31" i="10"/>
  <c r="CW34" i="10"/>
  <c r="CW36" i="10"/>
  <c r="CW38" i="10"/>
  <c r="CW40" i="10"/>
  <c r="CW42" i="10"/>
  <c r="CW11" i="10"/>
  <c r="CX17" i="10"/>
  <c r="CX21" i="10"/>
  <c r="CX25" i="10"/>
  <c r="CW27" i="10"/>
  <c r="CX33" i="10"/>
  <c r="CW35" i="10"/>
  <c r="CW39" i="10"/>
  <c r="CW43" i="10"/>
  <c r="CX24" i="10"/>
  <c r="CX31" i="10"/>
  <c r="CX34" i="10"/>
  <c r="CX38" i="10"/>
  <c r="CX42" i="10"/>
  <c r="CX43" i="10"/>
  <c r="CX44" i="10"/>
  <c r="CX46" i="10"/>
  <c r="CX48" i="10"/>
  <c r="CX50" i="10"/>
  <c r="CX52" i="10"/>
  <c r="CX54" i="10"/>
  <c r="CX56" i="10"/>
  <c r="CX20" i="10"/>
  <c r="CX30" i="10"/>
  <c r="CW37" i="10"/>
  <c r="CW41" i="10"/>
  <c r="CW45" i="10"/>
  <c r="CW47" i="10"/>
  <c r="CW49" i="10"/>
  <c r="CW51" i="10"/>
  <c r="CW53" i="10"/>
  <c r="CW55" i="10"/>
  <c r="CX36" i="10"/>
  <c r="CX45" i="10"/>
  <c r="CX49" i="10"/>
  <c r="CX53" i="10"/>
  <c r="CW57" i="10"/>
  <c r="CW59" i="10"/>
  <c r="CW61" i="10"/>
  <c r="CW63" i="10"/>
  <c r="CW65" i="10"/>
  <c r="CW67" i="10"/>
  <c r="CW69" i="10"/>
  <c r="CW71" i="10"/>
  <c r="CW73" i="10"/>
  <c r="CW75" i="10"/>
  <c r="CW77" i="10"/>
  <c r="CW79" i="10"/>
  <c r="CW81" i="10"/>
  <c r="CW83" i="10"/>
  <c r="CW85" i="10"/>
  <c r="CW87" i="10"/>
  <c r="CW89" i="10"/>
  <c r="CW33" i="10"/>
  <c r="CW44" i="10"/>
  <c r="CW48" i="10"/>
  <c r="CW52" i="10"/>
  <c r="CW56" i="10"/>
  <c r="CX57" i="10"/>
  <c r="CX59" i="10"/>
  <c r="CX61" i="10"/>
  <c r="CX63" i="10"/>
  <c r="CX65" i="10"/>
  <c r="CX67" i="10"/>
  <c r="CX69" i="10"/>
  <c r="CX71" i="10"/>
  <c r="CX73" i="10"/>
  <c r="CX75" i="10"/>
  <c r="CX77" i="10"/>
  <c r="CX79" i="10"/>
  <c r="CX81" i="10"/>
  <c r="CX83" i="10"/>
  <c r="CX85" i="10"/>
  <c r="CX87" i="10"/>
  <c r="CX89" i="10"/>
  <c r="CX91" i="10"/>
  <c r="CX47" i="10"/>
  <c r="CX51" i="10"/>
  <c r="CX55" i="10"/>
  <c r="CW58" i="10"/>
  <c r="CW60" i="10"/>
  <c r="CW62" i="10"/>
  <c r="CW64" i="10"/>
  <c r="CW66" i="10"/>
  <c r="CW68" i="10"/>
  <c r="CW70" i="10"/>
  <c r="CW72" i="10"/>
  <c r="CW74" i="10"/>
  <c r="CW76" i="10"/>
  <c r="CW78" i="10"/>
  <c r="CW80" i="10"/>
  <c r="CW82" i="10"/>
  <c r="CX16" i="10"/>
  <c r="CX28" i="10"/>
  <c r="CX64" i="10"/>
  <c r="CX72" i="10"/>
  <c r="CX80" i="10"/>
  <c r="CX86" i="10"/>
  <c r="CX90" i="10"/>
  <c r="CX94" i="10"/>
  <c r="CX96" i="10"/>
  <c r="CX98" i="10"/>
  <c r="CX100" i="10"/>
  <c r="CX102" i="10"/>
  <c r="CX104" i="10"/>
  <c r="CX106" i="10"/>
  <c r="CX108" i="10"/>
  <c r="CX110" i="10"/>
  <c r="CX112" i="10"/>
  <c r="CX114" i="10"/>
  <c r="CX116" i="10"/>
  <c r="CX118" i="10"/>
  <c r="CX120" i="10"/>
  <c r="CX122" i="10"/>
  <c r="CW54" i="10"/>
  <c r="CX62" i="10"/>
  <c r="CX70" i="10"/>
  <c r="CX78" i="10"/>
  <c r="CW84" i="10"/>
  <c r="CW88" i="10"/>
  <c r="CW92" i="10"/>
  <c r="CW93" i="10"/>
  <c r="CW95" i="10"/>
  <c r="CW97" i="10"/>
  <c r="CW99" i="10"/>
  <c r="CW101" i="10"/>
  <c r="CW103" i="10"/>
  <c r="CW105" i="10"/>
  <c r="CW107" i="10"/>
  <c r="CW109" i="10"/>
  <c r="CW111" i="10"/>
  <c r="CW113" i="10"/>
  <c r="CW115" i="10"/>
  <c r="CW117" i="10"/>
  <c r="CW119" i="10"/>
  <c r="CW121" i="10"/>
  <c r="CW123" i="10"/>
  <c r="CX40" i="10"/>
  <c r="CW50" i="10"/>
  <c r="CX60" i="10"/>
  <c r="CX68" i="10"/>
  <c r="CX76" i="10"/>
  <c r="CX84" i="10"/>
  <c r="CX88" i="10"/>
  <c r="CX82" i="10"/>
  <c r="CW94" i="10"/>
  <c r="CW98" i="10"/>
  <c r="CW102" i="10"/>
  <c r="CW106" i="10"/>
  <c r="CW110" i="10"/>
  <c r="CW114" i="10"/>
  <c r="CW118" i="10"/>
  <c r="CW122" i="10"/>
  <c r="CW124" i="10"/>
  <c r="CW126" i="10"/>
  <c r="CW128" i="10"/>
  <c r="CW130" i="10"/>
  <c r="CW132" i="10"/>
  <c r="CW134" i="10"/>
  <c r="CW136" i="10"/>
  <c r="CW138" i="10"/>
  <c r="CW140" i="10"/>
  <c r="CW142" i="10"/>
  <c r="CW144" i="10"/>
  <c r="CW146" i="10"/>
  <c r="CW148" i="10"/>
  <c r="CW150" i="10"/>
  <c r="CW152" i="10"/>
  <c r="CW154" i="10"/>
  <c r="CW156" i="10"/>
  <c r="CW158" i="10"/>
  <c r="CW160" i="10"/>
  <c r="CW162" i="10"/>
  <c r="CW164" i="10"/>
  <c r="CW166" i="10"/>
  <c r="CW168" i="10"/>
  <c r="CW170" i="10"/>
  <c r="CW172" i="10"/>
  <c r="CW174" i="10"/>
  <c r="CW176" i="10"/>
  <c r="CW178" i="10"/>
  <c r="CW180" i="10"/>
  <c r="CW182" i="10"/>
  <c r="CW184" i="10"/>
  <c r="CW186" i="10"/>
  <c r="CX74" i="10"/>
  <c r="CW90" i="10"/>
  <c r="CX92" i="10"/>
  <c r="CX93" i="10"/>
  <c r="CX97" i="10"/>
  <c r="CX101" i="10"/>
  <c r="CX105" i="10"/>
  <c r="CX109" i="10"/>
  <c r="CX113" i="10"/>
  <c r="CX117" i="10"/>
  <c r="CX121" i="10"/>
  <c r="CX124" i="10"/>
  <c r="CX126" i="10"/>
  <c r="CX128" i="10"/>
  <c r="CX130" i="10"/>
  <c r="CX132" i="10"/>
  <c r="CX134" i="10"/>
  <c r="CX136" i="10"/>
  <c r="CX138" i="10"/>
  <c r="CX140" i="10"/>
  <c r="CX142" i="10"/>
  <c r="CX144" i="10"/>
  <c r="CX146" i="10"/>
  <c r="CX148" i="10"/>
  <c r="CX150" i="10"/>
  <c r="CX152" i="10"/>
  <c r="CX154" i="10"/>
  <c r="CX156" i="10"/>
  <c r="CX158" i="10"/>
  <c r="CX160" i="10"/>
  <c r="CX162" i="10"/>
  <c r="CX164" i="10"/>
  <c r="CX166" i="10"/>
  <c r="CX168" i="10"/>
  <c r="CX170" i="10"/>
  <c r="CX172" i="10"/>
  <c r="CX174" i="10"/>
  <c r="CX176" i="10"/>
  <c r="CX178" i="10"/>
  <c r="CX180" i="10"/>
  <c r="CX182" i="10"/>
  <c r="CX184" i="10"/>
  <c r="CX186" i="10"/>
  <c r="CX188" i="10"/>
  <c r="CX190" i="10"/>
  <c r="CX192" i="10"/>
  <c r="CX194" i="10"/>
  <c r="CW46" i="10"/>
  <c r="CX66" i="10"/>
  <c r="CW86" i="10"/>
  <c r="CW91" i="10"/>
  <c r="CW96" i="10"/>
  <c r="CW100" i="10"/>
  <c r="CW104" i="10"/>
  <c r="CW108" i="10"/>
  <c r="CW112" i="10"/>
  <c r="CX58" i="10"/>
  <c r="CX99" i="10"/>
  <c r="CW120" i="10"/>
  <c r="CW127" i="10"/>
  <c r="CW131" i="10"/>
  <c r="CW135" i="10"/>
  <c r="CW139" i="10"/>
  <c r="CW143" i="10"/>
  <c r="CW147" i="10"/>
  <c r="CW151" i="10"/>
  <c r="CW155" i="10"/>
  <c r="CW159" i="10"/>
  <c r="CW163" i="10"/>
  <c r="CW167" i="10"/>
  <c r="CW171" i="10"/>
  <c r="CW175" i="10"/>
  <c r="CW179" i="10"/>
  <c r="CW183" i="10"/>
  <c r="CX187" i="10"/>
  <c r="CW189" i="10"/>
  <c r="CW192" i="10"/>
  <c r="CX195" i="10"/>
  <c r="CX196" i="10"/>
  <c r="CX198" i="10"/>
  <c r="CX200" i="10"/>
  <c r="CX202" i="10"/>
  <c r="CX204" i="10"/>
  <c r="CX206" i="10"/>
  <c r="CX208" i="10"/>
  <c r="CX210" i="10"/>
  <c r="CX212" i="10"/>
  <c r="CX214" i="10"/>
  <c r="CX216" i="10"/>
  <c r="CX218" i="10"/>
  <c r="CX220" i="10"/>
  <c r="CX222" i="10"/>
  <c r="CX224" i="10"/>
  <c r="CX226" i="10"/>
  <c r="CX228" i="10"/>
  <c r="CX95" i="10"/>
  <c r="CX111" i="10"/>
  <c r="CX119" i="10"/>
  <c r="CX127" i="10"/>
  <c r="CX131" i="10"/>
  <c r="CX135" i="10"/>
  <c r="CX139" i="10"/>
  <c r="CX143" i="10"/>
  <c r="CX147" i="10"/>
  <c r="CX151" i="10"/>
  <c r="CX155" i="10"/>
  <c r="CX159" i="10"/>
  <c r="CX163" i="10"/>
  <c r="CX167" i="10"/>
  <c r="CX171" i="10"/>
  <c r="CX175" i="10"/>
  <c r="CX179" i="10"/>
  <c r="CX183" i="10"/>
  <c r="CX189" i="10"/>
  <c r="CW191" i="10"/>
  <c r="CW194" i="10"/>
  <c r="CW197" i="10"/>
  <c r="CW199" i="10"/>
  <c r="CW201" i="10"/>
  <c r="CW203" i="10"/>
  <c r="CW205" i="10"/>
  <c r="CW207" i="10"/>
  <c r="CW209" i="10"/>
  <c r="CW211" i="10"/>
  <c r="CW213" i="10"/>
  <c r="CW215" i="10"/>
  <c r="CW217" i="10"/>
  <c r="CW219" i="10"/>
  <c r="CW221" i="10"/>
  <c r="CW223" i="10"/>
  <c r="CW225" i="10"/>
  <c r="CW227" i="10"/>
  <c r="CX107" i="10"/>
  <c r="CW116" i="10"/>
  <c r="CW125" i="10"/>
  <c r="CW129" i="10"/>
  <c r="CW133" i="10"/>
  <c r="CW137" i="10"/>
  <c r="CW141" i="10"/>
  <c r="CW145" i="10"/>
  <c r="CW149" i="10"/>
  <c r="CW153" i="10"/>
  <c r="CW157" i="10"/>
  <c r="CW161" i="10"/>
  <c r="CW165" i="10"/>
  <c r="CW169" i="10"/>
  <c r="CW173" i="10"/>
  <c r="CW177" i="10"/>
  <c r="CW181" i="10"/>
  <c r="CW185" i="10"/>
  <c r="CW188" i="10"/>
  <c r="CX191" i="10"/>
  <c r="CW193" i="10"/>
  <c r="CX125" i="10"/>
  <c r="CX141" i="10"/>
  <c r="CX157" i="10"/>
  <c r="CX173" i="10"/>
  <c r="CX137" i="10"/>
  <c r="CX153" i="10"/>
  <c r="CX169" i="10"/>
  <c r="CX185" i="10"/>
  <c r="CW187" i="10"/>
  <c r="CW196" i="10"/>
  <c r="CX123" i="10"/>
  <c r="CX133" i="10"/>
  <c r="CX149" i="10"/>
  <c r="CX165" i="10"/>
  <c r="CX181" i="10"/>
  <c r="CX103" i="10"/>
  <c r="CX115" i="10"/>
  <c r="CX129" i="10"/>
  <c r="CX145" i="10"/>
  <c r="CX161" i="10"/>
  <c r="CX177" i="10"/>
  <c r="CX193" i="10"/>
  <c r="CW195" i="10"/>
  <c r="CW198" i="10"/>
  <c r="CW202" i="10"/>
  <c r="CW206" i="10"/>
  <c r="CW210" i="10"/>
  <c r="CW214" i="10"/>
  <c r="CW218" i="10"/>
  <c r="CW222" i="10"/>
  <c r="CW226" i="10"/>
  <c r="CX230" i="10"/>
  <c r="CX232" i="10"/>
  <c r="CW190" i="10"/>
  <c r="CX201" i="10"/>
  <c r="CX205" i="10"/>
  <c r="CX209" i="10"/>
  <c r="CX213" i="10"/>
  <c r="CX217" i="10"/>
  <c r="CX221" i="10"/>
  <c r="CX225" i="10"/>
  <c r="CW229" i="10"/>
  <c r="CW231" i="10"/>
  <c r="CW233" i="10"/>
  <c r="CX197" i="10"/>
  <c r="CW200" i="10"/>
  <c r="CW204" i="10"/>
  <c r="CW208" i="10"/>
  <c r="CW212" i="10"/>
  <c r="CW216" i="10"/>
  <c r="CW220" i="10"/>
  <c r="CX199" i="10"/>
  <c r="CX203" i="10"/>
  <c r="CX207" i="10"/>
  <c r="CX211" i="10"/>
  <c r="CX215" i="10"/>
  <c r="CX219" i="10"/>
  <c r="CX223" i="10"/>
  <c r="CX227" i="10"/>
  <c r="CW230" i="10"/>
  <c r="CW232" i="10"/>
  <c r="CW234" i="10"/>
  <c r="CW224" i="10"/>
  <c r="CX233" i="10"/>
  <c r="CX234" i="10"/>
  <c r="CX236" i="10"/>
  <c r="CX238" i="10"/>
  <c r="CX240" i="10"/>
  <c r="CX242" i="10"/>
  <c r="CX244" i="10"/>
  <c r="CX246" i="10"/>
  <c r="CX248" i="10"/>
  <c r="CX250" i="10"/>
  <c r="CX252" i="10"/>
  <c r="CX254" i="10"/>
  <c r="CX256" i="10"/>
  <c r="CX258" i="10"/>
  <c r="CX260" i="10"/>
  <c r="CX262" i="10"/>
  <c r="CX264" i="10"/>
  <c r="CX266" i="10"/>
  <c r="CX268" i="10"/>
  <c r="CX270" i="10"/>
  <c r="CX272" i="10"/>
  <c r="CX274" i="10"/>
  <c r="CX276" i="10"/>
  <c r="CX278" i="10"/>
  <c r="CX280" i="10"/>
  <c r="CX282" i="10"/>
  <c r="CX284" i="10"/>
  <c r="CX286" i="10"/>
  <c r="CX288" i="10"/>
  <c r="CX290" i="10"/>
  <c r="CX292" i="10"/>
  <c r="CX294" i="10"/>
  <c r="CX296" i="10"/>
  <c r="CX298" i="10"/>
  <c r="CX300" i="10"/>
  <c r="CX302" i="10"/>
  <c r="CX304" i="10"/>
  <c r="CX306" i="10"/>
  <c r="CX231" i="10"/>
  <c r="CW235" i="10"/>
  <c r="CW237" i="10"/>
  <c r="CW239" i="10"/>
  <c r="CW241" i="10"/>
  <c r="CW243" i="10"/>
  <c r="CW245" i="10"/>
  <c r="CW247" i="10"/>
  <c r="CW249" i="10"/>
  <c r="CW251" i="10"/>
  <c r="CW253" i="10"/>
  <c r="CW255" i="10"/>
  <c r="CW257" i="10"/>
  <c r="CW259" i="10"/>
  <c r="CW261" i="10"/>
  <c r="CW263" i="10"/>
  <c r="CW265" i="10"/>
  <c r="CW267" i="10"/>
  <c r="CW269" i="10"/>
  <c r="CW271" i="10"/>
  <c r="CW273" i="10"/>
  <c r="CW275" i="10"/>
  <c r="CW277" i="10"/>
  <c r="CW279" i="10"/>
  <c r="CW281" i="10"/>
  <c r="CW283" i="10"/>
  <c r="CW285" i="10"/>
  <c r="CW287" i="10"/>
  <c r="CW289" i="10"/>
  <c r="CW291" i="10"/>
  <c r="CW293" i="10"/>
  <c r="CW295" i="10"/>
  <c r="CW297" i="10"/>
  <c r="CW299" i="10"/>
  <c r="CW301" i="10"/>
  <c r="CW303" i="10"/>
  <c r="CW305" i="10"/>
  <c r="CW307" i="10"/>
  <c r="CW309" i="10"/>
  <c r="CW311" i="10"/>
  <c r="CW313" i="10"/>
  <c r="CW315" i="10"/>
  <c r="CW317" i="10"/>
  <c r="CX229" i="10"/>
  <c r="CX235" i="10"/>
  <c r="CX237" i="10"/>
  <c r="CX239" i="10"/>
  <c r="CX241" i="10"/>
  <c r="CX243" i="10"/>
  <c r="CX245" i="10"/>
  <c r="CX247" i="10"/>
  <c r="CX249" i="10"/>
  <c r="CX251" i="10"/>
  <c r="CX253" i="10"/>
  <c r="CX255" i="10"/>
  <c r="CX257" i="10"/>
  <c r="CX259" i="10"/>
  <c r="CX261" i="10"/>
  <c r="CX263" i="10"/>
  <c r="CX265" i="10"/>
  <c r="CX267" i="10"/>
  <c r="CX269" i="10"/>
  <c r="CX271" i="10"/>
  <c r="CX273" i="10"/>
  <c r="CX275" i="10"/>
  <c r="CX277" i="10"/>
  <c r="CX279" i="10"/>
  <c r="CX281" i="10"/>
  <c r="CX283" i="10"/>
  <c r="CX285" i="10"/>
  <c r="CX287" i="10"/>
  <c r="CX289" i="10"/>
  <c r="CX291" i="10"/>
  <c r="CX293" i="10"/>
  <c r="CX295" i="10"/>
  <c r="CX297" i="10"/>
  <c r="CX299" i="10"/>
  <c r="CX301" i="10"/>
  <c r="CX303" i="10"/>
  <c r="CX305" i="10"/>
  <c r="CX307" i="10"/>
  <c r="CX309" i="10"/>
  <c r="CX311" i="10"/>
  <c r="CX313" i="10"/>
  <c r="CX315" i="10"/>
  <c r="CX317" i="10"/>
  <c r="CX319" i="10"/>
  <c r="CX321" i="10"/>
  <c r="CX323" i="10"/>
  <c r="CW228" i="10"/>
  <c r="CW236" i="10"/>
  <c r="CW238" i="10"/>
  <c r="CW240" i="10"/>
  <c r="CW242" i="10"/>
  <c r="CW244" i="10"/>
  <c r="CW246" i="10"/>
  <c r="CW248" i="10"/>
  <c r="CW250" i="10"/>
  <c r="CW252" i="10"/>
  <c r="CW254" i="10"/>
  <c r="CW256" i="10"/>
  <c r="CW258" i="10"/>
  <c r="CW260" i="10"/>
  <c r="CW262" i="10"/>
  <c r="CW264" i="10"/>
  <c r="CW266" i="10"/>
  <c r="CW268" i="10"/>
  <c r="CW274" i="10"/>
  <c r="CW282" i="10"/>
  <c r="CW306" i="10"/>
  <c r="CX320" i="10"/>
  <c r="CX328" i="10"/>
  <c r="CW327" i="10"/>
  <c r="CW272" i="10"/>
  <c r="CW280" i="10"/>
  <c r="CW288" i="10"/>
  <c r="CW296" i="10"/>
  <c r="CW304" i="10"/>
  <c r="CX308" i="10"/>
  <c r="CX312" i="10"/>
  <c r="CX316" i="10"/>
  <c r="CW319" i="10"/>
  <c r="CW270" i="10"/>
  <c r="CW278" i="10"/>
  <c r="CW286" i="10"/>
  <c r="CW294" i="10"/>
  <c r="CW302" i="10"/>
  <c r="CW310" i="10"/>
  <c r="CW314" i="10"/>
  <c r="CW318" i="10"/>
  <c r="CW321" i="10"/>
  <c r="CX325" i="10"/>
  <c r="CX327" i="10"/>
  <c r="CW290" i="10"/>
  <c r="CW298" i="10"/>
  <c r="CW308" i="10"/>
  <c r="CW322" i="10"/>
  <c r="CX324" i="10"/>
  <c r="CX326" i="10"/>
  <c r="CX322" i="10"/>
  <c r="CW325" i="10"/>
  <c r="CW276" i="10"/>
  <c r="CW284" i="10"/>
  <c r="CW292" i="10"/>
  <c r="CW300" i="10"/>
  <c r="CX310" i="10"/>
  <c r="CX314" i="10"/>
  <c r="CX318" i="10"/>
  <c r="CW320" i="10"/>
  <c r="CW323" i="10"/>
  <c r="CW324" i="10"/>
  <c r="CW326" i="10"/>
  <c r="CW328" i="10"/>
  <c r="CW312" i="10"/>
  <c r="CW316" i="10"/>
  <c r="CK9" i="10"/>
  <c r="CK14" i="10"/>
  <c r="CK16" i="10"/>
  <c r="CK18" i="10"/>
  <c r="CK20" i="10"/>
  <c r="CK22" i="10"/>
  <c r="CK24" i="10"/>
  <c r="CK26" i="10"/>
  <c r="CK28" i="10"/>
  <c r="CK30" i="10"/>
  <c r="CK32" i="10"/>
  <c r="CK17" i="10"/>
  <c r="CK19" i="10"/>
  <c r="CK21" i="10"/>
  <c r="CK23" i="10"/>
  <c r="CK25" i="10"/>
  <c r="CK11" i="10"/>
  <c r="CK33" i="10"/>
  <c r="CK27" i="10"/>
  <c r="CK34" i="10"/>
  <c r="CK36" i="10"/>
  <c r="CK38" i="10"/>
  <c r="CK40" i="10"/>
  <c r="CK42" i="10"/>
  <c r="CK35" i="10"/>
  <c r="CK39" i="10"/>
  <c r="CK31" i="10"/>
  <c r="CK37" i="10"/>
  <c r="CK41" i="10"/>
  <c r="CK43" i="10"/>
  <c r="CK45" i="10"/>
  <c r="CK47" i="10"/>
  <c r="CK49" i="10"/>
  <c r="CK51" i="10"/>
  <c r="CK53" i="10"/>
  <c r="CK55" i="10"/>
  <c r="CK57" i="10"/>
  <c r="CK59" i="10"/>
  <c r="CK61" i="10"/>
  <c r="CK63" i="10"/>
  <c r="CK65" i="10"/>
  <c r="CK67" i="10"/>
  <c r="CK69" i="10"/>
  <c r="CK71" i="10"/>
  <c r="CK73" i="10"/>
  <c r="CK75" i="10"/>
  <c r="CK77" i="10"/>
  <c r="CK79" i="10"/>
  <c r="CK81" i="10"/>
  <c r="CK83" i="10"/>
  <c r="CK85" i="10"/>
  <c r="CK87" i="10"/>
  <c r="CK89" i="10"/>
  <c r="CK91" i="10"/>
  <c r="CK29" i="10"/>
  <c r="CK44" i="10"/>
  <c r="CK48" i="10"/>
  <c r="CK52" i="10"/>
  <c r="CK56" i="10"/>
  <c r="CK15" i="10"/>
  <c r="CK58" i="10"/>
  <c r="CK60" i="10"/>
  <c r="CK62" i="10"/>
  <c r="CK64" i="10"/>
  <c r="CK66" i="10"/>
  <c r="CK68" i="10"/>
  <c r="CK70" i="10"/>
  <c r="CK72" i="10"/>
  <c r="CK74" i="10"/>
  <c r="CK76" i="10"/>
  <c r="CK78" i="10"/>
  <c r="CK80" i="10"/>
  <c r="CK82" i="10"/>
  <c r="CK54" i="10"/>
  <c r="CK50" i="10"/>
  <c r="CK84" i="10"/>
  <c r="CK88" i="10"/>
  <c r="CK95" i="10"/>
  <c r="CK97" i="10"/>
  <c r="CK99" i="10"/>
  <c r="CK101" i="10"/>
  <c r="CK103" i="10"/>
  <c r="CK105" i="10"/>
  <c r="CK107" i="10"/>
  <c r="CK109" i="10"/>
  <c r="CK111" i="10"/>
  <c r="CK113" i="10"/>
  <c r="CK115" i="10"/>
  <c r="CK117" i="10"/>
  <c r="CK119" i="10"/>
  <c r="CK121" i="10"/>
  <c r="CK123" i="10"/>
  <c r="CK46" i="10"/>
  <c r="CK90" i="10"/>
  <c r="CK94" i="10"/>
  <c r="CK98" i="10"/>
  <c r="CK102" i="10"/>
  <c r="CK106" i="10"/>
  <c r="CK110" i="10"/>
  <c r="CK114" i="10"/>
  <c r="CK118" i="10"/>
  <c r="CK122" i="10"/>
  <c r="CK126" i="10"/>
  <c r="CK128" i="10"/>
  <c r="CK130" i="10"/>
  <c r="CK132" i="10"/>
  <c r="CK134" i="10"/>
  <c r="CK136" i="10"/>
  <c r="CK138" i="10"/>
  <c r="CK140" i="10"/>
  <c r="CK142" i="10"/>
  <c r="CK144" i="10"/>
  <c r="CK146" i="10"/>
  <c r="CK148" i="10"/>
  <c r="CK150" i="10"/>
  <c r="CK152" i="10"/>
  <c r="CK154" i="10"/>
  <c r="CK156" i="10"/>
  <c r="CK158" i="10"/>
  <c r="CK160" i="10"/>
  <c r="CK162" i="10"/>
  <c r="CK164" i="10"/>
  <c r="CK166" i="10"/>
  <c r="CK168" i="10"/>
  <c r="CK170" i="10"/>
  <c r="CK172" i="10"/>
  <c r="CK174" i="10"/>
  <c r="CK176" i="10"/>
  <c r="CK178" i="10"/>
  <c r="CK180" i="10"/>
  <c r="CK182" i="10"/>
  <c r="CK184" i="10"/>
  <c r="CK186" i="10"/>
  <c r="CK86" i="10"/>
  <c r="CK93" i="10"/>
  <c r="CK92" i="10"/>
  <c r="CK96" i="10"/>
  <c r="CK100" i="10"/>
  <c r="CK104" i="10"/>
  <c r="CK108" i="10"/>
  <c r="CK112" i="10"/>
  <c r="CK116" i="10"/>
  <c r="CK124" i="10"/>
  <c r="CK127" i="10"/>
  <c r="CK131" i="10"/>
  <c r="CK135" i="10"/>
  <c r="CK139" i="10"/>
  <c r="CK143" i="10"/>
  <c r="CK147" i="10"/>
  <c r="CK151" i="10"/>
  <c r="CK155" i="10"/>
  <c r="CK159" i="10"/>
  <c r="CK163" i="10"/>
  <c r="CK167" i="10"/>
  <c r="CK171" i="10"/>
  <c r="CK175" i="10"/>
  <c r="CK179" i="10"/>
  <c r="CK183" i="10"/>
  <c r="CK188" i="10"/>
  <c r="CK193" i="10"/>
  <c r="CK187" i="10"/>
  <c r="CK190" i="10"/>
  <c r="CK195" i="10"/>
  <c r="CK197" i="10"/>
  <c r="CK199" i="10"/>
  <c r="CK201" i="10"/>
  <c r="CK203" i="10"/>
  <c r="CK205" i="10"/>
  <c r="CK207" i="10"/>
  <c r="CK209" i="10"/>
  <c r="CK211" i="10"/>
  <c r="CK213" i="10"/>
  <c r="CK215" i="10"/>
  <c r="CK217" i="10"/>
  <c r="CK219" i="10"/>
  <c r="CK221" i="10"/>
  <c r="CK223" i="10"/>
  <c r="CK225" i="10"/>
  <c r="CK227" i="10"/>
  <c r="CK120" i="10"/>
  <c r="CK125" i="10"/>
  <c r="CK129" i="10"/>
  <c r="CK133" i="10"/>
  <c r="CK137" i="10"/>
  <c r="CK141" i="10"/>
  <c r="CK145" i="10"/>
  <c r="CK149" i="10"/>
  <c r="CK153" i="10"/>
  <c r="CK157" i="10"/>
  <c r="CK161" i="10"/>
  <c r="CK165" i="10"/>
  <c r="CK169" i="10"/>
  <c r="CK173" i="10"/>
  <c r="CK177" i="10"/>
  <c r="CK181" i="10"/>
  <c r="CK185" i="10"/>
  <c r="CK189" i="10"/>
  <c r="CK192" i="10"/>
  <c r="CK194" i="10"/>
  <c r="CK196" i="10"/>
  <c r="CK198" i="10"/>
  <c r="CK202" i="10"/>
  <c r="CK206" i="10"/>
  <c r="CK210" i="10"/>
  <c r="CK214" i="10"/>
  <c r="CK218" i="10"/>
  <c r="CK222" i="10"/>
  <c r="CK226" i="10"/>
  <c r="CK229" i="10"/>
  <c r="CK231" i="10"/>
  <c r="CK233" i="10"/>
  <c r="CK191" i="10"/>
  <c r="CK200" i="10"/>
  <c r="CK204" i="10"/>
  <c r="CK208" i="10"/>
  <c r="CK212" i="10"/>
  <c r="CK216" i="10"/>
  <c r="CK220" i="10"/>
  <c r="CK230" i="10"/>
  <c r="CK232" i="10"/>
  <c r="CK234" i="10"/>
  <c r="CK235" i="10"/>
  <c r="CK237" i="10"/>
  <c r="CK239" i="10"/>
  <c r="CK241" i="10"/>
  <c r="CK243" i="10"/>
  <c r="CK245" i="10"/>
  <c r="CK247" i="10"/>
  <c r="CK249" i="10"/>
  <c r="CK251" i="10"/>
  <c r="CK253" i="10"/>
  <c r="CK255" i="10"/>
  <c r="CK257" i="10"/>
  <c r="CK259" i="10"/>
  <c r="CK261" i="10"/>
  <c r="CK263" i="10"/>
  <c r="CK265" i="10"/>
  <c r="CK267" i="10"/>
  <c r="CK269" i="10"/>
  <c r="CK271" i="10"/>
  <c r="CK273" i="10"/>
  <c r="CK275" i="10"/>
  <c r="CK277" i="10"/>
  <c r="CK279" i="10"/>
  <c r="CK281" i="10"/>
  <c r="CK283" i="10"/>
  <c r="CK285" i="10"/>
  <c r="CK287" i="10"/>
  <c r="CK289" i="10"/>
  <c r="CK291" i="10"/>
  <c r="CK293" i="10"/>
  <c r="CK295" i="10"/>
  <c r="CK297" i="10"/>
  <c r="CK299" i="10"/>
  <c r="CK301" i="10"/>
  <c r="CK303" i="10"/>
  <c r="CK305" i="10"/>
  <c r="CK307" i="10"/>
  <c r="CK309" i="10"/>
  <c r="CK311" i="10"/>
  <c r="CK313" i="10"/>
  <c r="CK315" i="10"/>
  <c r="CK317" i="10"/>
  <c r="CK228" i="10"/>
  <c r="CK224" i="10"/>
  <c r="CK236" i="10"/>
  <c r="CK238" i="10"/>
  <c r="CK240" i="10"/>
  <c r="CK242" i="10"/>
  <c r="CK244" i="10"/>
  <c r="CK246" i="10"/>
  <c r="CK248" i="10"/>
  <c r="CK250" i="10"/>
  <c r="CK252" i="10"/>
  <c r="CK254" i="10"/>
  <c r="CK256" i="10"/>
  <c r="CK258" i="10"/>
  <c r="CK260" i="10"/>
  <c r="CK262" i="10"/>
  <c r="CK264" i="10"/>
  <c r="CK266" i="10"/>
  <c r="CK268" i="10"/>
  <c r="CK270" i="10"/>
  <c r="CK278" i="10"/>
  <c r="CK286" i="10"/>
  <c r="CK321" i="10"/>
  <c r="CK325" i="10"/>
  <c r="CK276" i="10"/>
  <c r="CK284" i="10"/>
  <c r="CK292" i="10"/>
  <c r="CK300" i="10"/>
  <c r="CK308" i="10"/>
  <c r="CK320" i="10"/>
  <c r="CK323" i="10"/>
  <c r="CK327" i="10"/>
  <c r="CK274" i="10"/>
  <c r="CK282" i="10"/>
  <c r="CK290" i="10"/>
  <c r="CK298" i="10"/>
  <c r="CK306" i="10"/>
  <c r="CK310" i="10"/>
  <c r="CK314" i="10"/>
  <c r="CK318" i="10"/>
  <c r="CK322" i="10"/>
  <c r="CK294" i="10"/>
  <c r="CK312" i="10"/>
  <c r="CK316" i="10"/>
  <c r="CK272" i="10"/>
  <c r="CK280" i="10"/>
  <c r="CK288" i="10"/>
  <c r="CK296" i="10"/>
  <c r="CK304" i="10"/>
  <c r="CK319" i="10"/>
  <c r="CK324" i="10"/>
  <c r="CK326" i="10"/>
  <c r="CK328" i="10"/>
  <c r="CK302" i="10"/>
  <c r="CX4" i="10"/>
  <c r="CZ5" i="10"/>
  <c r="CH7" i="10"/>
  <c r="DF7" i="10"/>
  <c r="CQ8" i="10"/>
  <c r="CZ9" i="10"/>
  <c r="CC7" i="10"/>
  <c r="DA7" i="10"/>
  <c r="CF8" i="10"/>
  <c r="DD8" i="10"/>
  <c r="CI9" i="10"/>
  <c r="DG9" i="10"/>
  <c r="CE7" i="10"/>
  <c r="CK7" i="10"/>
  <c r="DD7" i="10"/>
  <c r="DM8" i="10"/>
  <c r="DD6" i="10"/>
  <c r="DJ7" i="10"/>
  <c r="DR8" i="10"/>
  <c r="CQ10" i="10"/>
  <c r="CX10" i="10"/>
  <c r="CZ10" i="10"/>
  <c r="CN6" i="10"/>
  <c r="DS6" i="10"/>
  <c r="CU5" i="10"/>
  <c r="CH6" i="10"/>
  <c r="DM6" i="10"/>
  <c r="CO5" i="10"/>
  <c r="DG6" i="10"/>
  <c r="CU10" i="10"/>
  <c r="CX5" i="10"/>
  <c r="CK5" i="10"/>
  <c r="DI6" i="10"/>
  <c r="CT6" i="10"/>
  <c r="CU13" i="10"/>
  <c r="DS13" i="10"/>
  <c r="CW13" i="10"/>
  <c r="CF13" i="10"/>
  <c r="DD13" i="10"/>
  <c r="CU12" i="10"/>
  <c r="DS12" i="10"/>
  <c r="CW12" i="10"/>
  <c r="CF12" i="10"/>
  <c r="DD12" i="10"/>
  <c r="CH5" i="10"/>
  <c r="DF5" i="10"/>
  <c r="CN7" i="10"/>
  <c r="DL7" i="10"/>
  <c r="CW8" i="10"/>
  <c r="CH9" i="10"/>
  <c r="DF9" i="10"/>
  <c r="CI7" i="10"/>
  <c r="DG7" i="10"/>
  <c r="DJ8" i="10"/>
  <c r="CO9" i="10"/>
  <c r="DM9" i="10"/>
  <c r="CQ7" i="10"/>
  <c r="CW7" i="10"/>
  <c r="CC8" i="10"/>
  <c r="DJ6" i="10"/>
  <c r="CH8" i="10"/>
  <c r="CW10" i="10"/>
  <c r="CF10" i="10"/>
  <c r="DD10" i="10"/>
  <c r="CH10" i="10"/>
  <c r="DF10" i="10"/>
  <c r="CU6" i="10"/>
  <c r="CC10" i="10"/>
  <c r="DC5" i="10"/>
  <c r="CO6" i="10"/>
  <c r="CI10" i="10"/>
  <c r="CW5" i="10"/>
  <c r="CI6" i="10"/>
  <c r="CC5" i="10"/>
  <c r="DS10" i="10"/>
  <c r="CK6" i="10"/>
  <c r="DA13" i="10"/>
  <c r="CE13" i="10"/>
  <c r="DC13" i="10"/>
  <c r="DJ13" i="10"/>
  <c r="DA12" i="10"/>
  <c r="DC12" i="10"/>
  <c r="DJ12" i="10"/>
  <c r="CC12" i="10"/>
  <c r="DF11" i="10"/>
  <c r="DF15" i="10"/>
  <c r="DG11" i="10"/>
  <c r="DG8" i="10"/>
  <c r="DF17" i="10"/>
  <c r="DF19" i="10"/>
  <c r="DF21" i="10"/>
  <c r="DF23" i="10"/>
  <c r="DF25" i="10"/>
  <c r="DF27" i="10"/>
  <c r="DF29" i="10"/>
  <c r="DF31" i="10"/>
  <c r="DF33" i="10"/>
  <c r="DF12" i="10"/>
  <c r="DF13" i="10"/>
  <c r="DG14" i="10"/>
  <c r="DF16" i="10"/>
  <c r="DF18" i="10"/>
  <c r="DF20" i="10"/>
  <c r="DF22" i="10"/>
  <c r="DF24" i="10"/>
  <c r="DG18" i="10"/>
  <c r="DG22" i="10"/>
  <c r="DG27" i="10"/>
  <c r="DG30" i="10"/>
  <c r="DF32" i="10"/>
  <c r="DG34" i="10"/>
  <c r="DG36" i="10"/>
  <c r="DG38" i="10"/>
  <c r="DG40" i="10"/>
  <c r="DG42" i="10"/>
  <c r="DG17" i="10"/>
  <c r="DG21" i="10"/>
  <c r="DG25" i="10"/>
  <c r="DF26" i="10"/>
  <c r="DG29" i="10"/>
  <c r="DG32" i="10"/>
  <c r="DF35" i="10"/>
  <c r="DF37" i="10"/>
  <c r="DF39" i="10"/>
  <c r="DF41" i="10"/>
  <c r="DF43" i="10"/>
  <c r="DG16" i="10"/>
  <c r="DG20" i="10"/>
  <c r="DG24" i="10"/>
  <c r="DG15" i="10"/>
  <c r="DF30" i="10"/>
  <c r="DF34" i="10"/>
  <c r="DF38" i="10"/>
  <c r="DF42" i="10"/>
  <c r="DF28" i="10"/>
  <c r="DG37" i="10"/>
  <c r="DG41" i="10"/>
  <c r="DG43" i="10"/>
  <c r="DG45" i="10"/>
  <c r="DG47" i="10"/>
  <c r="DG49" i="10"/>
  <c r="DG51" i="10"/>
  <c r="DG53" i="10"/>
  <c r="DG55" i="10"/>
  <c r="DF14" i="10"/>
  <c r="DG23" i="10"/>
  <c r="DG28" i="10"/>
  <c r="DG33" i="10"/>
  <c r="DF36" i="10"/>
  <c r="DF40" i="10"/>
  <c r="DF44" i="10"/>
  <c r="DF46" i="10"/>
  <c r="DF48" i="10"/>
  <c r="DF50" i="10"/>
  <c r="DF52" i="10"/>
  <c r="DF54" i="10"/>
  <c r="DG31" i="10"/>
  <c r="DG39" i="10"/>
  <c r="DG44" i="10"/>
  <c r="DG48" i="10"/>
  <c r="DG52" i="10"/>
  <c r="DF56" i="10"/>
  <c r="DF58" i="10"/>
  <c r="DF60" i="10"/>
  <c r="DF62" i="10"/>
  <c r="DF64" i="10"/>
  <c r="DF66" i="10"/>
  <c r="DF68" i="10"/>
  <c r="DF70" i="10"/>
  <c r="DF72" i="10"/>
  <c r="DF74" i="10"/>
  <c r="DF76" i="10"/>
  <c r="DF78" i="10"/>
  <c r="DF80" i="10"/>
  <c r="DF82" i="10"/>
  <c r="DF84" i="10"/>
  <c r="DF86" i="10"/>
  <c r="DF88" i="10"/>
  <c r="DF90" i="10"/>
  <c r="DG35" i="10"/>
  <c r="DF47" i="10"/>
  <c r="DF51" i="10"/>
  <c r="DF55" i="10"/>
  <c r="DG56" i="10"/>
  <c r="DG58" i="10"/>
  <c r="DG60" i="10"/>
  <c r="DG62" i="10"/>
  <c r="DG64" i="10"/>
  <c r="DG66" i="10"/>
  <c r="DG68" i="10"/>
  <c r="DG70" i="10"/>
  <c r="DG72" i="10"/>
  <c r="DG74" i="10"/>
  <c r="DG76" i="10"/>
  <c r="DG78" i="10"/>
  <c r="DG80" i="10"/>
  <c r="DG82" i="10"/>
  <c r="DG84" i="10"/>
  <c r="DG86" i="10"/>
  <c r="DG88" i="10"/>
  <c r="DG90" i="10"/>
  <c r="DG92" i="10"/>
  <c r="DG19" i="10"/>
  <c r="DG26" i="10"/>
  <c r="DG46" i="10"/>
  <c r="DG50" i="10"/>
  <c r="DG54" i="10"/>
  <c r="DF57" i="10"/>
  <c r="DF59" i="10"/>
  <c r="DF61" i="10"/>
  <c r="DF63" i="10"/>
  <c r="DF65" i="10"/>
  <c r="DF67" i="10"/>
  <c r="DF69" i="10"/>
  <c r="DF71" i="10"/>
  <c r="DF73" i="10"/>
  <c r="DF75" i="10"/>
  <c r="DF77" i="10"/>
  <c r="DF79" i="10"/>
  <c r="DF81" i="10"/>
  <c r="DF45" i="10"/>
  <c r="DG59" i="10"/>
  <c r="DG67" i="10"/>
  <c r="DG75" i="10"/>
  <c r="DG85" i="10"/>
  <c r="DG89" i="10"/>
  <c r="DG91" i="10"/>
  <c r="DG93" i="10"/>
  <c r="DG95" i="10"/>
  <c r="DG97" i="10"/>
  <c r="DG99" i="10"/>
  <c r="DG101" i="10"/>
  <c r="DG103" i="10"/>
  <c r="DG105" i="10"/>
  <c r="DG107" i="10"/>
  <c r="DG109" i="10"/>
  <c r="DG111" i="10"/>
  <c r="DG113" i="10"/>
  <c r="DG115" i="10"/>
  <c r="DG117" i="10"/>
  <c r="DG119" i="10"/>
  <c r="DG121" i="10"/>
  <c r="DG123" i="10"/>
  <c r="DG57" i="10"/>
  <c r="DG65" i="10"/>
  <c r="DG73" i="10"/>
  <c r="DG81" i="10"/>
  <c r="DF83" i="10"/>
  <c r="DF87" i="10"/>
  <c r="DF94" i="10"/>
  <c r="DF96" i="10"/>
  <c r="DF98" i="10"/>
  <c r="DF100" i="10"/>
  <c r="DF102" i="10"/>
  <c r="DF104" i="10"/>
  <c r="DF106" i="10"/>
  <c r="DF108" i="10"/>
  <c r="DF110" i="10"/>
  <c r="DF112" i="10"/>
  <c r="DF114" i="10"/>
  <c r="DF116" i="10"/>
  <c r="DF118" i="10"/>
  <c r="DF120" i="10"/>
  <c r="DF122" i="10"/>
  <c r="DF53" i="10"/>
  <c r="DG63" i="10"/>
  <c r="DG71" i="10"/>
  <c r="DG79" i="10"/>
  <c r="DG83" i="10"/>
  <c r="DG87" i="10"/>
  <c r="DG69" i="10"/>
  <c r="DF91" i="10"/>
  <c r="DF93" i="10"/>
  <c r="DF97" i="10"/>
  <c r="DF101" i="10"/>
  <c r="DF105" i="10"/>
  <c r="DF109" i="10"/>
  <c r="DF113" i="10"/>
  <c r="DF117" i="10"/>
  <c r="DF121" i="10"/>
  <c r="DF125" i="10"/>
  <c r="DF127" i="10"/>
  <c r="DF129" i="10"/>
  <c r="DF131" i="10"/>
  <c r="DF133" i="10"/>
  <c r="DF135" i="10"/>
  <c r="DF137" i="10"/>
  <c r="DF139" i="10"/>
  <c r="DF141" i="10"/>
  <c r="DF143" i="10"/>
  <c r="DF145" i="10"/>
  <c r="DF147" i="10"/>
  <c r="DF149" i="10"/>
  <c r="DF151" i="10"/>
  <c r="DF153" i="10"/>
  <c r="DF155" i="10"/>
  <c r="DF157" i="10"/>
  <c r="DF159" i="10"/>
  <c r="DF161" i="10"/>
  <c r="DF163" i="10"/>
  <c r="DF165" i="10"/>
  <c r="DF167" i="10"/>
  <c r="DF169" i="10"/>
  <c r="DF171" i="10"/>
  <c r="DF173" i="10"/>
  <c r="DF175" i="10"/>
  <c r="DF177" i="10"/>
  <c r="DF179" i="10"/>
  <c r="DF181" i="10"/>
  <c r="DF183" i="10"/>
  <c r="DF185" i="10"/>
  <c r="DF49" i="10"/>
  <c r="DG61" i="10"/>
  <c r="DG96" i="10"/>
  <c r="DG100" i="10"/>
  <c r="DG104" i="10"/>
  <c r="DG108" i="10"/>
  <c r="DG112" i="10"/>
  <c r="DG116" i="10"/>
  <c r="DG120" i="10"/>
  <c r="DG125" i="10"/>
  <c r="DG127" i="10"/>
  <c r="DG129" i="10"/>
  <c r="DG131" i="10"/>
  <c r="DG133" i="10"/>
  <c r="DG135" i="10"/>
  <c r="DG137" i="10"/>
  <c r="DG139" i="10"/>
  <c r="DG141" i="10"/>
  <c r="DG143" i="10"/>
  <c r="DG145" i="10"/>
  <c r="DG147" i="10"/>
  <c r="DG149" i="10"/>
  <c r="DG151" i="10"/>
  <c r="DG153" i="10"/>
  <c r="DG155" i="10"/>
  <c r="DG157" i="10"/>
  <c r="DG159" i="10"/>
  <c r="DG161" i="10"/>
  <c r="DG163" i="10"/>
  <c r="DG165" i="10"/>
  <c r="DG167" i="10"/>
  <c r="DG169" i="10"/>
  <c r="DG171" i="10"/>
  <c r="DG173" i="10"/>
  <c r="DG175" i="10"/>
  <c r="DG177" i="10"/>
  <c r="DG179" i="10"/>
  <c r="DG181" i="10"/>
  <c r="DG183" i="10"/>
  <c r="DG185" i="10"/>
  <c r="DG187" i="10"/>
  <c r="DG189" i="10"/>
  <c r="DG191" i="10"/>
  <c r="DG193" i="10"/>
  <c r="DG195" i="10"/>
  <c r="DF89" i="10"/>
  <c r="DF95" i="10"/>
  <c r="DF99" i="10"/>
  <c r="DF103" i="10"/>
  <c r="DF107" i="10"/>
  <c r="DF111" i="10"/>
  <c r="DG102" i="10"/>
  <c r="DF115" i="10"/>
  <c r="DF123" i="10"/>
  <c r="DF126" i="10"/>
  <c r="DF130" i="10"/>
  <c r="DF134" i="10"/>
  <c r="DF138" i="10"/>
  <c r="DF142" i="10"/>
  <c r="DF146" i="10"/>
  <c r="DF150" i="10"/>
  <c r="DF154" i="10"/>
  <c r="DF158" i="10"/>
  <c r="DF162" i="10"/>
  <c r="DF166" i="10"/>
  <c r="DF170" i="10"/>
  <c r="DF174" i="10"/>
  <c r="DF178" i="10"/>
  <c r="DF182" i="10"/>
  <c r="DF186" i="10"/>
  <c r="DF187" i="10"/>
  <c r="DG190" i="10"/>
  <c r="DF192" i="10"/>
  <c r="DF195" i="10"/>
  <c r="DG197" i="10"/>
  <c r="DG199" i="10"/>
  <c r="DG201" i="10"/>
  <c r="DG203" i="10"/>
  <c r="DG205" i="10"/>
  <c r="DG207" i="10"/>
  <c r="DG209" i="10"/>
  <c r="DG211" i="10"/>
  <c r="DG213" i="10"/>
  <c r="DG215" i="10"/>
  <c r="DG217" i="10"/>
  <c r="DG219" i="10"/>
  <c r="DG221" i="10"/>
  <c r="DG223" i="10"/>
  <c r="DG225" i="10"/>
  <c r="DG227" i="10"/>
  <c r="DG77" i="10"/>
  <c r="DG98" i="10"/>
  <c r="DG114" i="10"/>
  <c r="DG122" i="10"/>
  <c r="DG126" i="10"/>
  <c r="DG130" i="10"/>
  <c r="DG134" i="10"/>
  <c r="DG138" i="10"/>
  <c r="DG142" i="10"/>
  <c r="DG146" i="10"/>
  <c r="DG150" i="10"/>
  <c r="DG154" i="10"/>
  <c r="DG158" i="10"/>
  <c r="DG162" i="10"/>
  <c r="DG166" i="10"/>
  <c r="DG170" i="10"/>
  <c r="DG174" i="10"/>
  <c r="DG178" i="10"/>
  <c r="DG182" i="10"/>
  <c r="DG186" i="10"/>
  <c r="DF189" i="10"/>
  <c r="DG192" i="10"/>
  <c r="DF194" i="10"/>
  <c r="DF196" i="10"/>
  <c r="DF198" i="10"/>
  <c r="DF200" i="10"/>
  <c r="DF202" i="10"/>
  <c r="DF204" i="10"/>
  <c r="DF206" i="10"/>
  <c r="DF208" i="10"/>
  <c r="DF210" i="10"/>
  <c r="DF212" i="10"/>
  <c r="DF214" i="10"/>
  <c r="DF216" i="10"/>
  <c r="DF218" i="10"/>
  <c r="DF220" i="10"/>
  <c r="DF222" i="10"/>
  <c r="DF224" i="10"/>
  <c r="DF226" i="10"/>
  <c r="DF85" i="10"/>
  <c r="DG94" i="10"/>
  <c r="DG110" i="10"/>
  <c r="DF119" i="10"/>
  <c r="DF124" i="10"/>
  <c r="DF128" i="10"/>
  <c r="DF132" i="10"/>
  <c r="DF136" i="10"/>
  <c r="DF140" i="10"/>
  <c r="DF144" i="10"/>
  <c r="DF148" i="10"/>
  <c r="DF152" i="10"/>
  <c r="DF156" i="10"/>
  <c r="DF160" i="10"/>
  <c r="DF164" i="10"/>
  <c r="DF168" i="10"/>
  <c r="DF172" i="10"/>
  <c r="DF176" i="10"/>
  <c r="DF180" i="10"/>
  <c r="DF184" i="10"/>
  <c r="DF188" i="10"/>
  <c r="DF191" i="10"/>
  <c r="DG194" i="10"/>
  <c r="DG196" i="10"/>
  <c r="DG128" i="10"/>
  <c r="DG144" i="10"/>
  <c r="DG160" i="10"/>
  <c r="DG176" i="10"/>
  <c r="DG188" i="10"/>
  <c r="DF193" i="10"/>
  <c r="DF92" i="10"/>
  <c r="DG118" i="10"/>
  <c r="DG124" i="10"/>
  <c r="DG140" i="10"/>
  <c r="DG156" i="10"/>
  <c r="DG172" i="10"/>
  <c r="DG106" i="10"/>
  <c r="DG136" i="10"/>
  <c r="DG152" i="10"/>
  <c r="DG168" i="10"/>
  <c r="DG184" i="10"/>
  <c r="DG132" i="10"/>
  <c r="DG148" i="10"/>
  <c r="DG164" i="10"/>
  <c r="DG180" i="10"/>
  <c r="DF190" i="10"/>
  <c r="DF197" i="10"/>
  <c r="DF201" i="10"/>
  <c r="DF205" i="10"/>
  <c r="DF209" i="10"/>
  <c r="DF213" i="10"/>
  <c r="DF217" i="10"/>
  <c r="DF221" i="10"/>
  <c r="DF225" i="10"/>
  <c r="DG229" i="10"/>
  <c r="DG231" i="10"/>
  <c r="DG233" i="10"/>
  <c r="DG200" i="10"/>
  <c r="DG204" i="10"/>
  <c r="DG208" i="10"/>
  <c r="DG212" i="10"/>
  <c r="DG216" i="10"/>
  <c r="DG220" i="10"/>
  <c r="DG224" i="10"/>
  <c r="DF228" i="10"/>
  <c r="DF230" i="10"/>
  <c r="DF232" i="10"/>
  <c r="DF234" i="10"/>
  <c r="DF199" i="10"/>
  <c r="DF203" i="10"/>
  <c r="DF207" i="10"/>
  <c r="DF211" i="10"/>
  <c r="DF215" i="10"/>
  <c r="DF219" i="10"/>
  <c r="DF223" i="10"/>
  <c r="DG198" i="10"/>
  <c r="DG202" i="10"/>
  <c r="DG206" i="10"/>
  <c r="DG210" i="10"/>
  <c r="DG214" i="10"/>
  <c r="DG218" i="10"/>
  <c r="DG222" i="10"/>
  <c r="DG226" i="10"/>
  <c r="DF229" i="10"/>
  <c r="DF231" i="10"/>
  <c r="DF233" i="10"/>
  <c r="DF227" i="10"/>
  <c r="DG228" i="10"/>
  <c r="DG235" i="10"/>
  <c r="DG237" i="10"/>
  <c r="DG239" i="10"/>
  <c r="DG241" i="10"/>
  <c r="DG243" i="10"/>
  <c r="DG245" i="10"/>
  <c r="DG247" i="10"/>
  <c r="DG249" i="10"/>
  <c r="DG251" i="10"/>
  <c r="DG253" i="10"/>
  <c r="DG255" i="10"/>
  <c r="DG257" i="10"/>
  <c r="DG259" i="10"/>
  <c r="DG261" i="10"/>
  <c r="DG263" i="10"/>
  <c r="DG265" i="10"/>
  <c r="DG267" i="10"/>
  <c r="DG269" i="10"/>
  <c r="DG271" i="10"/>
  <c r="DG273" i="10"/>
  <c r="DG275" i="10"/>
  <c r="DG277" i="10"/>
  <c r="DG279" i="10"/>
  <c r="DG281" i="10"/>
  <c r="DG283" i="10"/>
  <c r="DG285" i="10"/>
  <c r="DG287" i="10"/>
  <c r="DG289" i="10"/>
  <c r="DG291" i="10"/>
  <c r="DG293" i="10"/>
  <c r="DG295" i="10"/>
  <c r="DG297" i="10"/>
  <c r="DG299" i="10"/>
  <c r="DG301" i="10"/>
  <c r="DG303" i="10"/>
  <c r="DG305" i="10"/>
  <c r="DG307" i="10"/>
  <c r="DF236" i="10"/>
  <c r="DF238" i="10"/>
  <c r="DF240" i="10"/>
  <c r="DF242" i="10"/>
  <c r="DF244" i="10"/>
  <c r="DF246" i="10"/>
  <c r="DF248" i="10"/>
  <c r="DF250" i="10"/>
  <c r="DF252" i="10"/>
  <c r="DF254" i="10"/>
  <c r="DF256" i="10"/>
  <c r="DF258" i="10"/>
  <c r="DF260" i="10"/>
  <c r="DF262" i="10"/>
  <c r="DF264" i="10"/>
  <c r="DF266" i="10"/>
  <c r="DF268" i="10"/>
  <c r="DF270" i="10"/>
  <c r="DF272" i="10"/>
  <c r="DF274" i="10"/>
  <c r="DF276" i="10"/>
  <c r="DF278" i="10"/>
  <c r="DF280" i="10"/>
  <c r="DF282" i="10"/>
  <c r="DF284" i="10"/>
  <c r="DF286" i="10"/>
  <c r="DF288" i="10"/>
  <c r="DF290" i="10"/>
  <c r="DF292" i="10"/>
  <c r="DF294" i="10"/>
  <c r="DF296" i="10"/>
  <c r="DF298" i="10"/>
  <c r="DF300" i="10"/>
  <c r="DF302" i="10"/>
  <c r="DF304" i="10"/>
  <c r="DF306" i="10"/>
  <c r="DF308" i="10"/>
  <c r="DF310" i="10"/>
  <c r="DF312" i="10"/>
  <c r="DF314" i="10"/>
  <c r="DF316" i="10"/>
  <c r="DF318" i="10"/>
  <c r="DG232" i="10"/>
  <c r="DG236" i="10"/>
  <c r="DG238" i="10"/>
  <c r="DG240" i="10"/>
  <c r="DG242" i="10"/>
  <c r="DG244" i="10"/>
  <c r="DG246" i="10"/>
  <c r="DG248" i="10"/>
  <c r="DG250" i="10"/>
  <c r="DG252" i="10"/>
  <c r="DG254" i="10"/>
  <c r="DG256" i="10"/>
  <c r="DG258" i="10"/>
  <c r="DG260" i="10"/>
  <c r="DG262" i="10"/>
  <c r="DG264" i="10"/>
  <c r="DG266" i="10"/>
  <c r="DG268" i="10"/>
  <c r="DG270" i="10"/>
  <c r="DG272" i="10"/>
  <c r="DG274" i="10"/>
  <c r="DG276" i="10"/>
  <c r="DG278" i="10"/>
  <c r="DG280" i="10"/>
  <c r="DG282" i="10"/>
  <c r="DG284" i="10"/>
  <c r="DG286" i="10"/>
  <c r="DG288" i="10"/>
  <c r="DG290" i="10"/>
  <c r="DG292" i="10"/>
  <c r="DG294" i="10"/>
  <c r="DG296" i="10"/>
  <c r="DG298" i="10"/>
  <c r="DG300" i="10"/>
  <c r="DG302" i="10"/>
  <c r="DG304" i="10"/>
  <c r="DG306" i="10"/>
  <c r="DG308" i="10"/>
  <c r="DG310" i="10"/>
  <c r="DG312" i="10"/>
  <c r="DG314" i="10"/>
  <c r="DG316" i="10"/>
  <c r="DG318" i="10"/>
  <c r="DG320" i="10"/>
  <c r="DG322" i="10"/>
  <c r="DG230" i="10"/>
  <c r="DG234" i="10"/>
  <c r="DF235" i="10"/>
  <c r="DF237" i="10"/>
  <c r="DF239" i="10"/>
  <c r="DF241" i="10"/>
  <c r="DF243" i="10"/>
  <c r="DF245" i="10"/>
  <c r="DF247" i="10"/>
  <c r="DF249" i="10"/>
  <c r="DF251" i="10"/>
  <c r="DF253" i="10"/>
  <c r="DF255" i="10"/>
  <c r="DF257" i="10"/>
  <c r="DF259" i="10"/>
  <c r="DF261" i="10"/>
  <c r="DF263" i="10"/>
  <c r="DF265" i="10"/>
  <c r="DF267" i="10"/>
  <c r="DF269" i="10"/>
  <c r="DF277" i="10"/>
  <c r="DF285" i="10"/>
  <c r="DF293" i="10"/>
  <c r="DF315" i="10"/>
  <c r="DG323" i="10"/>
  <c r="DG327" i="10"/>
  <c r="DF322" i="10"/>
  <c r="DF326" i="10"/>
  <c r="DF328" i="10"/>
  <c r="DF275" i="10"/>
  <c r="DF283" i="10"/>
  <c r="DF291" i="10"/>
  <c r="DF299" i="10"/>
  <c r="DF307" i="10"/>
  <c r="DG311" i="10"/>
  <c r="DG315" i="10"/>
  <c r="DF319" i="10"/>
  <c r="DF324" i="10"/>
  <c r="DF273" i="10"/>
  <c r="DF281" i="10"/>
  <c r="DF289" i="10"/>
  <c r="DF297" i="10"/>
  <c r="DF305" i="10"/>
  <c r="DF309" i="10"/>
  <c r="DF313" i="10"/>
  <c r="DF317" i="10"/>
  <c r="DG319" i="10"/>
  <c r="DF321" i="10"/>
  <c r="DG324" i="10"/>
  <c r="DG326" i="10"/>
  <c r="DG328" i="10"/>
  <c r="DF301" i="10"/>
  <c r="DF320" i="10"/>
  <c r="DG325" i="10"/>
  <c r="DF271" i="10"/>
  <c r="DF279" i="10"/>
  <c r="DF287" i="10"/>
  <c r="DF295" i="10"/>
  <c r="DF303" i="10"/>
  <c r="DG309" i="10"/>
  <c r="DG313" i="10"/>
  <c r="DG317" i="10"/>
  <c r="DG321" i="10"/>
  <c r="DF323" i="10"/>
  <c r="DF325" i="10"/>
  <c r="DF327" i="10"/>
  <c r="DF311" i="10"/>
  <c r="CQ5" i="10"/>
  <c r="CQ14" i="10"/>
  <c r="CR14" i="10"/>
  <c r="CR9" i="10"/>
  <c r="CR15" i="10"/>
  <c r="CQ16" i="10"/>
  <c r="CQ18" i="10"/>
  <c r="CQ20" i="10"/>
  <c r="CQ22" i="10"/>
  <c r="CQ24" i="10"/>
  <c r="CQ26" i="10"/>
  <c r="CQ28" i="10"/>
  <c r="CQ30" i="10"/>
  <c r="CQ32" i="10"/>
  <c r="CR11" i="10"/>
  <c r="CQ17" i="10"/>
  <c r="CQ19" i="10"/>
  <c r="CQ21" i="10"/>
  <c r="CQ23" i="10"/>
  <c r="CQ25" i="10"/>
  <c r="CQ9" i="10"/>
  <c r="CQ15" i="10"/>
  <c r="CR17" i="10"/>
  <c r="CR21" i="10"/>
  <c r="CR25" i="10"/>
  <c r="CQ27" i="10"/>
  <c r="CR30" i="10"/>
  <c r="CR33" i="10"/>
  <c r="CR35" i="10"/>
  <c r="CR37" i="10"/>
  <c r="CR39" i="10"/>
  <c r="CR41" i="10"/>
  <c r="CQ11" i="10"/>
  <c r="CR16" i="10"/>
  <c r="CR20" i="10"/>
  <c r="CR24" i="10"/>
  <c r="CR27" i="10"/>
  <c r="CQ29" i="10"/>
  <c r="CR32" i="10"/>
  <c r="CQ34" i="10"/>
  <c r="CQ36" i="10"/>
  <c r="CQ38" i="10"/>
  <c r="CQ40" i="10"/>
  <c r="CQ42" i="10"/>
  <c r="CR19" i="10"/>
  <c r="CR23" i="10"/>
  <c r="CR31" i="10"/>
  <c r="CQ37" i="10"/>
  <c r="CQ41" i="10"/>
  <c r="CR22" i="10"/>
  <c r="CR29" i="10"/>
  <c r="CR36" i="10"/>
  <c r="CR40" i="10"/>
  <c r="CQ43" i="10"/>
  <c r="CR44" i="10"/>
  <c r="CR46" i="10"/>
  <c r="CR48" i="10"/>
  <c r="CR50" i="10"/>
  <c r="CR52" i="10"/>
  <c r="CR54" i="10"/>
  <c r="CR56" i="10"/>
  <c r="CR18" i="10"/>
  <c r="CR28" i="10"/>
  <c r="CQ33" i="10"/>
  <c r="CQ35" i="10"/>
  <c r="CQ39" i="10"/>
  <c r="CR43" i="10"/>
  <c r="CQ45" i="10"/>
  <c r="CQ47" i="10"/>
  <c r="CQ49" i="10"/>
  <c r="CQ51" i="10"/>
  <c r="CQ53" i="10"/>
  <c r="CQ55" i="10"/>
  <c r="CR34" i="10"/>
  <c r="CR47" i="10"/>
  <c r="CR51" i="10"/>
  <c r="CR55" i="10"/>
  <c r="CQ57" i="10"/>
  <c r="CQ59" i="10"/>
  <c r="CQ61" i="10"/>
  <c r="CQ63" i="10"/>
  <c r="CQ65" i="10"/>
  <c r="CQ67" i="10"/>
  <c r="CQ69" i="10"/>
  <c r="CQ71" i="10"/>
  <c r="CQ73" i="10"/>
  <c r="CQ75" i="10"/>
  <c r="CQ77" i="10"/>
  <c r="CQ79" i="10"/>
  <c r="CQ81" i="10"/>
  <c r="CQ83" i="10"/>
  <c r="CQ85" i="10"/>
  <c r="CQ87" i="10"/>
  <c r="CQ89" i="10"/>
  <c r="CQ91" i="10"/>
  <c r="CR26" i="10"/>
  <c r="CQ46" i="10"/>
  <c r="CQ50" i="10"/>
  <c r="CQ54" i="10"/>
  <c r="CR57" i="10"/>
  <c r="CR59" i="10"/>
  <c r="CR61" i="10"/>
  <c r="CR63" i="10"/>
  <c r="CR65" i="10"/>
  <c r="CR67" i="10"/>
  <c r="CR69" i="10"/>
  <c r="CR71" i="10"/>
  <c r="CR73" i="10"/>
  <c r="CR75" i="10"/>
  <c r="CR77" i="10"/>
  <c r="CR79" i="10"/>
  <c r="CR81" i="10"/>
  <c r="CR83" i="10"/>
  <c r="CR85" i="10"/>
  <c r="CR87" i="10"/>
  <c r="CR89" i="10"/>
  <c r="CR91" i="10"/>
  <c r="CR42" i="10"/>
  <c r="CR45" i="10"/>
  <c r="CR49" i="10"/>
  <c r="CR53" i="10"/>
  <c r="CQ58" i="10"/>
  <c r="CQ60" i="10"/>
  <c r="CQ62" i="10"/>
  <c r="CQ64" i="10"/>
  <c r="CQ66" i="10"/>
  <c r="CQ68" i="10"/>
  <c r="CQ70" i="10"/>
  <c r="CQ72" i="10"/>
  <c r="CQ74" i="10"/>
  <c r="CQ76" i="10"/>
  <c r="CQ78" i="10"/>
  <c r="CQ80" i="10"/>
  <c r="CQ82" i="10"/>
  <c r="CR38" i="10"/>
  <c r="CQ56" i="10"/>
  <c r="CR62" i="10"/>
  <c r="CR70" i="10"/>
  <c r="CR78" i="10"/>
  <c r="CR84" i="10"/>
  <c r="CR88" i="10"/>
  <c r="CR94" i="10"/>
  <c r="CR96" i="10"/>
  <c r="CR98" i="10"/>
  <c r="CR100" i="10"/>
  <c r="CR102" i="10"/>
  <c r="CR104" i="10"/>
  <c r="CR106" i="10"/>
  <c r="CR108" i="10"/>
  <c r="CR110" i="10"/>
  <c r="CR112" i="10"/>
  <c r="CR114" i="10"/>
  <c r="CR116" i="10"/>
  <c r="CR118" i="10"/>
  <c r="CR120" i="10"/>
  <c r="CR122" i="10"/>
  <c r="CQ52" i="10"/>
  <c r="CR60" i="10"/>
  <c r="CR68" i="10"/>
  <c r="CR76" i="10"/>
  <c r="CQ86" i="10"/>
  <c r="CQ90" i="10"/>
  <c r="CQ93" i="10"/>
  <c r="CQ95" i="10"/>
  <c r="CQ97" i="10"/>
  <c r="CQ99" i="10"/>
  <c r="CQ101" i="10"/>
  <c r="CQ103" i="10"/>
  <c r="CQ105" i="10"/>
  <c r="CQ107" i="10"/>
  <c r="CQ109" i="10"/>
  <c r="CQ111" i="10"/>
  <c r="CQ113" i="10"/>
  <c r="CQ115" i="10"/>
  <c r="CQ117" i="10"/>
  <c r="CQ119" i="10"/>
  <c r="CQ121" i="10"/>
  <c r="CQ123" i="10"/>
  <c r="CQ31" i="10"/>
  <c r="CQ48" i="10"/>
  <c r="CR58" i="10"/>
  <c r="CR66" i="10"/>
  <c r="CR74" i="10"/>
  <c r="CR82" i="10"/>
  <c r="CR86" i="10"/>
  <c r="CR90" i="10"/>
  <c r="CQ44" i="10"/>
  <c r="CR80" i="10"/>
  <c r="CR92" i="10"/>
  <c r="CQ96" i="10"/>
  <c r="CQ100" i="10"/>
  <c r="CQ104" i="10"/>
  <c r="CQ108" i="10"/>
  <c r="CQ112" i="10"/>
  <c r="CQ116" i="10"/>
  <c r="CQ120" i="10"/>
  <c r="CQ124" i="10"/>
  <c r="CQ126" i="10"/>
  <c r="CQ128" i="10"/>
  <c r="CQ130" i="10"/>
  <c r="CQ132" i="10"/>
  <c r="CQ134" i="10"/>
  <c r="CQ136" i="10"/>
  <c r="CQ138" i="10"/>
  <c r="CQ140" i="10"/>
  <c r="CQ142" i="10"/>
  <c r="CQ144" i="10"/>
  <c r="CQ146" i="10"/>
  <c r="CQ148" i="10"/>
  <c r="CQ150" i="10"/>
  <c r="CQ152" i="10"/>
  <c r="CQ154" i="10"/>
  <c r="CQ156" i="10"/>
  <c r="CQ158" i="10"/>
  <c r="CQ160" i="10"/>
  <c r="CQ162" i="10"/>
  <c r="CQ164" i="10"/>
  <c r="CQ166" i="10"/>
  <c r="CQ168" i="10"/>
  <c r="CQ170" i="10"/>
  <c r="CQ172" i="10"/>
  <c r="CQ174" i="10"/>
  <c r="CQ176" i="10"/>
  <c r="CQ178" i="10"/>
  <c r="CQ180" i="10"/>
  <c r="CQ182" i="10"/>
  <c r="CQ184" i="10"/>
  <c r="CQ186" i="10"/>
  <c r="CR72" i="10"/>
  <c r="CQ88" i="10"/>
  <c r="CR95" i="10"/>
  <c r="CR99" i="10"/>
  <c r="CR103" i="10"/>
  <c r="CR107" i="10"/>
  <c r="CR111" i="10"/>
  <c r="CR115" i="10"/>
  <c r="CR119" i="10"/>
  <c r="CR123" i="10"/>
  <c r="CR124" i="10"/>
  <c r="CR126" i="10"/>
  <c r="CR128" i="10"/>
  <c r="CR130" i="10"/>
  <c r="CR132" i="10"/>
  <c r="CR134" i="10"/>
  <c r="CR136" i="10"/>
  <c r="CR138" i="10"/>
  <c r="CR140" i="10"/>
  <c r="CR142" i="10"/>
  <c r="CR144" i="10"/>
  <c r="CR146" i="10"/>
  <c r="CR148" i="10"/>
  <c r="CR150" i="10"/>
  <c r="CR152" i="10"/>
  <c r="CR154" i="10"/>
  <c r="CR156" i="10"/>
  <c r="CR158" i="10"/>
  <c r="CR160" i="10"/>
  <c r="CR162" i="10"/>
  <c r="CR164" i="10"/>
  <c r="CR166" i="10"/>
  <c r="CR168" i="10"/>
  <c r="CR170" i="10"/>
  <c r="CR172" i="10"/>
  <c r="CR174" i="10"/>
  <c r="CR176" i="10"/>
  <c r="CR178" i="10"/>
  <c r="CR180" i="10"/>
  <c r="CR182" i="10"/>
  <c r="CR184" i="10"/>
  <c r="CR186" i="10"/>
  <c r="CR188" i="10"/>
  <c r="CR190" i="10"/>
  <c r="CR192" i="10"/>
  <c r="CR194" i="10"/>
  <c r="CR64" i="10"/>
  <c r="CQ84" i="10"/>
  <c r="CQ94" i="10"/>
  <c r="CQ98" i="10"/>
  <c r="CQ102" i="10"/>
  <c r="CQ106" i="10"/>
  <c r="CQ110" i="10"/>
  <c r="CQ114" i="10"/>
  <c r="CR97" i="10"/>
  <c r="CR113" i="10"/>
  <c r="CQ118" i="10"/>
  <c r="CQ125" i="10"/>
  <c r="CQ129" i="10"/>
  <c r="CQ133" i="10"/>
  <c r="CQ137" i="10"/>
  <c r="CQ141" i="10"/>
  <c r="CQ145" i="10"/>
  <c r="CQ149" i="10"/>
  <c r="CQ153" i="10"/>
  <c r="CQ157" i="10"/>
  <c r="CQ161" i="10"/>
  <c r="CQ165" i="10"/>
  <c r="CQ169" i="10"/>
  <c r="CQ173" i="10"/>
  <c r="CQ177" i="10"/>
  <c r="CQ181" i="10"/>
  <c r="CQ185" i="10"/>
  <c r="CQ187" i="10"/>
  <c r="CQ190" i="10"/>
  <c r="CR193" i="10"/>
  <c r="CQ195" i="10"/>
  <c r="CR196" i="10"/>
  <c r="CR198" i="10"/>
  <c r="CR200" i="10"/>
  <c r="CR202" i="10"/>
  <c r="CR204" i="10"/>
  <c r="CR206" i="10"/>
  <c r="CR208" i="10"/>
  <c r="CR210" i="10"/>
  <c r="CR212" i="10"/>
  <c r="CR214" i="10"/>
  <c r="CR216" i="10"/>
  <c r="CR218" i="10"/>
  <c r="CR220" i="10"/>
  <c r="CR222" i="10"/>
  <c r="CR224" i="10"/>
  <c r="CR226" i="10"/>
  <c r="CR228" i="10"/>
  <c r="CR93" i="10"/>
  <c r="CR109" i="10"/>
  <c r="CR117" i="10"/>
  <c r="CR125" i="10"/>
  <c r="CR129" i="10"/>
  <c r="CR133" i="10"/>
  <c r="CR137" i="10"/>
  <c r="CR141" i="10"/>
  <c r="CR145" i="10"/>
  <c r="CR149" i="10"/>
  <c r="CR153" i="10"/>
  <c r="CR157" i="10"/>
  <c r="CR161" i="10"/>
  <c r="CR165" i="10"/>
  <c r="CR169" i="10"/>
  <c r="CR173" i="10"/>
  <c r="CR177" i="10"/>
  <c r="CR181" i="10"/>
  <c r="CR185" i="10"/>
  <c r="CR187" i="10"/>
  <c r="CQ189" i="10"/>
  <c r="CQ192" i="10"/>
  <c r="CR195" i="10"/>
  <c r="CQ197" i="10"/>
  <c r="CQ199" i="10"/>
  <c r="CQ201" i="10"/>
  <c r="CQ203" i="10"/>
  <c r="CQ205" i="10"/>
  <c r="CQ207" i="10"/>
  <c r="CQ209" i="10"/>
  <c r="CQ211" i="10"/>
  <c r="CQ213" i="10"/>
  <c r="CQ215" i="10"/>
  <c r="CQ217" i="10"/>
  <c r="CQ219" i="10"/>
  <c r="CQ221" i="10"/>
  <c r="CQ223" i="10"/>
  <c r="CQ225" i="10"/>
  <c r="CQ227" i="10"/>
  <c r="CQ92" i="10"/>
  <c r="CR105" i="10"/>
  <c r="CQ122" i="10"/>
  <c r="CQ127" i="10"/>
  <c r="CQ131" i="10"/>
  <c r="CQ135" i="10"/>
  <c r="CQ139" i="10"/>
  <c r="CQ143" i="10"/>
  <c r="CQ147" i="10"/>
  <c r="CQ151" i="10"/>
  <c r="CQ155" i="10"/>
  <c r="CQ159" i="10"/>
  <c r="CQ163" i="10"/>
  <c r="CQ167" i="10"/>
  <c r="CQ171" i="10"/>
  <c r="CQ175" i="10"/>
  <c r="CQ179" i="10"/>
  <c r="CQ183" i="10"/>
  <c r="CR189" i="10"/>
  <c r="CQ191" i="10"/>
  <c r="CQ194" i="10"/>
  <c r="CR139" i="10"/>
  <c r="CR155" i="10"/>
  <c r="CR171" i="10"/>
  <c r="CQ196" i="10"/>
  <c r="CR197" i="10"/>
  <c r="CR101" i="10"/>
  <c r="CR135" i="10"/>
  <c r="CR151" i="10"/>
  <c r="CR167" i="10"/>
  <c r="CR183" i="10"/>
  <c r="CR121" i="10"/>
  <c r="CR131" i="10"/>
  <c r="CR147" i="10"/>
  <c r="CR163" i="10"/>
  <c r="CR179" i="10"/>
  <c r="CR127" i="10"/>
  <c r="CR143" i="10"/>
  <c r="CR159" i="10"/>
  <c r="CR175" i="10"/>
  <c r="CR191" i="10"/>
  <c r="CQ200" i="10"/>
  <c r="CQ204" i="10"/>
  <c r="CQ208" i="10"/>
  <c r="CQ212" i="10"/>
  <c r="CQ216" i="10"/>
  <c r="CQ220" i="10"/>
  <c r="CQ224" i="10"/>
  <c r="CQ228" i="10"/>
  <c r="CR230" i="10"/>
  <c r="CR232" i="10"/>
  <c r="CR234" i="10"/>
  <c r="CQ193" i="10"/>
  <c r="CR199" i="10"/>
  <c r="CR203" i="10"/>
  <c r="CR207" i="10"/>
  <c r="CR211" i="10"/>
  <c r="CR215" i="10"/>
  <c r="CR219" i="10"/>
  <c r="CR223" i="10"/>
  <c r="CR227" i="10"/>
  <c r="CQ229" i="10"/>
  <c r="CQ231" i="10"/>
  <c r="CQ233" i="10"/>
  <c r="CQ188" i="10"/>
  <c r="CQ198" i="10"/>
  <c r="CQ202" i="10"/>
  <c r="CQ206" i="10"/>
  <c r="CQ210" i="10"/>
  <c r="CQ214" i="10"/>
  <c r="CQ218" i="10"/>
  <c r="CQ222" i="10"/>
  <c r="CR201" i="10"/>
  <c r="CR205" i="10"/>
  <c r="CR209" i="10"/>
  <c r="CR213" i="10"/>
  <c r="CR217" i="10"/>
  <c r="CR221" i="10"/>
  <c r="CR225" i="10"/>
  <c r="CQ230" i="10"/>
  <c r="CQ232" i="10"/>
  <c r="CQ234" i="10"/>
  <c r="CR231" i="10"/>
  <c r="CR236" i="10"/>
  <c r="CR238" i="10"/>
  <c r="CR240" i="10"/>
  <c r="CR242" i="10"/>
  <c r="CR244" i="10"/>
  <c r="CR246" i="10"/>
  <c r="CR248" i="10"/>
  <c r="CR250" i="10"/>
  <c r="CR252" i="10"/>
  <c r="CR254" i="10"/>
  <c r="CR256" i="10"/>
  <c r="CR258" i="10"/>
  <c r="CR260" i="10"/>
  <c r="CR262" i="10"/>
  <c r="CR264" i="10"/>
  <c r="CR266" i="10"/>
  <c r="CR268" i="10"/>
  <c r="CR270" i="10"/>
  <c r="CR272" i="10"/>
  <c r="CR274" i="10"/>
  <c r="CR276" i="10"/>
  <c r="CR278" i="10"/>
  <c r="CR280" i="10"/>
  <c r="CR282" i="10"/>
  <c r="CR284" i="10"/>
  <c r="CR286" i="10"/>
  <c r="CR288" i="10"/>
  <c r="CR290" i="10"/>
  <c r="CR292" i="10"/>
  <c r="CR294" i="10"/>
  <c r="CR296" i="10"/>
  <c r="CR298" i="10"/>
  <c r="CR300" i="10"/>
  <c r="CR302" i="10"/>
  <c r="CR304" i="10"/>
  <c r="CR306" i="10"/>
  <c r="CR229" i="10"/>
  <c r="CQ235" i="10"/>
  <c r="CQ237" i="10"/>
  <c r="CQ239" i="10"/>
  <c r="CQ241" i="10"/>
  <c r="CQ243" i="10"/>
  <c r="CQ245" i="10"/>
  <c r="CQ247" i="10"/>
  <c r="CQ249" i="10"/>
  <c r="CQ251" i="10"/>
  <c r="CQ253" i="10"/>
  <c r="CQ255" i="10"/>
  <c r="CQ257" i="10"/>
  <c r="CQ259" i="10"/>
  <c r="CQ261" i="10"/>
  <c r="CQ263" i="10"/>
  <c r="CQ265" i="10"/>
  <c r="CQ267" i="10"/>
  <c r="CQ269" i="10"/>
  <c r="CQ271" i="10"/>
  <c r="CQ273" i="10"/>
  <c r="CQ275" i="10"/>
  <c r="CQ277" i="10"/>
  <c r="CQ279" i="10"/>
  <c r="CQ281" i="10"/>
  <c r="CQ283" i="10"/>
  <c r="CQ285" i="10"/>
  <c r="CQ287" i="10"/>
  <c r="CQ289" i="10"/>
  <c r="CQ291" i="10"/>
  <c r="CQ293" i="10"/>
  <c r="CQ295" i="10"/>
  <c r="CQ297" i="10"/>
  <c r="CQ299" i="10"/>
  <c r="CQ301" i="10"/>
  <c r="CQ303" i="10"/>
  <c r="CQ305" i="10"/>
  <c r="CQ307" i="10"/>
  <c r="CQ309" i="10"/>
  <c r="CQ311" i="10"/>
  <c r="CQ313" i="10"/>
  <c r="CQ315" i="10"/>
  <c r="CQ317" i="10"/>
  <c r="CR235" i="10"/>
  <c r="CR237" i="10"/>
  <c r="CR239" i="10"/>
  <c r="CR241" i="10"/>
  <c r="CR243" i="10"/>
  <c r="CR245" i="10"/>
  <c r="CR247" i="10"/>
  <c r="CR249" i="10"/>
  <c r="CR251" i="10"/>
  <c r="CR253" i="10"/>
  <c r="CR255" i="10"/>
  <c r="CR257" i="10"/>
  <c r="CR259" i="10"/>
  <c r="CR261" i="10"/>
  <c r="CR263" i="10"/>
  <c r="CR265" i="10"/>
  <c r="CR267" i="10"/>
  <c r="CR269" i="10"/>
  <c r="CR271" i="10"/>
  <c r="CR273" i="10"/>
  <c r="CR275" i="10"/>
  <c r="CR277" i="10"/>
  <c r="CR279" i="10"/>
  <c r="CR281" i="10"/>
  <c r="CR283" i="10"/>
  <c r="CR285" i="10"/>
  <c r="CR287" i="10"/>
  <c r="CR289" i="10"/>
  <c r="CR291" i="10"/>
  <c r="CR293" i="10"/>
  <c r="CR295" i="10"/>
  <c r="CR297" i="10"/>
  <c r="CR299" i="10"/>
  <c r="CR301" i="10"/>
  <c r="CR303" i="10"/>
  <c r="CR305" i="10"/>
  <c r="CR307" i="10"/>
  <c r="CR309" i="10"/>
  <c r="CR311" i="10"/>
  <c r="CR313" i="10"/>
  <c r="CR315" i="10"/>
  <c r="CR317" i="10"/>
  <c r="CR319" i="10"/>
  <c r="CR321" i="10"/>
  <c r="CR323" i="10"/>
  <c r="CQ226" i="10"/>
  <c r="CR233" i="10"/>
  <c r="CQ236" i="10"/>
  <c r="CQ238" i="10"/>
  <c r="CQ240" i="10"/>
  <c r="CQ242" i="10"/>
  <c r="CQ244" i="10"/>
  <c r="CQ246" i="10"/>
  <c r="CQ248" i="10"/>
  <c r="CQ250" i="10"/>
  <c r="CQ252" i="10"/>
  <c r="CQ254" i="10"/>
  <c r="CQ256" i="10"/>
  <c r="CQ258" i="10"/>
  <c r="CQ260" i="10"/>
  <c r="CQ262" i="10"/>
  <c r="CQ264" i="10"/>
  <c r="CQ266" i="10"/>
  <c r="CQ268" i="10"/>
  <c r="CQ272" i="10"/>
  <c r="CQ280" i="10"/>
  <c r="CQ296" i="10"/>
  <c r="CQ323" i="10"/>
  <c r="CR326" i="10"/>
  <c r="CQ325" i="10"/>
  <c r="CQ270" i="10"/>
  <c r="CQ278" i="10"/>
  <c r="CQ286" i="10"/>
  <c r="CQ294" i="10"/>
  <c r="CQ302" i="10"/>
  <c r="CR310" i="10"/>
  <c r="CR314" i="10"/>
  <c r="CR318" i="10"/>
  <c r="CR320" i="10"/>
  <c r="CQ322" i="10"/>
  <c r="CQ327" i="10"/>
  <c r="CQ276" i="10"/>
  <c r="CQ284" i="10"/>
  <c r="CQ292" i="10"/>
  <c r="CQ300" i="10"/>
  <c r="CQ308" i="10"/>
  <c r="CQ312" i="10"/>
  <c r="CQ316" i="10"/>
  <c r="CQ319" i="10"/>
  <c r="CR322" i="10"/>
  <c r="CR325" i="10"/>
  <c r="CR327" i="10"/>
  <c r="CQ310" i="10"/>
  <c r="CR324" i="10"/>
  <c r="CR328" i="10"/>
  <c r="CQ274" i="10"/>
  <c r="CQ282" i="10"/>
  <c r="CQ290" i="10"/>
  <c r="CQ298" i="10"/>
  <c r="CQ306" i="10"/>
  <c r="CR308" i="10"/>
  <c r="CR312" i="10"/>
  <c r="CR316" i="10"/>
  <c r="CQ321" i="10"/>
  <c r="CQ324" i="10"/>
  <c r="CQ326" i="10"/>
  <c r="CQ328" i="10"/>
  <c r="CQ288" i="10"/>
  <c r="CQ304" i="10"/>
  <c r="CQ314" i="10"/>
  <c r="CQ318" i="10"/>
  <c r="CQ320" i="10"/>
  <c r="CN5" i="10"/>
  <c r="DL5" i="10"/>
  <c r="CT7" i="10"/>
  <c r="DR7" i="10"/>
  <c r="DC8" i="10"/>
  <c r="CN9" i="10"/>
  <c r="DL9" i="10"/>
  <c r="CO7" i="10"/>
  <c r="DM7" i="10"/>
  <c r="CR8" i="10"/>
  <c r="CU9" i="10"/>
  <c r="DS9" i="10"/>
  <c r="DC7" i="10"/>
  <c r="DI7" i="10"/>
  <c r="CO8" i="10"/>
  <c r="CR6" i="10"/>
  <c r="CT8" i="10"/>
  <c r="DC10" i="10"/>
  <c r="DJ10" i="10"/>
  <c r="CN10" i="10"/>
  <c r="DC6" i="10"/>
  <c r="DA10" i="10"/>
  <c r="DJ5" i="10"/>
  <c r="CW6" i="10"/>
  <c r="DG10" i="10"/>
  <c r="CQ6" i="10"/>
  <c r="CR5" i="10"/>
  <c r="CI5" i="10"/>
  <c r="DR6" i="10"/>
  <c r="CI13" i="10"/>
  <c r="DG13" i="10"/>
  <c r="CK13" i="10"/>
  <c r="DI13" i="10"/>
  <c r="CR13" i="10"/>
  <c r="DG12" i="10"/>
  <c r="CK12" i="10"/>
  <c r="DI12" i="10"/>
  <c r="CR12" i="10"/>
  <c r="CH11" i="10"/>
  <c r="CH15" i="10"/>
  <c r="CI11" i="10"/>
  <c r="CI15" i="10"/>
  <c r="CH12" i="10"/>
  <c r="CH13" i="10"/>
  <c r="CH17" i="10"/>
  <c r="CH19" i="10"/>
  <c r="CH21" i="10"/>
  <c r="CH23" i="10"/>
  <c r="CH25" i="10"/>
  <c r="CH27" i="10"/>
  <c r="CH29" i="10"/>
  <c r="CH31" i="10"/>
  <c r="CH33" i="10"/>
  <c r="CI8" i="10"/>
  <c r="CI14" i="10"/>
  <c r="CH16" i="10"/>
  <c r="CH18" i="10"/>
  <c r="CH20" i="10"/>
  <c r="CH22" i="10"/>
  <c r="CH24" i="10"/>
  <c r="CI18" i="10"/>
  <c r="CI22" i="10"/>
  <c r="CI27" i="10"/>
  <c r="CI30" i="10"/>
  <c r="CH32" i="10"/>
  <c r="CI34" i="10"/>
  <c r="CI36" i="10"/>
  <c r="CI38" i="10"/>
  <c r="CI40" i="10"/>
  <c r="CI42" i="10"/>
  <c r="CI17" i="10"/>
  <c r="CI21" i="10"/>
  <c r="CI25" i="10"/>
  <c r="CH26" i="10"/>
  <c r="CI29" i="10"/>
  <c r="CI32" i="10"/>
  <c r="CH35" i="10"/>
  <c r="CH37" i="10"/>
  <c r="CH39" i="10"/>
  <c r="CH41" i="10"/>
  <c r="CH43" i="10"/>
  <c r="CI16" i="10"/>
  <c r="CI20" i="10"/>
  <c r="CI24" i="10"/>
  <c r="CI23" i="10"/>
  <c r="CI28" i="10"/>
  <c r="CI33" i="10"/>
  <c r="CH34" i="10"/>
  <c r="CH38" i="10"/>
  <c r="CH42" i="10"/>
  <c r="CH14" i="10"/>
  <c r="CI19" i="10"/>
  <c r="CI26" i="10"/>
  <c r="CI31" i="10"/>
  <c r="CI37" i="10"/>
  <c r="CI41" i="10"/>
  <c r="CI43" i="10"/>
  <c r="CI45" i="10"/>
  <c r="CI47" i="10"/>
  <c r="CI49" i="10"/>
  <c r="CI51" i="10"/>
  <c r="CI53" i="10"/>
  <c r="CI55" i="10"/>
  <c r="CH30" i="10"/>
  <c r="CH36" i="10"/>
  <c r="CH40" i="10"/>
  <c r="CH44" i="10"/>
  <c r="CH46" i="10"/>
  <c r="CH48" i="10"/>
  <c r="CH50" i="10"/>
  <c r="CH52" i="10"/>
  <c r="CH54" i="10"/>
  <c r="CH56" i="10"/>
  <c r="CI44" i="10"/>
  <c r="CI48" i="10"/>
  <c r="CI52" i="10"/>
  <c r="CI56" i="10"/>
  <c r="CH58" i="10"/>
  <c r="CH60" i="10"/>
  <c r="CH62" i="10"/>
  <c r="CH64" i="10"/>
  <c r="CH66" i="10"/>
  <c r="CH68" i="10"/>
  <c r="CH70" i="10"/>
  <c r="CH72" i="10"/>
  <c r="CH74" i="10"/>
  <c r="CH76" i="10"/>
  <c r="CH78" i="10"/>
  <c r="CH80" i="10"/>
  <c r="CH82" i="10"/>
  <c r="CH84" i="10"/>
  <c r="CH86" i="10"/>
  <c r="CH88" i="10"/>
  <c r="CH90" i="10"/>
  <c r="CH47" i="10"/>
  <c r="CH51" i="10"/>
  <c r="CH55" i="10"/>
  <c r="CI58" i="10"/>
  <c r="CI60" i="10"/>
  <c r="CI62" i="10"/>
  <c r="CI64" i="10"/>
  <c r="CI66" i="10"/>
  <c r="CI68" i="10"/>
  <c r="CI70" i="10"/>
  <c r="CI72" i="10"/>
  <c r="CI74" i="10"/>
  <c r="CI76" i="10"/>
  <c r="CI78" i="10"/>
  <c r="CI80" i="10"/>
  <c r="CI82" i="10"/>
  <c r="CI84" i="10"/>
  <c r="CI86" i="10"/>
  <c r="CI88" i="10"/>
  <c r="CI90" i="10"/>
  <c r="CI92" i="10"/>
  <c r="CH28" i="10"/>
  <c r="CI39" i="10"/>
  <c r="CI46" i="10"/>
  <c r="CI50" i="10"/>
  <c r="CI54" i="10"/>
  <c r="CH57" i="10"/>
  <c r="CH59" i="10"/>
  <c r="CH61" i="10"/>
  <c r="CH63" i="10"/>
  <c r="CH65" i="10"/>
  <c r="CH67" i="10"/>
  <c r="CH69" i="10"/>
  <c r="CH71" i="10"/>
  <c r="CH73" i="10"/>
  <c r="CH75" i="10"/>
  <c r="CH77" i="10"/>
  <c r="CH79" i="10"/>
  <c r="CH81" i="10"/>
  <c r="CH53" i="10"/>
  <c r="CI59" i="10"/>
  <c r="CI67" i="10"/>
  <c r="CI75" i="10"/>
  <c r="CI85" i="10"/>
  <c r="CI89" i="10"/>
  <c r="CH93" i="10"/>
  <c r="CI95" i="10"/>
  <c r="CI97" i="10"/>
  <c r="CI99" i="10"/>
  <c r="CI101" i="10"/>
  <c r="CI103" i="10"/>
  <c r="CI105" i="10"/>
  <c r="CI107" i="10"/>
  <c r="CI109" i="10"/>
  <c r="CI111" i="10"/>
  <c r="CI113" i="10"/>
  <c r="CI115" i="10"/>
  <c r="CI117" i="10"/>
  <c r="CI119" i="10"/>
  <c r="CI121" i="10"/>
  <c r="CI123" i="10"/>
  <c r="CI35" i="10"/>
  <c r="CH49" i="10"/>
  <c r="CI57" i="10"/>
  <c r="CI65" i="10"/>
  <c r="CI73" i="10"/>
  <c r="CI81" i="10"/>
  <c r="CH83" i="10"/>
  <c r="CH87" i="10"/>
  <c r="CH91" i="10"/>
  <c r="CI93" i="10"/>
  <c r="CH94" i="10"/>
  <c r="CH96" i="10"/>
  <c r="CH98" i="10"/>
  <c r="CH100" i="10"/>
  <c r="CH102" i="10"/>
  <c r="CH104" i="10"/>
  <c r="CH106" i="10"/>
  <c r="CH108" i="10"/>
  <c r="CH110" i="10"/>
  <c r="CH112" i="10"/>
  <c r="CH114" i="10"/>
  <c r="CH116" i="10"/>
  <c r="CH118" i="10"/>
  <c r="CH120" i="10"/>
  <c r="CH122" i="10"/>
  <c r="CH124" i="10"/>
  <c r="CH45" i="10"/>
  <c r="CI63" i="10"/>
  <c r="CI71" i="10"/>
  <c r="CI79" i="10"/>
  <c r="CI83" i="10"/>
  <c r="CI87" i="10"/>
  <c r="CI91" i="10"/>
  <c r="CI61" i="10"/>
  <c r="CH89" i="10"/>
  <c r="CH97" i="10"/>
  <c r="CH101" i="10"/>
  <c r="CH105" i="10"/>
  <c r="CH109" i="10"/>
  <c r="CH113" i="10"/>
  <c r="CH117" i="10"/>
  <c r="CH121" i="10"/>
  <c r="CH125" i="10"/>
  <c r="CH127" i="10"/>
  <c r="CH129" i="10"/>
  <c r="CH131" i="10"/>
  <c r="CH133" i="10"/>
  <c r="CH135" i="10"/>
  <c r="CH137" i="10"/>
  <c r="CH139" i="10"/>
  <c r="CH141" i="10"/>
  <c r="CH143" i="10"/>
  <c r="CH145" i="10"/>
  <c r="CH147" i="10"/>
  <c r="CH149" i="10"/>
  <c r="CH151" i="10"/>
  <c r="CH153" i="10"/>
  <c r="CH155" i="10"/>
  <c r="CH157" i="10"/>
  <c r="CH159" i="10"/>
  <c r="CH161" i="10"/>
  <c r="CH163" i="10"/>
  <c r="CH165" i="10"/>
  <c r="CH167" i="10"/>
  <c r="CH169" i="10"/>
  <c r="CH171" i="10"/>
  <c r="CH173" i="10"/>
  <c r="CH175" i="10"/>
  <c r="CH177" i="10"/>
  <c r="CH179" i="10"/>
  <c r="CH181" i="10"/>
  <c r="CH183" i="10"/>
  <c r="CH185" i="10"/>
  <c r="CH85" i="10"/>
  <c r="CH92" i="10"/>
  <c r="CI96" i="10"/>
  <c r="CI100" i="10"/>
  <c r="CI104" i="10"/>
  <c r="CI108" i="10"/>
  <c r="CI112" i="10"/>
  <c r="CI116" i="10"/>
  <c r="CI120" i="10"/>
  <c r="CI124" i="10"/>
  <c r="CI125" i="10"/>
  <c r="CI127" i="10"/>
  <c r="CI129" i="10"/>
  <c r="CI131" i="10"/>
  <c r="CI133" i="10"/>
  <c r="CI135" i="10"/>
  <c r="CI137" i="10"/>
  <c r="CI139" i="10"/>
  <c r="CI141" i="10"/>
  <c r="CI143" i="10"/>
  <c r="CI145" i="10"/>
  <c r="CI147" i="10"/>
  <c r="CI149" i="10"/>
  <c r="CI151" i="10"/>
  <c r="CI153" i="10"/>
  <c r="CI155" i="10"/>
  <c r="CI157" i="10"/>
  <c r="CI159" i="10"/>
  <c r="CI161" i="10"/>
  <c r="CI163" i="10"/>
  <c r="CI165" i="10"/>
  <c r="CI167" i="10"/>
  <c r="CI169" i="10"/>
  <c r="CI171" i="10"/>
  <c r="CI173" i="10"/>
  <c r="CI175" i="10"/>
  <c r="CI177" i="10"/>
  <c r="CI179" i="10"/>
  <c r="CI181" i="10"/>
  <c r="CI183" i="10"/>
  <c r="CI185" i="10"/>
  <c r="CI187" i="10"/>
  <c r="CI189" i="10"/>
  <c r="CI191" i="10"/>
  <c r="CI193" i="10"/>
  <c r="CI195" i="10"/>
  <c r="CI77" i="10"/>
  <c r="CH95" i="10"/>
  <c r="CH99" i="10"/>
  <c r="CH103" i="10"/>
  <c r="CH107" i="10"/>
  <c r="CH111" i="10"/>
  <c r="CI94" i="10"/>
  <c r="CI110" i="10"/>
  <c r="CH115" i="10"/>
  <c r="CH123" i="10"/>
  <c r="CH126" i="10"/>
  <c r="CH130" i="10"/>
  <c r="CH134" i="10"/>
  <c r="CH138" i="10"/>
  <c r="CH142" i="10"/>
  <c r="CH146" i="10"/>
  <c r="CH150" i="10"/>
  <c r="CH154" i="10"/>
  <c r="CH158" i="10"/>
  <c r="CH162" i="10"/>
  <c r="CH166" i="10"/>
  <c r="CH170" i="10"/>
  <c r="CH174" i="10"/>
  <c r="CH178" i="10"/>
  <c r="CH182" i="10"/>
  <c r="CH186" i="10"/>
  <c r="CH187" i="10"/>
  <c r="CI190" i="10"/>
  <c r="CH192" i="10"/>
  <c r="CH195" i="10"/>
  <c r="CI197" i="10"/>
  <c r="CI199" i="10"/>
  <c r="CI201" i="10"/>
  <c r="CI203" i="10"/>
  <c r="CI205" i="10"/>
  <c r="CI207" i="10"/>
  <c r="CI209" i="10"/>
  <c r="CI211" i="10"/>
  <c r="CI213" i="10"/>
  <c r="CI215" i="10"/>
  <c r="CI217" i="10"/>
  <c r="CI219" i="10"/>
  <c r="CI221" i="10"/>
  <c r="CI223" i="10"/>
  <c r="CI225" i="10"/>
  <c r="CI227" i="10"/>
  <c r="CI69" i="10"/>
  <c r="CI106" i="10"/>
  <c r="CI122" i="10"/>
  <c r="CI126" i="10"/>
  <c r="CI130" i="10"/>
  <c r="CI134" i="10"/>
  <c r="CI138" i="10"/>
  <c r="CI142" i="10"/>
  <c r="CI146" i="10"/>
  <c r="CI150" i="10"/>
  <c r="CI154" i="10"/>
  <c r="CI158" i="10"/>
  <c r="CI162" i="10"/>
  <c r="CI166" i="10"/>
  <c r="CI170" i="10"/>
  <c r="CI174" i="10"/>
  <c r="CI178" i="10"/>
  <c r="CI182" i="10"/>
  <c r="CI186" i="10"/>
  <c r="CH189" i="10"/>
  <c r="CI192" i="10"/>
  <c r="CH194" i="10"/>
  <c r="CH196" i="10"/>
  <c r="CH198" i="10"/>
  <c r="CH200" i="10"/>
  <c r="CH202" i="10"/>
  <c r="CH204" i="10"/>
  <c r="CH206" i="10"/>
  <c r="CH208" i="10"/>
  <c r="CH210" i="10"/>
  <c r="CH212" i="10"/>
  <c r="CH214" i="10"/>
  <c r="CH216" i="10"/>
  <c r="CH218" i="10"/>
  <c r="CH220" i="10"/>
  <c r="CH222" i="10"/>
  <c r="CH224" i="10"/>
  <c r="CH226" i="10"/>
  <c r="CH228" i="10"/>
  <c r="CI102" i="10"/>
  <c r="CH119" i="10"/>
  <c r="CH128" i="10"/>
  <c r="CH132" i="10"/>
  <c r="CH136" i="10"/>
  <c r="CH140" i="10"/>
  <c r="CH144" i="10"/>
  <c r="CH148" i="10"/>
  <c r="CH152" i="10"/>
  <c r="CH156" i="10"/>
  <c r="CH160" i="10"/>
  <c r="CH164" i="10"/>
  <c r="CH168" i="10"/>
  <c r="CH172" i="10"/>
  <c r="CH176" i="10"/>
  <c r="CH180" i="10"/>
  <c r="CH184" i="10"/>
  <c r="CH188" i="10"/>
  <c r="CH191" i="10"/>
  <c r="CI194" i="10"/>
  <c r="CI196" i="10"/>
  <c r="CI118" i="10"/>
  <c r="CI136" i="10"/>
  <c r="CI152" i="10"/>
  <c r="CI168" i="10"/>
  <c r="CI184" i="10"/>
  <c r="CH190" i="10"/>
  <c r="CI114" i="10"/>
  <c r="CI132" i="10"/>
  <c r="CI148" i="10"/>
  <c r="CI164" i="10"/>
  <c r="CI180" i="10"/>
  <c r="CI188" i="10"/>
  <c r="CH193" i="10"/>
  <c r="CI98" i="10"/>
  <c r="CI128" i="10"/>
  <c r="CI144" i="10"/>
  <c r="CI160" i="10"/>
  <c r="CI176" i="10"/>
  <c r="CI140" i="10"/>
  <c r="CI156" i="10"/>
  <c r="CI172" i="10"/>
  <c r="CH201" i="10"/>
  <c r="CH205" i="10"/>
  <c r="CH209" i="10"/>
  <c r="CH213" i="10"/>
  <c r="CH217" i="10"/>
  <c r="CH221" i="10"/>
  <c r="CH225" i="10"/>
  <c r="CI229" i="10"/>
  <c r="CI231" i="10"/>
  <c r="CI233" i="10"/>
  <c r="CI200" i="10"/>
  <c r="CI204" i="10"/>
  <c r="CI208" i="10"/>
  <c r="CI212" i="10"/>
  <c r="CI216" i="10"/>
  <c r="CI220" i="10"/>
  <c r="CI224" i="10"/>
  <c r="CI228" i="10"/>
  <c r="CH230" i="10"/>
  <c r="CH232" i="10"/>
  <c r="CH234" i="10"/>
  <c r="CH199" i="10"/>
  <c r="CH203" i="10"/>
  <c r="CH207" i="10"/>
  <c r="CH211" i="10"/>
  <c r="CH215" i="10"/>
  <c r="CH219" i="10"/>
  <c r="CH223" i="10"/>
  <c r="CH197" i="10"/>
  <c r="CI198" i="10"/>
  <c r="CI202" i="10"/>
  <c r="CI206" i="10"/>
  <c r="CI210" i="10"/>
  <c r="CI214" i="10"/>
  <c r="CI218" i="10"/>
  <c r="CI222" i="10"/>
  <c r="CI226" i="10"/>
  <c r="CH229" i="10"/>
  <c r="CH231" i="10"/>
  <c r="CH233" i="10"/>
  <c r="CI235" i="10"/>
  <c r="CI237" i="10"/>
  <c r="CI239" i="10"/>
  <c r="CI241" i="10"/>
  <c r="CI243" i="10"/>
  <c r="CI245" i="10"/>
  <c r="CI247" i="10"/>
  <c r="CI249" i="10"/>
  <c r="CI251" i="10"/>
  <c r="CI253" i="10"/>
  <c r="CI255" i="10"/>
  <c r="CI257" i="10"/>
  <c r="CI259" i="10"/>
  <c r="CI261" i="10"/>
  <c r="CI263" i="10"/>
  <c r="CI265" i="10"/>
  <c r="CI267" i="10"/>
  <c r="CI269" i="10"/>
  <c r="CI271" i="10"/>
  <c r="CI273" i="10"/>
  <c r="CI275" i="10"/>
  <c r="CI277" i="10"/>
  <c r="CI279" i="10"/>
  <c r="CI281" i="10"/>
  <c r="CI283" i="10"/>
  <c r="CI285" i="10"/>
  <c r="CI287" i="10"/>
  <c r="CI289" i="10"/>
  <c r="CI291" i="10"/>
  <c r="CI293" i="10"/>
  <c r="CI295" i="10"/>
  <c r="CI297" i="10"/>
  <c r="CI299" i="10"/>
  <c r="CI301" i="10"/>
  <c r="CI303" i="10"/>
  <c r="CI305" i="10"/>
  <c r="CI307" i="10"/>
  <c r="CI234" i="10"/>
  <c r="CH236" i="10"/>
  <c r="CH238" i="10"/>
  <c r="CH240" i="10"/>
  <c r="CH242" i="10"/>
  <c r="CH244" i="10"/>
  <c r="CH246" i="10"/>
  <c r="CH248" i="10"/>
  <c r="CH250" i="10"/>
  <c r="CH252" i="10"/>
  <c r="CH254" i="10"/>
  <c r="CH256" i="10"/>
  <c r="CH258" i="10"/>
  <c r="CH260" i="10"/>
  <c r="CH262" i="10"/>
  <c r="CH264" i="10"/>
  <c r="CH266" i="10"/>
  <c r="CH268" i="10"/>
  <c r="CH270" i="10"/>
  <c r="CH272" i="10"/>
  <c r="CH274" i="10"/>
  <c r="CH276" i="10"/>
  <c r="CH278" i="10"/>
  <c r="CH280" i="10"/>
  <c r="CH282" i="10"/>
  <c r="CH284" i="10"/>
  <c r="CH286" i="10"/>
  <c r="CH288" i="10"/>
  <c r="CH290" i="10"/>
  <c r="CH292" i="10"/>
  <c r="CH294" i="10"/>
  <c r="CH296" i="10"/>
  <c r="CH298" i="10"/>
  <c r="CH300" i="10"/>
  <c r="CH302" i="10"/>
  <c r="CH304" i="10"/>
  <c r="CH306" i="10"/>
  <c r="CH308" i="10"/>
  <c r="CH310" i="10"/>
  <c r="CH312" i="10"/>
  <c r="CH314" i="10"/>
  <c r="CH316" i="10"/>
  <c r="CH318" i="10"/>
  <c r="CH227" i="10"/>
  <c r="CI232" i="10"/>
  <c r="CI236" i="10"/>
  <c r="CI238" i="10"/>
  <c r="CI240" i="10"/>
  <c r="CI242" i="10"/>
  <c r="CI244" i="10"/>
  <c r="CI246" i="10"/>
  <c r="CI248" i="10"/>
  <c r="CI250" i="10"/>
  <c r="CI252" i="10"/>
  <c r="CI254" i="10"/>
  <c r="CI256" i="10"/>
  <c r="CI258" i="10"/>
  <c r="CI260" i="10"/>
  <c r="CI262" i="10"/>
  <c r="CI264" i="10"/>
  <c r="CI266" i="10"/>
  <c r="CI268" i="10"/>
  <c r="CI270" i="10"/>
  <c r="CI272" i="10"/>
  <c r="CI274" i="10"/>
  <c r="CI276" i="10"/>
  <c r="CI278" i="10"/>
  <c r="CI280" i="10"/>
  <c r="CI282" i="10"/>
  <c r="CI284" i="10"/>
  <c r="CI286" i="10"/>
  <c r="CI288" i="10"/>
  <c r="CI290" i="10"/>
  <c r="CI292" i="10"/>
  <c r="CI294" i="10"/>
  <c r="CI296" i="10"/>
  <c r="CI298" i="10"/>
  <c r="CI300" i="10"/>
  <c r="CI302" i="10"/>
  <c r="CI304" i="10"/>
  <c r="CI306" i="10"/>
  <c r="CI308" i="10"/>
  <c r="CI310" i="10"/>
  <c r="CI312" i="10"/>
  <c r="CI314" i="10"/>
  <c r="CI316" i="10"/>
  <c r="CI318" i="10"/>
  <c r="CI320" i="10"/>
  <c r="CI322" i="10"/>
  <c r="CI230" i="10"/>
  <c r="CH235" i="10"/>
  <c r="CH237" i="10"/>
  <c r="CH239" i="10"/>
  <c r="CH241" i="10"/>
  <c r="CH243" i="10"/>
  <c r="CH245" i="10"/>
  <c r="CH247" i="10"/>
  <c r="CH249" i="10"/>
  <c r="CH251" i="10"/>
  <c r="CH253" i="10"/>
  <c r="CH255" i="10"/>
  <c r="CH257" i="10"/>
  <c r="CH259" i="10"/>
  <c r="CH261" i="10"/>
  <c r="CH263" i="10"/>
  <c r="CH265" i="10"/>
  <c r="CH267" i="10"/>
  <c r="CH269" i="10"/>
  <c r="CH277" i="10"/>
  <c r="CH285" i="10"/>
  <c r="CI327" i="10"/>
  <c r="CH322" i="10"/>
  <c r="CH275" i="10"/>
  <c r="CH283" i="10"/>
  <c r="CH291" i="10"/>
  <c r="CH299" i="10"/>
  <c r="CH307" i="10"/>
  <c r="CI311" i="10"/>
  <c r="CI315" i="10"/>
  <c r="CH319" i="10"/>
  <c r="CH326" i="10"/>
  <c r="CH328" i="10"/>
  <c r="CH273" i="10"/>
  <c r="CH281" i="10"/>
  <c r="CH289" i="10"/>
  <c r="CH297" i="10"/>
  <c r="CH305" i="10"/>
  <c r="CH309" i="10"/>
  <c r="CH313" i="10"/>
  <c r="CH317" i="10"/>
  <c r="CI319" i="10"/>
  <c r="CH321" i="10"/>
  <c r="CI324" i="10"/>
  <c r="CI326" i="10"/>
  <c r="CI328" i="10"/>
  <c r="CH301" i="10"/>
  <c r="CH311" i="10"/>
  <c r="CH320" i="10"/>
  <c r="CI323" i="10"/>
  <c r="CI325" i="10"/>
  <c r="CH324" i="10"/>
  <c r="CH271" i="10"/>
  <c r="CH279" i="10"/>
  <c r="CH287" i="10"/>
  <c r="CH295" i="10"/>
  <c r="CH303" i="10"/>
  <c r="CI309" i="10"/>
  <c r="CI313" i="10"/>
  <c r="CI317" i="10"/>
  <c r="CI321" i="10"/>
  <c r="CH323" i="10"/>
  <c r="CH325" i="10"/>
  <c r="CH327" i="10"/>
  <c r="CH293" i="10"/>
  <c r="CH315" i="10"/>
  <c r="DC14" i="10"/>
  <c r="DD14" i="10"/>
  <c r="DD15" i="10"/>
  <c r="DC16" i="10"/>
  <c r="DC18" i="10"/>
  <c r="DC20" i="10"/>
  <c r="DC22" i="10"/>
  <c r="DC24" i="10"/>
  <c r="DC26" i="10"/>
  <c r="DC28" i="10"/>
  <c r="DC30" i="10"/>
  <c r="DC32" i="10"/>
  <c r="DD9" i="10"/>
  <c r="DD11" i="10"/>
  <c r="DC17" i="10"/>
  <c r="DC19" i="10"/>
  <c r="DC21" i="10"/>
  <c r="DC23" i="10"/>
  <c r="DC25" i="10"/>
  <c r="DD17" i="10"/>
  <c r="DD21" i="10"/>
  <c r="DD25" i="10"/>
  <c r="DD26" i="10"/>
  <c r="DD29" i="10"/>
  <c r="DC31" i="10"/>
  <c r="DD35" i="10"/>
  <c r="DD37" i="10"/>
  <c r="DD39" i="10"/>
  <c r="DD41" i="10"/>
  <c r="DC9" i="10"/>
  <c r="DD16" i="10"/>
  <c r="DD20" i="10"/>
  <c r="DD24" i="10"/>
  <c r="DD28" i="10"/>
  <c r="DD31" i="10"/>
  <c r="DC33" i="10"/>
  <c r="DC34" i="10"/>
  <c r="DC36" i="10"/>
  <c r="DC38" i="10"/>
  <c r="DC40" i="10"/>
  <c r="DC42" i="10"/>
  <c r="DC15" i="10"/>
  <c r="DD19" i="10"/>
  <c r="DD23" i="10"/>
  <c r="DC29" i="10"/>
  <c r="DC37" i="10"/>
  <c r="DC41" i="10"/>
  <c r="DD43" i="10"/>
  <c r="DC27" i="10"/>
  <c r="DD33" i="10"/>
  <c r="DD36" i="10"/>
  <c r="DD40" i="10"/>
  <c r="DD44" i="10"/>
  <c r="DD46" i="10"/>
  <c r="DD48" i="10"/>
  <c r="DD50" i="10"/>
  <c r="DD52" i="10"/>
  <c r="DD54" i="10"/>
  <c r="DD56" i="10"/>
  <c r="DD22" i="10"/>
  <c r="DD27" i="10"/>
  <c r="DD32" i="10"/>
  <c r="DC35" i="10"/>
  <c r="DC39" i="10"/>
  <c r="DC45" i="10"/>
  <c r="DC47" i="10"/>
  <c r="DC49" i="10"/>
  <c r="DC51" i="10"/>
  <c r="DC53" i="10"/>
  <c r="DC55" i="10"/>
  <c r="DD38" i="10"/>
  <c r="DC43" i="10"/>
  <c r="DD47" i="10"/>
  <c r="DD51" i="10"/>
  <c r="DD55" i="10"/>
  <c r="DC57" i="10"/>
  <c r="DC59" i="10"/>
  <c r="DC61" i="10"/>
  <c r="DC63" i="10"/>
  <c r="DC65" i="10"/>
  <c r="DC67" i="10"/>
  <c r="DC69" i="10"/>
  <c r="DC71" i="10"/>
  <c r="DC73" i="10"/>
  <c r="DC75" i="10"/>
  <c r="DC77" i="10"/>
  <c r="DC79" i="10"/>
  <c r="DC81" i="10"/>
  <c r="DC83" i="10"/>
  <c r="DC85" i="10"/>
  <c r="DC87" i="10"/>
  <c r="DC89" i="10"/>
  <c r="DC11" i="10"/>
  <c r="DD18" i="10"/>
  <c r="DD30" i="10"/>
  <c r="DD34" i="10"/>
  <c r="DC46" i="10"/>
  <c r="DC50" i="10"/>
  <c r="DC54" i="10"/>
  <c r="DD57" i="10"/>
  <c r="DD59" i="10"/>
  <c r="DD61" i="10"/>
  <c r="DD63" i="10"/>
  <c r="DD65" i="10"/>
  <c r="DD67" i="10"/>
  <c r="DD69" i="10"/>
  <c r="DD71" i="10"/>
  <c r="DD73" i="10"/>
  <c r="DD75" i="10"/>
  <c r="DD77" i="10"/>
  <c r="DD79" i="10"/>
  <c r="DD81" i="10"/>
  <c r="DD83" i="10"/>
  <c r="DD85" i="10"/>
  <c r="DD87" i="10"/>
  <c r="DD89" i="10"/>
  <c r="DD91" i="10"/>
  <c r="DD45" i="10"/>
  <c r="DD49" i="10"/>
  <c r="DD53" i="10"/>
  <c r="DC58" i="10"/>
  <c r="DC60" i="10"/>
  <c r="DC62" i="10"/>
  <c r="DC64" i="10"/>
  <c r="DC66" i="10"/>
  <c r="DC68" i="10"/>
  <c r="DC70" i="10"/>
  <c r="DC72" i="10"/>
  <c r="DC74" i="10"/>
  <c r="DC76" i="10"/>
  <c r="DC78" i="10"/>
  <c r="DC80" i="10"/>
  <c r="DC82" i="10"/>
  <c r="DD42" i="10"/>
  <c r="DC44" i="10"/>
  <c r="DD58" i="10"/>
  <c r="DD66" i="10"/>
  <c r="DD74" i="10"/>
  <c r="DD82" i="10"/>
  <c r="DD84" i="10"/>
  <c r="DD88" i="10"/>
  <c r="DC92" i="10"/>
  <c r="DD94" i="10"/>
  <c r="DD96" i="10"/>
  <c r="DD98" i="10"/>
  <c r="DD100" i="10"/>
  <c r="DD102" i="10"/>
  <c r="DD104" i="10"/>
  <c r="DD106" i="10"/>
  <c r="DD108" i="10"/>
  <c r="DD110" i="10"/>
  <c r="DD112" i="10"/>
  <c r="DD114" i="10"/>
  <c r="DD116" i="10"/>
  <c r="DD118" i="10"/>
  <c r="DD120" i="10"/>
  <c r="DD122" i="10"/>
  <c r="DC56" i="10"/>
  <c r="DD64" i="10"/>
  <c r="DD72" i="10"/>
  <c r="DD80" i="10"/>
  <c r="DC86" i="10"/>
  <c r="DC90" i="10"/>
  <c r="DD92" i="10"/>
  <c r="DC93" i="10"/>
  <c r="DC95" i="10"/>
  <c r="DC97" i="10"/>
  <c r="DC99" i="10"/>
  <c r="DC101" i="10"/>
  <c r="DC103" i="10"/>
  <c r="DC105" i="10"/>
  <c r="DC107" i="10"/>
  <c r="DC109" i="10"/>
  <c r="DC111" i="10"/>
  <c r="DC113" i="10"/>
  <c r="DC115" i="10"/>
  <c r="DC117" i="10"/>
  <c r="DC119" i="10"/>
  <c r="DC121" i="10"/>
  <c r="DC123" i="10"/>
  <c r="DC52" i="10"/>
  <c r="DD62" i="10"/>
  <c r="DD70" i="10"/>
  <c r="DD78" i="10"/>
  <c r="DD86" i="10"/>
  <c r="DD90" i="10"/>
  <c r="DC48" i="10"/>
  <c r="DC96" i="10"/>
  <c r="DC100" i="10"/>
  <c r="DC104" i="10"/>
  <c r="DC108" i="10"/>
  <c r="DC112" i="10"/>
  <c r="DC116" i="10"/>
  <c r="DC120" i="10"/>
  <c r="DC124" i="10"/>
  <c r="DC126" i="10"/>
  <c r="DC128" i="10"/>
  <c r="DC130" i="10"/>
  <c r="DC132" i="10"/>
  <c r="DC134" i="10"/>
  <c r="DC136" i="10"/>
  <c r="DC138" i="10"/>
  <c r="DC140" i="10"/>
  <c r="DC142" i="10"/>
  <c r="DC144" i="10"/>
  <c r="DC146" i="10"/>
  <c r="DC148" i="10"/>
  <c r="DC150" i="10"/>
  <c r="DC152" i="10"/>
  <c r="DC154" i="10"/>
  <c r="DC156" i="10"/>
  <c r="DC158" i="10"/>
  <c r="DC160" i="10"/>
  <c r="DC162" i="10"/>
  <c r="DC164" i="10"/>
  <c r="DC166" i="10"/>
  <c r="DC168" i="10"/>
  <c r="DC170" i="10"/>
  <c r="DC172" i="10"/>
  <c r="DC174" i="10"/>
  <c r="DC176" i="10"/>
  <c r="DC178" i="10"/>
  <c r="DC180" i="10"/>
  <c r="DC182" i="10"/>
  <c r="DC184" i="10"/>
  <c r="DC186" i="10"/>
  <c r="DD76" i="10"/>
  <c r="DD95" i="10"/>
  <c r="DD99" i="10"/>
  <c r="DD103" i="10"/>
  <c r="DD107" i="10"/>
  <c r="DD111" i="10"/>
  <c r="DD115" i="10"/>
  <c r="DD119" i="10"/>
  <c r="DD123" i="10"/>
  <c r="DD124" i="10"/>
  <c r="DD126" i="10"/>
  <c r="DD128" i="10"/>
  <c r="DD130" i="10"/>
  <c r="DD132" i="10"/>
  <c r="DD134" i="10"/>
  <c r="DD136" i="10"/>
  <c r="DD138" i="10"/>
  <c r="DD140" i="10"/>
  <c r="DD142" i="10"/>
  <c r="DD144" i="10"/>
  <c r="DD146" i="10"/>
  <c r="DD148" i="10"/>
  <c r="DD150" i="10"/>
  <c r="DD152" i="10"/>
  <c r="DD154" i="10"/>
  <c r="DD156" i="10"/>
  <c r="DD158" i="10"/>
  <c r="DD160" i="10"/>
  <c r="DD162" i="10"/>
  <c r="DD164" i="10"/>
  <c r="DD166" i="10"/>
  <c r="DD168" i="10"/>
  <c r="DD170" i="10"/>
  <c r="DD172" i="10"/>
  <c r="DD174" i="10"/>
  <c r="DD176" i="10"/>
  <c r="DD178" i="10"/>
  <c r="DD180" i="10"/>
  <c r="DD182" i="10"/>
  <c r="DD184" i="10"/>
  <c r="DD186" i="10"/>
  <c r="DD188" i="10"/>
  <c r="DD190" i="10"/>
  <c r="DD192" i="10"/>
  <c r="DD194" i="10"/>
  <c r="DD68" i="10"/>
  <c r="DC88" i="10"/>
  <c r="DC94" i="10"/>
  <c r="DC98" i="10"/>
  <c r="DC102" i="10"/>
  <c r="DC106" i="10"/>
  <c r="DC110" i="10"/>
  <c r="DC114" i="10"/>
  <c r="DC91" i="10"/>
  <c r="DD101" i="10"/>
  <c r="DC122" i="10"/>
  <c r="DC125" i="10"/>
  <c r="DC129" i="10"/>
  <c r="DC133" i="10"/>
  <c r="DC137" i="10"/>
  <c r="DC141" i="10"/>
  <c r="DC145" i="10"/>
  <c r="DC149" i="10"/>
  <c r="DC153" i="10"/>
  <c r="DC157" i="10"/>
  <c r="DC161" i="10"/>
  <c r="DC165" i="10"/>
  <c r="DC169" i="10"/>
  <c r="DC173" i="10"/>
  <c r="DC177" i="10"/>
  <c r="DC181" i="10"/>
  <c r="DC185" i="10"/>
  <c r="DD189" i="10"/>
  <c r="DC191" i="10"/>
  <c r="DC194" i="10"/>
  <c r="DD196" i="10"/>
  <c r="DD198" i="10"/>
  <c r="DD200" i="10"/>
  <c r="DD202" i="10"/>
  <c r="DD204" i="10"/>
  <c r="DD206" i="10"/>
  <c r="DD208" i="10"/>
  <c r="DD210" i="10"/>
  <c r="DD212" i="10"/>
  <c r="DD214" i="10"/>
  <c r="DD216" i="10"/>
  <c r="DD218" i="10"/>
  <c r="DD220" i="10"/>
  <c r="DD222" i="10"/>
  <c r="DD224" i="10"/>
  <c r="DD226" i="10"/>
  <c r="DD228" i="10"/>
  <c r="DD60" i="10"/>
  <c r="DC84" i="10"/>
  <c r="DD97" i="10"/>
  <c r="DD113" i="10"/>
  <c r="DD121" i="10"/>
  <c r="DD125" i="10"/>
  <c r="DD129" i="10"/>
  <c r="DD133" i="10"/>
  <c r="DD137" i="10"/>
  <c r="DD141" i="10"/>
  <c r="DD145" i="10"/>
  <c r="DD149" i="10"/>
  <c r="DD153" i="10"/>
  <c r="DD157" i="10"/>
  <c r="DD161" i="10"/>
  <c r="DD165" i="10"/>
  <c r="DD169" i="10"/>
  <c r="DD173" i="10"/>
  <c r="DD177" i="10"/>
  <c r="DD181" i="10"/>
  <c r="DD185" i="10"/>
  <c r="DC188" i="10"/>
  <c r="DD191" i="10"/>
  <c r="DC193" i="10"/>
  <c r="DC197" i="10"/>
  <c r="DC199" i="10"/>
  <c r="DC201" i="10"/>
  <c r="DC203" i="10"/>
  <c r="DC205" i="10"/>
  <c r="DC207" i="10"/>
  <c r="DC209" i="10"/>
  <c r="DC211" i="10"/>
  <c r="DC213" i="10"/>
  <c r="DC215" i="10"/>
  <c r="DC217" i="10"/>
  <c r="DC219" i="10"/>
  <c r="DC221" i="10"/>
  <c r="DC223" i="10"/>
  <c r="DC225" i="10"/>
  <c r="DC227" i="10"/>
  <c r="DD93" i="10"/>
  <c r="DD109" i="10"/>
  <c r="DC118" i="10"/>
  <c r="DC127" i="10"/>
  <c r="DC131" i="10"/>
  <c r="DC135" i="10"/>
  <c r="DC139" i="10"/>
  <c r="DC143" i="10"/>
  <c r="DC147" i="10"/>
  <c r="DC151" i="10"/>
  <c r="DC155" i="10"/>
  <c r="DC159" i="10"/>
  <c r="DC163" i="10"/>
  <c r="DC167" i="10"/>
  <c r="DC171" i="10"/>
  <c r="DC175" i="10"/>
  <c r="DC179" i="10"/>
  <c r="DC183" i="10"/>
  <c r="DC187" i="10"/>
  <c r="DC190" i="10"/>
  <c r="DD193" i="10"/>
  <c r="DC195" i="10"/>
  <c r="DD127" i="10"/>
  <c r="DD143" i="10"/>
  <c r="DD159" i="10"/>
  <c r="DD175" i="10"/>
  <c r="DD197" i="10"/>
  <c r="DD105" i="10"/>
  <c r="DD139" i="10"/>
  <c r="DD155" i="10"/>
  <c r="DD171" i="10"/>
  <c r="DC189" i="10"/>
  <c r="DD135" i="10"/>
  <c r="DD151" i="10"/>
  <c r="DD167" i="10"/>
  <c r="DD183" i="10"/>
  <c r="DD117" i="10"/>
  <c r="DD131" i="10"/>
  <c r="DD147" i="10"/>
  <c r="DD163" i="10"/>
  <c r="DD179" i="10"/>
  <c r="DD195" i="10"/>
  <c r="DC192" i="10"/>
  <c r="DC200" i="10"/>
  <c r="DC204" i="10"/>
  <c r="DC208" i="10"/>
  <c r="DC212" i="10"/>
  <c r="DC216" i="10"/>
  <c r="DC220" i="10"/>
  <c r="DC224" i="10"/>
  <c r="DC228" i="10"/>
  <c r="DD230" i="10"/>
  <c r="DD232" i="10"/>
  <c r="DD187" i="10"/>
  <c r="DD199" i="10"/>
  <c r="DD203" i="10"/>
  <c r="DD207" i="10"/>
  <c r="DD211" i="10"/>
  <c r="DD215" i="10"/>
  <c r="DD219" i="10"/>
  <c r="DD223" i="10"/>
  <c r="DD227" i="10"/>
  <c r="DC229" i="10"/>
  <c r="DC231" i="10"/>
  <c r="DC233" i="10"/>
  <c r="DC196" i="10"/>
  <c r="DC198" i="10"/>
  <c r="DC202" i="10"/>
  <c r="DC206" i="10"/>
  <c r="DC210" i="10"/>
  <c r="DC214" i="10"/>
  <c r="DC218" i="10"/>
  <c r="DC222" i="10"/>
  <c r="DD201" i="10"/>
  <c r="DD205" i="10"/>
  <c r="DD209" i="10"/>
  <c r="DD213" i="10"/>
  <c r="DD217" i="10"/>
  <c r="DD221" i="10"/>
  <c r="DD225" i="10"/>
  <c r="DC230" i="10"/>
  <c r="DC232" i="10"/>
  <c r="DC234" i="10"/>
  <c r="DC226" i="10"/>
  <c r="DD236" i="10"/>
  <c r="DD238" i="10"/>
  <c r="DD240" i="10"/>
  <c r="DD242" i="10"/>
  <c r="DD244" i="10"/>
  <c r="DD246" i="10"/>
  <c r="DD248" i="10"/>
  <c r="DD250" i="10"/>
  <c r="DD252" i="10"/>
  <c r="DD254" i="10"/>
  <c r="DD256" i="10"/>
  <c r="DD258" i="10"/>
  <c r="DD260" i="10"/>
  <c r="DD262" i="10"/>
  <c r="DD264" i="10"/>
  <c r="DD266" i="10"/>
  <c r="DD268" i="10"/>
  <c r="DD270" i="10"/>
  <c r="DD272" i="10"/>
  <c r="DD274" i="10"/>
  <c r="DD276" i="10"/>
  <c r="DD278" i="10"/>
  <c r="DD280" i="10"/>
  <c r="DD282" i="10"/>
  <c r="DD284" i="10"/>
  <c r="DD286" i="10"/>
  <c r="DD288" i="10"/>
  <c r="DD290" i="10"/>
  <c r="DD292" i="10"/>
  <c r="DD294" i="10"/>
  <c r="DD296" i="10"/>
  <c r="DD298" i="10"/>
  <c r="DD300" i="10"/>
  <c r="DD302" i="10"/>
  <c r="DD304" i="10"/>
  <c r="DD306" i="10"/>
  <c r="DD233" i="10"/>
  <c r="DC235" i="10"/>
  <c r="DC237" i="10"/>
  <c r="DC239" i="10"/>
  <c r="DC241" i="10"/>
  <c r="DC243" i="10"/>
  <c r="DC245" i="10"/>
  <c r="DC247" i="10"/>
  <c r="DC249" i="10"/>
  <c r="DC251" i="10"/>
  <c r="DC253" i="10"/>
  <c r="DC255" i="10"/>
  <c r="DC257" i="10"/>
  <c r="DC259" i="10"/>
  <c r="DC261" i="10"/>
  <c r="DC263" i="10"/>
  <c r="DC265" i="10"/>
  <c r="DC267" i="10"/>
  <c r="DC269" i="10"/>
  <c r="DC271" i="10"/>
  <c r="DC273" i="10"/>
  <c r="DC275" i="10"/>
  <c r="DC277" i="10"/>
  <c r="DC279" i="10"/>
  <c r="DC281" i="10"/>
  <c r="DC283" i="10"/>
  <c r="DC285" i="10"/>
  <c r="DC287" i="10"/>
  <c r="DC289" i="10"/>
  <c r="DC291" i="10"/>
  <c r="DC293" i="10"/>
  <c r="DC295" i="10"/>
  <c r="DC297" i="10"/>
  <c r="DC299" i="10"/>
  <c r="DC301" i="10"/>
  <c r="DC303" i="10"/>
  <c r="DC305" i="10"/>
  <c r="DC307" i="10"/>
  <c r="DC309" i="10"/>
  <c r="DC311" i="10"/>
  <c r="DC313" i="10"/>
  <c r="DC315" i="10"/>
  <c r="DC317" i="10"/>
  <c r="DD231" i="10"/>
  <c r="DD234" i="10"/>
  <c r="DD235" i="10"/>
  <c r="DD237" i="10"/>
  <c r="DD239" i="10"/>
  <c r="DD241" i="10"/>
  <c r="DD243" i="10"/>
  <c r="DD245" i="10"/>
  <c r="DD247" i="10"/>
  <c r="DD249" i="10"/>
  <c r="DD251" i="10"/>
  <c r="DD253" i="10"/>
  <c r="DD255" i="10"/>
  <c r="DD257" i="10"/>
  <c r="DD259" i="10"/>
  <c r="DD261" i="10"/>
  <c r="DD263" i="10"/>
  <c r="DD265" i="10"/>
  <c r="DD267" i="10"/>
  <c r="DD269" i="10"/>
  <c r="DD271" i="10"/>
  <c r="DD273" i="10"/>
  <c r="DD275" i="10"/>
  <c r="DD277" i="10"/>
  <c r="DD279" i="10"/>
  <c r="DD281" i="10"/>
  <c r="DD283" i="10"/>
  <c r="DD285" i="10"/>
  <c r="DD287" i="10"/>
  <c r="DD289" i="10"/>
  <c r="DD291" i="10"/>
  <c r="DD293" i="10"/>
  <c r="DD295" i="10"/>
  <c r="DD297" i="10"/>
  <c r="DD299" i="10"/>
  <c r="DD301" i="10"/>
  <c r="DD303" i="10"/>
  <c r="DD305" i="10"/>
  <c r="DD307" i="10"/>
  <c r="DD309" i="10"/>
  <c r="DD311" i="10"/>
  <c r="DD313" i="10"/>
  <c r="DD315" i="10"/>
  <c r="DD317" i="10"/>
  <c r="DD319" i="10"/>
  <c r="DD321" i="10"/>
  <c r="DD323" i="10"/>
  <c r="DD229" i="10"/>
  <c r="DC236" i="10"/>
  <c r="DC238" i="10"/>
  <c r="DC240" i="10"/>
  <c r="DC242" i="10"/>
  <c r="DC244" i="10"/>
  <c r="DC246" i="10"/>
  <c r="DC248" i="10"/>
  <c r="DC250" i="10"/>
  <c r="DC252" i="10"/>
  <c r="DC254" i="10"/>
  <c r="DC256" i="10"/>
  <c r="DC258" i="10"/>
  <c r="DC260" i="10"/>
  <c r="DC262" i="10"/>
  <c r="DC264" i="10"/>
  <c r="DC266" i="10"/>
  <c r="DC268" i="10"/>
  <c r="DC276" i="10"/>
  <c r="DC314" i="10"/>
  <c r="DD322" i="10"/>
  <c r="DD326" i="10"/>
  <c r="DC274" i="10"/>
  <c r="DC282" i="10"/>
  <c r="DC290" i="10"/>
  <c r="DC298" i="10"/>
  <c r="DC306" i="10"/>
  <c r="DD310" i="10"/>
  <c r="DD314" i="10"/>
  <c r="DD318" i="10"/>
  <c r="DC321" i="10"/>
  <c r="DC325" i="10"/>
  <c r="DC272" i="10"/>
  <c r="DC280" i="10"/>
  <c r="DC288" i="10"/>
  <c r="DC296" i="10"/>
  <c r="DC304" i="10"/>
  <c r="DC308" i="10"/>
  <c r="DC312" i="10"/>
  <c r="DC316" i="10"/>
  <c r="DC320" i="10"/>
  <c r="DC323" i="10"/>
  <c r="DD325" i="10"/>
  <c r="DD327" i="10"/>
  <c r="DC284" i="10"/>
  <c r="DC292" i="10"/>
  <c r="DC318" i="10"/>
  <c r="DD324" i="10"/>
  <c r="DD328" i="10"/>
  <c r="DC327" i="10"/>
  <c r="DC270" i="10"/>
  <c r="DC278" i="10"/>
  <c r="DC286" i="10"/>
  <c r="DC294" i="10"/>
  <c r="DC302" i="10"/>
  <c r="DD308" i="10"/>
  <c r="DD312" i="10"/>
  <c r="DD316" i="10"/>
  <c r="DD320" i="10"/>
  <c r="DC322" i="10"/>
  <c r="DC324" i="10"/>
  <c r="DC326" i="10"/>
  <c r="DC328" i="10"/>
  <c r="DC300" i="10"/>
  <c r="DC310" i="10"/>
  <c r="DC319" i="10"/>
  <c r="CE10" i="10"/>
  <c r="CE6" i="10"/>
  <c r="CE5" i="10"/>
  <c r="CE8" i="10"/>
  <c r="CE14" i="10"/>
  <c r="CF14" i="10"/>
  <c r="CF15" i="10"/>
  <c r="CE16" i="10"/>
  <c r="CE18" i="10"/>
  <c r="CE20" i="10"/>
  <c r="CE22" i="10"/>
  <c r="CE24" i="10"/>
  <c r="CE26" i="10"/>
  <c r="CE28" i="10"/>
  <c r="CE30" i="10"/>
  <c r="CE32" i="10"/>
  <c r="CF9" i="10"/>
  <c r="CF11" i="10"/>
  <c r="CE17" i="10"/>
  <c r="CE19" i="10"/>
  <c r="CE21" i="10"/>
  <c r="CE23" i="10"/>
  <c r="CE25" i="10"/>
  <c r="CF17" i="10"/>
  <c r="CF21" i="10"/>
  <c r="CF25" i="10"/>
  <c r="CF26" i="10"/>
  <c r="CF29" i="10"/>
  <c r="CE31" i="10"/>
  <c r="CF35" i="10"/>
  <c r="CF37" i="10"/>
  <c r="CF39" i="10"/>
  <c r="CF41" i="10"/>
  <c r="CF16" i="10"/>
  <c r="CF20" i="10"/>
  <c r="CF24" i="10"/>
  <c r="CF28" i="10"/>
  <c r="CF31" i="10"/>
  <c r="CE33" i="10"/>
  <c r="CE34" i="10"/>
  <c r="CE36" i="10"/>
  <c r="CE38" i="10"/>
  <c r="CE40" i="10"/>
  <c r="CE42" i="10"/>
  <c r="CE15" i="10"/>
  <c r="CF19" i="10"/>
  <c r="CF23" i="10"/>
  <c r="CF22" i="10"/>
  <c r="CF27" i="10"/>
  <c r="CF32" i="10"/>
  <c r="CE37" i="10"/>
  <c r="CE41" i="10"/>
  <c r="CF43" i="10"/>
  <c r="CE44" i="10"/>
  <c r="CE9" i="10"/>
  <c r="CF18" i="10"/>
  <c r="CF30" i="10"/>
  <c r="CF36" i="10"/>
  <c r="CF40" i="10"/>
  <c r="CF44" i="10"/>
  <c r="CF46" i="10"/>
  <c r="CF48" i="10"/>
  <c r="CF50" i="10"/>
  <c r="CF52" i="10"/>
  <c r="CF54" i="10"/>
  <c r="CF56" i="10"/>
  <c r="CE11" i="10"/>
  <c r="CE29" i="10"/>
  <c r="CE35" i="10"/>
  <c r="CE39" i="10"/>
  <c r="CE45" i="10"/>
  <c r="CE47" i="10"/>
  <c r="CE49" i="10"/>
  <c r="CE51" i="10"/>
  <c r="CE53" i="10"/>
  <c r="CE55" i="10"/>
  <c r="CF33" i="10"/>
  <c r="CF47" i="10"/>
  <c r="CF51" i="10"/>
  <c r="CF55" i="10"/>
  <c r="CE57" i="10"/>
  <c r="CE59" i="10"/>
  <c r="CE61" i="10"/>
  <c r="CE63" i="10"/>
  <c r="CE65" i="10"/>
  <c r="CE67" i="10"/>
  <c r="CE69" i="10"/>
  <c r="CE71" i="10"/>
  <c r="CE73" i="10"/>
  <c r="CE75" i="10"/>
  <c r="CE77" i="10"/>
  <c r="CE79" i="10"/>
  <c r="CE81" i="10"/>
  <c r="CE83" i="10"/>
  <c r="CE85" i="10"/>
  <c r="CE87" i="10"/>
  <c r="CE89" i="10"/>
  <c r="CE91" i="10"/>
  <c r="CF42" i="10"/>
  <c r="CE43" i="10"/>
  <c r="CE46" i="10"/>
  <c r="CE50" i="10"/>
  <c r="CE54" i="10"/>
  <c r="CF57" i="10"/>
  <c r="CF59" i="10"/>
  <c r="CF61" i="10"/>
  <c r="CF63" i="10"/>
  <c r="CF65" i="10"/>
  <c r="CF67" i="10"/>
  <c r="CF69" i="10"/>
  <c r="CF71" i="10"/>
  <c r="CF73" i="10"/>
  <c r="CF75" i="10"/>
  <c r="CF77" i="10"/>
  <c r="CF79" i="10"/>
  <c r="CF81" i="10"/>
  <c r="CF83" i="10"/>
  <c r="CF85" i="10"/>
  <c r="CF87" i="10"/>
  <c r="CF89" i="10"/>
  <c r="CF91" i="10"/>
  <c r="CF93" i="10"/>
  <c r="CF38" i="10"/>
  <c r="CF45" i="10"/>
  <c r="CF49" i="10"/>
  <c r="CF53" i="10"/>
  <c r="CE58" i="10"/>
  <c r="CE60" i="10"/>
  <c r="CE62" i="10"/>
  <c r="CE64" i="10"/>
  <c r="CE66" i="10"/>
  <c r="CE68" i="10"/>
  <c r="CE70" i="10"/>
  <c r="CE72" i="10"/>
  <c r="CE74" i="10"/>
  <c r="CE76" i="10"/>
  <c r="CE78" i="10"/>
  <c r="CE80" i="10"/>
  <c r="CE82" i="10"/>
  <c r="CF34" i="10"/>
  <c r="CE52" i="10"/>
  <c r="CF58" i="10"/>
  <c r="CF66" i="10"/>
  <c r="CF74" i="10"/>
  <c r="CF82" i="10"/>
  <c r="CF84" i="10"/>
  <c r="CF88" i="10"/>
  <c r="CE92" i="10"/>
  <c r="CF94" i="10"/>
  <c r="CF96" i="10"/>
  <c r="CF98" i="10"/>
  <c r="CF100" i="10"/>
  <c r="CF102" i="10"/>
  <c r="CF104" i="10"/>
  <c r="CF106" i="10"/>
  <c r="CF108" i="10"/>
  <c r="CF110" i="10"/>
  <c r="CF112" i="10"/>
  <c r="CF114" i="10"/>
  <c r="CF116" i="10"/>
  <c r="CF118" i="10"/>
  <c r="CF120" i="10"/>
  <c r="CF122" i="10"/>
  <c r="CF124" i="10"/>
  <c r="CE48" i="10"/>
  <c r="CF64" i="10"/>
  <c r="CF72" i="10"/>
  <c r="CF80" i="10"/>
  <c r="CE86" i="10"/>
  <c r="CE90" i="10"/>
  <c r="CF92" i="10"/>
  <c r="CE95" i="10"/>
  <c r="CE97" i="10"/>
  <c r="CE99" i="10"/>
  <c r="CE101" i="10"/>
  <c r="CE103" i="10"/>
  <c r="CE105" i="10"/>
  <c r="CE107" i="10"/>
  <c r="CE109" i="10"/>
  <c r="CE111" i="10"/>
  <c r="CE113" i="10"/>
  <c r="CE115" i="10"/>
  <c r="CE117" i="10"/>
  <c r="CE119" i="10"/>
  <c r="CE121" i="10"/>
  <c r="CE123" i="10"/>
  <c r="CF62" i="10"/>
  <c r="CF70" i="10"/>
  <c r="CF78" i="10"/>
  <c r="CF86" i="10"/>
  <c r="CF90" i="10"/>
  <c r="CE27" i="10"/>
  <c r="CF76" i="10"/>
  <c r="CE88" i="10"/>
  <c r="CE93" i="10"/>
  <c r="CE96" i="10"/>
  <c r="CE100" i="10"/>
  <c r="CE104" i="10"/>
  <c r="CE108" i="10"/>
  <c r="CE112" i="10"/>
  <c r="CE116" i="10"/>
  <c r="CE120" i="10"/>
  <c r="CE124" i="10"/>
  <c r="CE126" i="10"/>
  <c r="CE128" i="10"/>
  <c r="CE130" i="10"/>
  <c r="CE132" i="10"/>
  <c r="CE134" i="10"/>
  <c r="CE136" i="10"/>
  <c r="CE138" i="10"/>
  <c r="CE140" i="10"/>
  <c r="CE142" i="10"/>
  <c r="CE144" i="10"/>
  <c r="CE146" i="10"/>
  <c r="CE148" i="10"/>
  <c r="CE150" i="10"/>
  <c r="CE152" i="10"/>
  <c r="CE154" i="10"/>
  <c r="CE156" i="10"/>
  <c r="CE158" i="10"/>
  <c r="CE160" i="10"/>
  <c r="CE162" i="10"/>
  <c r="CE164" i="10"/>
  <c r="CE166" i="10"/>
  <c r="CE168" i="10"/>
  <c r="CE170" i="10"/>
  <c r="CE172" i="10"/>
  <c r="CE174" i="10"/>
  <c r="CE176" i="10"/>
  <c r="CE178" i="10"/>
  <c r="CE180" i="10"/>
  <c r="CE182" i="10"/>
  <c r="CE184" i="10"/>
  <c r="CE186" i="10"/>
  <c r="CF68" i="10"/>
  <c r="CE84" i="10"/>
  <c r="CF95" i="10"/>
  <c r="CF99" i="10"/>
  <c r="CF103" i="10"/>
  <c r="CF107" i="10"/>
  <c r="CF111" i="10"/>
  <c r="CF115" i="10"/>
  <c r="CF119" i="10"/>
  <c r="CF123" i="10"/>
  <c r="CF126" i="10"/>
  <c r="CF128" i="10"/>
  <c r="CF130" i="10"/>
  <c r="CF132" i="10"/>
  <c r="CF134" i="10"/>
  <c r="CF136" i="10"/>
  <c r="CF138" i="10"/>
  <c r="CF140" i="10"/>
  <c r="CF142" i="10"/>
  <c r="CF144" i="10"/>
  <c r="CF146" i="10"/>
  <c r="CF148" i="10"/>
  <c r="CF150" i="10"/>
  <c r="CF152" i="10"/>
  <c r="CF154" i="10"/>
  <c r="CF156" i="10"/>
  <c r="CF158" i="10"/>
  <c r="CF160" i="10"/>
  <c r="CF162" i="10"/>
  <c r="CF164" i="10"/>
  <c r="CF166" i="10"/>
  <c r="CF168" i="10"/>
  <c r="CF170" i="10"/>
  <c r="CF172" i="10"/>
  <c r="CF174" i="10"/>
  <c r="CF176" i="10"/>
  <c r="CF178" i="10"/>
  <c r="CF180" i="10"/>
  <c r="CF182" i="10"/>
  <c r="CF184" i="10"/>
  <c r="CF186" i="10"/>
  <c r="CF188" i="10"/>
  <c r="CF190" i="10"/>
  <c r="CF192" i="10"/>
  <c r="CF194" i="10"/>
  <c r="CF60" i="10"/>
  <c r="CE94" i="10"/>
  <c r="CE98" i="10"/>
  <c r="CE102" i="10"/>
  <c r="CE106" i="10"/>
  <c r="CE110" i="10"/>
  <c r="CE114" i="10"/>
  <c r="CF109" i="10"/>
  <c r="CE122" i="10"/>
  <c r="CE125" i="10"/>
  <c r="CE129" i="10"/>
  <c r="CE133" i="10"/>
  <c r="CE137" i="10"/>
  <c r="CE141" i="10"/>
  <c r="CE145" i="10"/>
  <c r="CE149" i="10"/>
  <c r="CE153" i="10"/>
  <c r="CE157" i="10"/>
  <c r="CE161" i="10"/>
  <c r="CE165" i="10"/>
  <c r="CE169" i="10"/>
  <c r="CE173" i="10"/>
  <c r="CE177" i="10"/>
  <c r="CE181" i="10"/>
  <c r="CE185" i="10"/>
  <c r="CF189" i="10"/>
  <c r="CE191" i="10"/>
  <c r="CE194" i="10"/>
  <c r="CF196" i="10"/>
  <c r="CF198" i="10"/>
  <c r="CF200" i="10"/>
  <c r="CF202" i="10"/>
  <c r="CF204" i="10"/>
  <c r="CF206" i="10"/>
  <c r="CF208" i="10"/>
  <c r="CF210" i="10"/>
  <c r="CF212" i="10"/>
  <c r="CF214" i="10"/>
  <c r="CF216" i="10"/>
  <c r="CF218" i="10"/>
  <c r="CF220" i="10"/>
  <c r="CF222" i="10"/>
  <c r="CF224" i="10"/>
  <c r="CF226" i="10"/>
  <c r="CF228" i="10"/>
  <c r="CF105" i="10"/>
  <c r="CF121" i="10"/>
  <c r="CF125" i="10"/>
  <c r="CF129" i="10"/>
  <c r="CF133" i="10"/>
  <c r="CF137" i="10"/>
  <c r="CF141" i="10"/>
  <c r="CF145" i="10"/>
  <c r="CF149" i="10"/>
  <c r="CF153" i="10"/>
  <c r="CF157" i="10"/>
  <c r="CF161" i="10"/>
  <c r="CF165" i="10"/>
  <c r="CF169" i="10"/>
  <c r="CF173" i="10"/>
  <c r="CF177" i="10"/>
  <c r="CF181" i="10"/>
  <c r="CF185" i="10"/>
  <c r="CE188" i="10"/>
  <c r="CF191" i="10"/>
  <c r="CE193" i="10"/>
  <c r="CE197" i="10"/>
  <c r="CE199" i="10"/>
  <c r="CE201" i="10"/>
  <c r="CE203" i="10"/>
  <c r="CE205" i="10"/>
  <c r="CE207" i="10"/>
  <c r="CE209" i="10"/>
  <c r="CE211" i="10"/>
  <c r="CE213" i="10"/>
  <c r="CE215" i="10"/>
  <c r="CE217" i="10"/>
  <c r="CE219" i="10"/>
  <c r="CE221" i="10"/>
  <c r="CE223" i="10"/>
  <c r="CE225" i="10"/>
  <c r="CE227" i="10"/>
  <c r="CF101" i="10"/>
  <c r="CE118" i="10"/>
  <c r="CE127" i="10"/>
  <c r="CE131" i="10"/>
  <c r="CE135" i="10"/>
  <c r="CE139" i="10"/>
  <c r="CE143" i="10"/>
  <c r="CE147" i="10"/>
  <c r="CE151" i="10"/>
  <c r="CE155" i="10"/>
  <c r="CE159" i="10"/>
  <c r="CE163" i="10"/>
  <c r="CE167" i="10"/>
  <c r="CE171" i="10"/>
  <c r="CE175" i="10"/>
  <c r="CE179" i="10"/>
  <c r="CE183" i="10"/>
  <c r="CE187" i="10"/>
  <c r="CE190" i="10"/>
  <c r="CF193" i="10"/>
  <c r="CE195" i="10"/>
  <c r="CF197" i="10"/>
  <c r="CF113" i="10"/>
  <c r="CF135" i="10"/>
  <c r="CF151" i="10"/>
  <c r="CF167" i="10"/>
  <c r="CF183" i="10"/>
  <c r="CF195" i="10"/>
  <c r="CF97" i="10"/>
  <c r="CF131" i="10"/>
  <c r="CF147" i="10"/>
  <c r="CF163" i="10"/>
  <c r="CF179" i="10"/>
  <c r="CF117" i="10"/>
  <c r="CF127" i="10"/>
  <c r="CF143" i="10"/>
  <c r="CF159" i="10"/>
  <c r="CF175" i="10"/>
  <c r="CE56" i="10"/>
  <c r="CF139" i="10"/>
  <c r="CF155" i="10"/>
  <c r="CF171" i="10"/>
  <c r="CF187" i="10"/>
  <c r="CE192" i="10"/>
  <c r="CE200" i="10"/>
  <c r="CE204" i="10"/>
  <c r="CE208" i="10"/>
  <c r="CE212" i="10"/>
  <c r="CE216" i="10"/>
  <c r="CE220" i="10"/>
  <c r="CE224" i="10"/>
  <c r="CE228" i="10"/>
  <c r="CF230" i="10"/>
  <c r="CF232" i="10"/>
  <c r="CF234" i="10"/>
  <c r="CE196" i="10"/>
  <c r="CF199" i="10"/>
  <c r="CF203" i="10"/>
  <c r="CF207" i="10"/>
  <c r="CF211" i="10"/>
  <c r="CF215" i="10"/>
  <c r="CF219" i="10"/>
  <c r="CF223" i="10"/>
  <c r="CF227" i="10"/>
  <c r="CE229" i="10"/>
  <c r="CE231" i="10"/>
  <c r="CE233" i="10"/>
  <c r="CE198" i="10"/>
  <c r="CE202" i="10"/>
  <c r="CE206" i="10"/>
  <c r="CE210" i="10"/>
  <c r="CE214" i="10"/>
  <c r="CE218" i="10"/>
  <c r="CE222" i="10"/>
  <c r="CE189" i="10"/>
  <c r="CF201" i="10"/>
  <c r="CF205" i="10"/>
  <c r="CF209" i="10"/>
  <c r="CF213" i="10"/>
  <c r="CF217" i="10"/>
  <c r="CF221" i="10"/>
  <c r="CF225" i="10"/>
  <c r="CE230" i="10"/>
  <c r="CE232" i="10"/>
  <c r="CE234" i="10"/>
  <c r="CF236" i="10"/>
  <c r="CF238" i="10"/>
  <c r="CF240" i="10"/>
  <c r="CF242" i="10"/>
  <c r="CF244" i="10"/>
  <c r="CF246" i="10"/>
  <c r="CF248" i="10"/>
  <c r="CF250" i="10"/>
  <c r="CF252" i="10"/>
  <c r="CF254" i="10"/>
  <c r="CF256" i="10"/>
  <c r="CF258" i="10"/>
  <c r="CF260" i="10"/>
  <c r="CF262" i="10"/>
  <c r="CF264" i="10"/>
  <c r="CF266" i="10"/>
  <c r="CF268" i="10"/>
  <c r="CF270" i="10"/>
  <c r="CF272" i="10"/>
  <c r="CF274" i="10"/>
  <c r="CF276" i="10"/>
  <c r="CF278" i="10"/>
  <c r="CF280" i="10"/>
  <c r="CF282" i="10"/>
  <c r="CF284" i="10"/>
  <c r="CF286" i="10"/>
  <c r="CF288" i="10"/>
  <c r="CF290" i="10"/>
  <c r="CF292" i="10"/>
  <c r="CF294" i="10"/>
  <c r="CF296" i="10"/>
  <c r="CF298" i="10"/>
  <c r="CF300" i="10"/>
  <c r="CF302" i="10"/>
  <c r="CF304" i="10"/>
  <c r="CF306" i="10"/>
  <c r="CF308" i="10"/>
  <c r="CF233" i="10"/>
  <c r="CE235" i="10"/>
  <c r="CE237" i="10"/>
  <c r="CE239" i="10"/>
  <c r="CE241" i="10"/>
  <c r="CE243" i="10"/>
  <c r="CE245" i="10"/>
  <c r="CE247" i="10"/>
  <c r="CE249" i="10"/>
  <c r="CE251" i="10"/>
  <c r="CE253" i="10"/>
  <c r="CE255" i="10"/>
  <c r="CE257" i="10"/>
  <c r="CE259" i="10"/>
  <c r="CE261" i="10"/>
  <c r="CE263" i="10"/>
  <c r="CE265" i="10"/>
  <c r="CE267" i="10"/>
  <c r="CE269" i="10"/>
  <c r="CE271" i="10"/>
  <c r="CE273" i="10"/>
  <c r="CE275" i="10"/>
  <c r="CE277" i="10"/>
  <c r="CE279" i="10"/>
  <c r="CE281" i="10"/>
  <c r="CE283" i="10"/>
  <c r="CE285" i="10"/>
  <c r="CE287" i="10"/>
  <c r="CE289" i="10"/>
  <c r="CE291" i="10"/>
  <c r="CE293" i="10"/>
  <c r="CE295" i="10"/>
  <c r="CE297" i="10"/>
  <c r="CE299" i="10"/>
  <c r="CE301" i="10"/>
  <c r="CE303" i="10"/>
  <c r="CE305" i="10"/>
  <c r="CE307" i="10"/>
  <c r="CE309" i="10"/>
  <c r="CE311" i="10"/>
  <c r="CE313" i="10"/>
  <c r="CE315" i="10"/>
  <c r="CE317" i="10"/>
  <c r="CE226" i="10"/>
  <c r="CF231" i="10"/>
  <c r="CF235" i="10"/>
  <c r="CF237" i="10"/>
  <c r="CF239" i="10"/>
  <c r="CF241" i="10"/>
  <c r="CF243" i="10"/>
  <c r="CF245" i="10"/>
  <c r="CF247" i="10"/>
  <c r="CF249" i="10"/>
  <c r="CF251" i="10"/>
  <c r="CF253" i="10"/>
  <c r="CF255" i="10"/>
  <c r="CF257" i="10"/>
  <c r="CF259" i="10"/>
  <c r="CF261" i="10"/>
  <c r="CF263" i="10"/>
  <c r="CF265" i="10"/>
  <c r="CF267" i="10"/>
  <c r="CF269" i="10"/>
  <c r="CF271" i="10"/>
  <c r="CF273" i="10"/>
  <c r="CF275" i="10"/>
  <c r="CF277" i="10"/>
  <c r="CF279" i="10"/>
  <c r="CF281" i="10"/>
  <c r="CF283" i="10"/>
  <c r="CF285" i="10"/>
  <c r="CF287" i="10"/>
  <c r="CF289" i="10"/>
  <c r="CF291" i="10"/>
  <c r="CF293" i="10"/>
  <c r="CF295" i="10"/>
  <c r="CF297" i="10"/>
  <c r="CF299" i="10"/>
  <c r="CF301" i="10"/>
  <c r="CF303" i="10"/>
  <c r="CF305" i="10"/>
  <c r="CF307" i="10"/>
  <c r="CF309" i="10"/>
  <c r="CF311" i="10"/>
  <c r="CF313" i="10"/>
  <c r="CF315" i="10"/>
  <c r="CF317" i="10"/>
  <c r="CF319" i="10"/>
  <c r="CF321" i="10"/>
  <c r="CF323" i="10"/>
  <c r="CF229" i="10"/>
  <c r="CE236" i="10"/>
  <c r="CE238" i="10"/>
  <c r="CE240" i="10"/>
  <c r="CE242" i="10"/>
  <c r="CE244" i="10"/>
  <c r="CE246" i="10"/>
  <c r="CE248" i="10"/>
  <c r="CE250" i="10"/>
  <c r="CE252" i="10"/>
  <c r="CE254" i="10"/>
  <c r="CE256" i="10"/>
  <c r="CE258" i="10"/>
  <c r="CE260" i="10"/>
  <c r="CE262" i="10"/>
  <c r="CE264" i="10"/>
  <c r="CE266" i="10"/>
  <c r="CE268" i="10"/>
  <c r="CE300" i="10"/>
  <c r="CE310" i="10"/>
  <c r="CE318" i="10"/>
  <c r="CF326" i="10"/>
  <c r="CE321" i="10"/>
  <c r="CE327" i="10"/>
  <c r="CE274" i="10"/>
  <c r="CE282" i="10"/>
  <c r="CE290" i="10"/>
  <c r="CE298" i="10"/>
  <c r="CE306" i="10"/>
  <c r="CF310" i="10"/>
  <c r="CF314" i="10"/>
  <c r="CF318" i="10"/>
  <c r="CE325" i="10"/>
  <c r="CE272" i="10"/>
  <c r="CE280" i="10"/>
  <c r="CE288" i="10"/>
  <c r="CE296" i="10"/>
  <c r="CE304" i="10"/>
  <c r="CE312" i="10"/>
  <c r="CE316" i="10"/>
  <c r="CE320" i="10"/>
  <c r="CE323" i="10"/>
  <c r="CF325" i="10"/>
  <c r="CF327" i="10"/>
  <c r="CE292" i="10"/>
  <c r="CE314" i="10"/>
  <c r="CF322" i="10"/>
  <c r="CF324" i="10"/>
  <c r="CF328" i="10"/>
  <c r="CE270" i="10"/>
  <c r="CE278" i="10"/>
  <c r="CE286" i="10"/>
  <c r="CE294" i="10"/>
  <c r="CE302" i="10"/>
  <c r="CF312" i="10"/>
  <c r="CF316" i="10"/>
  <c r="CF320" i="10"/>
  <c r="CE322" i="10"/>
  <c r="CE324" i="10"/>
  <c r="CE326" i="10"/>
  <c r="CE328" i="10"/>
  <c r="CE276" i="10"/>
  <c r="CE284" i="10"/>
  <c r="CE308" i="10"/>
  <c r="CE319" i="10"/>
  <c r="CZ4" i="10"/>
  <c r="CZ11" i="10"/>
  <c r="CZ15" i="10"/>
  <c r="DA11" i="10"/>
  <c r="DA15" i="10"/>
  <c r="DA14" i="10"/>
  <c r="CZ17" i="10"/>
  <c r="CZ19" i="10"/>
  <c r="CZ21" i="10"/>
  <c r="CZ23" i="10"/>
  <c r="CZ25" i="10"/>
  <c r="CZ27" i="10"/>
  <c r="CZ29" i="10"/>
  <c r="CZ31" i="10"/>
  <c r="CZ33" i="10"/>
  <c r="CZ16" i="10"/>
  <c r="CZ18" i="10"/>
  <c r="CZ20" i="10"/>
  <c r="CZ22" i="10"/>
  <c r="CZ24" i="10"/>
  <c r="DA16" i="10"/>
  <c r="DA20" i="10"/>
  <c r="DA24" i="10"/>
  <c r="DA28" i="10"/>
  <c r="CZ30" i="10"/>
  <c r="DA33" i="10"/>
  <c r="DA34" i="10"/>
  <c r="DA36" i="10"/>
  <c r="DA38" i="10"/>
  <c r="DA40" i="10"/>
  <c r="DA42" i="10"/>
  <c r="CZ13" i="10"/>
  <c r="DA19" i="10"/>
  <c r="DA23" i="10"/>
  <c r="DA27" i="10"/>
  <c r="DA30" i="10"/>
  <c r="CZ32" i="10"/>
  <c r="CZ35" i="10"/>
  <c r="CZ37" i="10"/>
  <c r="CZ39" i="10"/>
  <c r="CZ41" i="10"/>
  <c r="CZ43" i="10"/>
  <c r="CZ8" i="10"/>
  <c r="CZ14" i="10"/>
  <c r="DA18" i="10"/>
  <c r="DA22" i="10"/>
  <c r="CZ12" i="10"/>
  <c r="CZ28" i="10"/>
  <c r="CZ36" i="10"/>
  <c r="CZ40" i="10"/>
  <c r="DA25" i="10"/>
  <c r="CZ26" i="10"/>
  <c r="DA32" i="10"/>
  <c r="DA35" i="10"/>
  <c r="DA39" i="10"/>
  <c r="DA45" i="10"/>
  <c r="DA47" i="10"/>
  <c r="DA49" i="10"/>
  <c r="DA51" i="10"/>
  <c r="DA53" i="10"/>
  <c r="DA55" i="10"/>
  <c r="DA21" i="10"/>
  <c r="DA26" i="10"/>
  <c r="DA31" i="10"/>
  <c r="CZ34" i="10"/>
  <c r="CZ38" i="10"/>
  <c r="CZ42" i="10"/>
  <c r="DA43" i="10"/>
  <c r="CZ44" i="10"/>
  <c r="CZ46" i="10"/>
  <c r="CZ48" i="10"/>
  <c r="CZ50" i="10"/>
  <c r="CZ52" i="10"/>
  <c r="CZ54" i="10"/>
  <c r="CZ56" i="10"/>
  <c r="DA17" i="10"/>
  <c r="DA37" i="10"/>
  <c r="DA46" i="10"/>
  <c r="DA50" i="10"/>
  <c r="DA54" i="10"/>
  <c r="CZ58" i="10"/>
  <c r="CZ60" i="10"/>
  <c r="CZ62" i="10"/>
  <c r="CZ64" i="10"/>
  <c r="CZ66" i="10"/>
  <c r="CZ68" i="10"/>
  <c r="CZ70" i="10"/>
  <c r="CZ72" i="10"/>
  <c r="CZ74" i="10"/>
  <c r="CZ76" i="10"/>
  <c r="CZ78" i="10"/>
  <c r="CZ80" i="10"/>
  <c r="CZ82" i="10"/>
  <c r="CZ84" i="10"/>
  <c r="CZ86" i="10"/>
  <c r="CZ88" i="10"/>
  <c r="CZ90" i="10"/>
  <c r="CZ45" i="10"/>
  <c r="CZ49" i="10"/>
  <c r="CZ53" i="10"/>
  <c r="DA58" i="10"/>
  <c r="DA60" i="10"/>
  <c r="DA62" i="10"/>
  <c r="DA64" i="10"/>
  <c r="DA66" i="10"/>
  <c r="DA68" i="10"/>
  <c r="DA70" i="10"/>
  <c r="DA72" i="10"/>
  <c r="DA74" i="10"/>
  <c r="DA76" i="10"/>
  <c r="DA78" i="10"/>
  <c r="DA80" i="10"/>
  <c r="DA82" i="10"/>
  <c r="DA84" i="10"/>
  <c r="DA86" i="10"/>
  <c r="DA88" i="10"/>
  <c r="DA90" i="10"/>
  <c r="DA92" i="10"/>
  <c r="DA29" i="10"/>
  <c r="DA44" i="10"/>
  <c r="DA48" i="10"/>
  <c r="DA52" i="10"/>
  <c r="DA56" i="10"/>
  <c r="CZ57" i="10"/>
  <c r="CZ59" i="10"/>
  <c r="CZ61" i="10"/>
  <c r="CZ63" i="10"/>
  <c r="CZ65" i="10"/>
  <c r="CZ67" i="10"/>
  <c r="CZ69" i="10"/>
  <c r="CZ71" i="10"/>
  <c r="CZ73" i="10"/>
  <c r="CZ75" i="10"/>
  <c r="CZ77" i="10"/>
  <c r="CZ79" i="10"/>
  <c r="CZ81" i="10"/>
  <c r="DA57" i="10"/>
  <c r="DA65" i="10"/>
  <c r="DA73" i="10"/>
  <c r="DA81" i="10"/>
  <c r="DA83" i="10"/>
  <c r="DA87" i="10"/>
  <c r="CZ91" i="10"/>
  <c r="DA93" i="10"/>
  <c r="DA95" i="10"/>
  <c r="DA97" i="10"/>
  <c r="DA99" i="10"/>
  <c r="DA101" i="10"/>
  <c r="DA103" i="10"/>
  <c r="DA105" i="10"/>
  <c r="DA107" i="10"/>
  <c r="DA109" i="10"/>
  <c r="DA111" i="10"/>
  <c r="DA113" i="10"/>
  <c r="DA115" i="10"/>
  <c r="DA117" i="10"/>
  <c r="DA119" i="10"/>
  <c r="DA121" i="10"/>
  <c r="DA123" i="10"/>
  <c r="CZ55" i="10"/>
  <c r="DA63" i="10"/>
  <c r="DA71" i="10"/>
  <c r="DA79" i="10"/>
  <c r="CZ85" i="10"/>
  <c r="CZ89" i="10"/>
  <c r="DA91" i="10"/>
  <c r="CZ94" i="10"/>
  <c r="CZ96" i="10"/>
  <c r="CZ98" i="10"/>
  <c r="CZ100" i="10"/>
  <c r="CZ102" i="10"/>
  <c r="CZ104" i="10"/>
  <c r="CZ106" i="10"/>
  <c r="CZ108" i="10"/>
  <c r="CZ110" i="10"/>
  <c r="CZ112" i="10"/>
  <c r="CZ114" i="10"/>
  <c r="CZ116" i="10"/>
  <c r="CZ118" i="10"/>
  <c r="CZ120" i="10"/>
  <c r="CZ122" i="10"/>
  <c r="CZ51" i="10"/>
  <c r="DA61" i="10"/>
  <c r="DA69" i="10"/>
  <c r="DA77" i="10"/>
  <c r="DA85" i="10"/>
  <c r="DA89" i="10"/>
  <c r="DA67" i="10"/>
  <c r="CZ95" i="10"/>
  <c r="CZ99" i="10"/>
  <c r="CZ103" i="10"/>
  <c r="CZ107" i="10"/>
  <c r="CZ111" i="10"/>
  <c r="CZ115" i="10"/>
  <c r="CZ119" i="10"/>
  <c r="CZ123" i="10"/>
  <c r="CZ125" i="10"/>
  <c r="CZ127" i="10"/>
  <c r="CZ129" i="10"/>
  <c r="CZ131" i="10"/>
  <c r="CZ133" i="10"/>
  <c r="CZ135" i="10"/>
  <c r="CZ137" i="10"/>
  <c r="CZ139" i="10"/>
  <c r="CZ141" i="10"/>
  <c r="CZ143" i="10"/>
  <c r="CZ145" i="10"/>
  <c r="CZ147" i="10"/>
  <c r="CZ149" i="10"/>
  <c r="CZ151" i="10"/>
  <c r="CZ153" i="10"/>
  <c r="CZ155" i="10"/>
  <c r="CZ157" i="10"/>
  <c r="CZ159" i="10"/>
  <c r="CZ161" i="10"/>
  <c r="CZ163" i="10"/>
  <c r="CZ165" i="10"/>
  <c r="CZ167" i="10"/>
  <c r="CZ169" i="10"/>
  <c r="CZ171" i="10"/>
  <c r="CZ173" i="10"/>
  <c r="CZ175" i="10"/>
  <c r="CZ177" i="10"/>
  <c r="CZ179" i="10"/>
  <c r="CZ181" i="10"/>
  <c r="CZ183" i="10"/>
  <c r="CZ185" i="10"/>
  <c r="DA59" i="10"/>
  <c r="DA94" i="10"/>
  <c r="DA98" i="10"/>
  <c r="DA102" i="10"/>
  <c r="DA106" i="10"/>
  <c r="DA110" i="10"/>
  <c r="DA114" i="10"/>
  <c r="DA118" i="10"/>
  <c r="DA122" i="10"/>
  <c r="DA125" i="10"/>
  <c r="DA127" i="10"/>
  <c r="DA129" i="10"/>
  <c r="DA131" i="10"/>
  <c r="DA133" i="10"/>
  <c r="DA135" i="10"/>
  <c r="DA137" i="10"/>
  <c r="DA139" i="10"/>
  <c r="DA141" i="10"/>
  <c r="DA143" i="10"/>
  <c r="DA145" i="10"/>
  <c r="DA147" i="10"/>
  <c r="DA149" i="10"/>
  <c r="DA151" i="10"/>
  <c r="DA153" i="10"/>
  <c r="DA155" i="10"/>
  <c r="DA157" i="10"/>
  <c r="DA159" i="10"/>
  <c r="DA161" i="10"/>
  <c r="DA163" i="10"/>
  <c r="DA165" i="10"/>
  <c r="DA167" i="10"/>
  <c r="DA169" i="10"/>
  <c r="DA171" i="10"/>
  <c r="DA173" i="10"/>
  <c r="DA175" i="10"/>
  <c r="DA177" i="10"/>
  <c r="DA179" i="10"/>
  <c r="DA181" i="10"/>
  <c r="DA183" i="10"/>
  <c r="DA185" i="10"/>
  <c r="DA187" i="10"/>
  <c r="DA189" i="10"/>
  <c r="DA191" i="10"/>
  <c r="DA193" i="10"/>
  <c r="DA195" i="10"/>
  <c r="CZ87" i="10"/>
  <c r="CZ92" i="10"/>
  <c r="CZ93" i="10"/>
  <c r="CZ97" i="10"/>
  <c r="CZ101" i="10"/>
  <c r="CZ105" i="10"/>
  <c r="CZ109" i="10"/>
  <c r="CZ113" i="10"/>
  <c r="DA41" i="10"/>
  <c r="DA75" i="10"/>
  <c r="CZ83" i="10"/>
  <c r="DA100" i="10"/>
  <c r="CZ121" i="10"/>
  <c r="CZ124" i="10"/>
  <c r="CZ128" i="10"/>
  <c r="CZ132" i="10"/>
  <c r="CZ136" i="10"/>
  <c r="CZ140" i="10"/>
  <c r="CZ144" i="10"/>
  <c r="CZ148" i="10"/>
  <c r="CZ152" i="10"/>
  <c r="CZ156" i="10"/>
  <c r="CZ160" i="10"/>
  <c r="CZ164" i="10"/>
  <c r="CZ168" i="10"/>
  <c r="CZ172" i="10"/>
  <c r="CZ176" i="10"/>
  <c r="CZ180" i="10"/>
  <c r="CZ184" i="10"/>
  <c r="DA188" i="10"/>
  <c r="CZ190" i="10"/>
  <c r="CZ193" i="10"/>
  <c r="DA197" i="10"/>
  <c r="DA199" i="10"/>
  <c r="DA201" i="10"/>
  <c r="DA203" i="10"/>
  <c r="DA205" i="10"/>
  <c r="DA207" i="10"/>
  <c r="DA209" i="10"/>
  <c r="DA211" i="10"/>
  <c r="DA213" i="10"/>
  <c r="DA215" i="10"/>
  <c r="DA217" i="10"/>
  <c r="DA219" i="10"/>
  <c r="DA221" i="10"/>
  <c r="DA223" i="10"/>
  <c r="DA225" i="10"/>
  <c r="DA227" i="10"/>
  <c r="CZ47" i="10"/>
  <c r="DA96" i="10"/>
  <c r="DA112" i="10"/>
  <c r="DA120" i="10"/>
  <c r="DA124" i="10"/>
  <c r="DA128" i="10"/>
  <c r="DA132" i="10"/>
  <c r="DA136" i="10"/>
  <c r="DA140" i="10"/>
  <c r="DA144" i="10"/>
  <c r="DA148" i="10"/>
  <c r="DA152" i="10"/>
  <c r="DA156" i="10"/>
  <c r="DA160" i="10"/>
  <c r="DA164" i="10"/>
  <c r="DA168" i="10"/>
  <c r="DA172" i="10"/>
  <c r="DA176" i="10"/>
  <c r="DA180" i="10"/>
  <c r="DA184" i="10"/>
  <c r="CZ187" i="10"/>
  <c r="DA190" i="10"/>
  <c r="CZ192" i="10"/>
  <c r="CZ195" i="10"/>
  <c r="CZ196" i="10"/>
  <c r="CZ198" i="10"/>
  <c r="CZ200" i="10"/>
  <c r="CZ202" i="10"/>
  <c r="CZ204" i="10"/>
  <c r="CZ206" i="10"/>
  <c r="CZ208" i="10"/>
  <c r="CZ210" i="10"/>
  <c r="CZ212" i="10"/>
  <c r="CZ214" i="10"/>
  <c r="CZ216" i="10"/>
  <c r="CZ218" i="10"/>
  <c r="CZ220" i="10"/>
  <c r="CZ222" i="10"/>
  <c r="CZ224" i="10"/>
  <c r="CZ226" i="10"/>
  <c r="CZ228" i="10"/>
  <c r="DA108" i="10"/>
  <c r="CZ117" i="10"/>
  <c r="CZ126" i="10"/>
  <c r="CZ130" i="10"/>
  <c r="CZ134" i="10"/>
  <c r="CZ138" i="10"/>
  <c r="CZ142" i="10"/>
  <c r="CZ146" i="10"/>
  <c r="CZ150" i="10"/>
  <c r="CZ154" i="10"/>
  <c r="CZ158" i="10"/>
  <c r="CZ162" i="10"/>
  <c r="CZ166" i="10"/>
  <c r="CZ170" i="10"/>
  <c r="CZ174" i="10"/>
  <c r="CZ178" i="10"/>
  <c r="CZ182" i="10"/>
  <c r="CZ186" i="10"/>
  <c r="CZ189" i="10"/>
  <c r="DA192" i="10"/>
  <c r="CZ194" i="10"/>
  <c r="DA196" i="10"/>
  <c r="DA104" i="10"/>
  <c r="DA126" i="10"/>
  <c r="DA142" i="10"/>
  <c r="DA158" i="10"/>
  <c r="DA174" i="10"/>
  <c r="CZ191" i="10"/>
  <c r="DA116" i="10"/>
  <c r="DA138" i="10"/>
  <c r="DA154" i="10"/>
  <c r="DA170" i="10"/>
  <c r="DA186" i="10"/>
  <c r="DA194" i="10"/>
  <c r="DA134" i="10"/>
  <c r="DA150" i="10"/>
  <c r="DA166" i="10"/>
  <c r="DA182" i="10"/>
  <c r="DA130" i="10"/>
  <c r="DA146" i="10"/>
  <c r="DA162" i="10"/>
  <c r="DA178" i="10"/>
  <c r="CZ188" i="10"/>
  <c r="CZ199" i="10"/>
  <c r="CZ203" i="10"/>
  <c r="CZ207" i="10"/>
  <c r="CZ211" i="10"/>
  <c r="CZ215" i="10"/>
  <c r="CZ219" i="10"/>
  <c r="CZ223" i="10"/>
  <c r="CZ227" i="10"/>
  <c r="DA229" i="10"/>
  <c r="DA231" i="10"/>
  <c r="DA233" i="10"/>
  <c r="DA198" i="10"/>
  <c r="DA202" i="10"/>
  <c r="DA206" i="10"/>
  <c r="DA210" i="10"/>
  <c r="DA214" i="10"/>
  <c r="DA218" i="10"/>
  <c r="DA222" i="10"/>
  <c r="DA226" i="10"/>
  <c r="CZ230" i="10"/>
  <c r="CZ232" i="10"/>
  <c r="CZ234" i="10"/>
  <c r="CZ201" i="10"/>
  <c r="CZ205" i="10"/>
  <c r="CZ209" i="10"/>
  <c r="CZ213" i="10"/>
  <c r="CZ217" i="10"/>
  <c r="CZ221" i="10"/>
  <c r="CZ197" i="10"/>
  <c r="DA200" i="10"/>
  <c r="DA204" i="10"/>
  <c r="DA208" i="10"/>
  <c r="DA212" i="10"/>
  <c r="DA216" i="10"/>
  <c r="DA220" i="10"/>
  <c r="DA224" i="10"/>
  <c r="DA228" i="10"/>
  <c r="CZ229" i="10"/>
  <c r="CZ231" i="10"/>
  <c r="CZ233" i="10"/>
  <c r="CZ225" i="10"/>
  <c r="DA235" i="10"/>
  <c r="DA237" i="10"/>
  <c r="DA239" i="10"/>
  <c r="DA241" i="10"/>
  <c r="DA243" i="10"/>
  <c r="DA245" i="10"/>
  <c r="DA247" i="10"/>
  <c r="DA249" i="10"/>
  <c r="DA251" i="10"/>
  <c r="DA253" i="10"/>
  <c r="DA255" i="10"/>
  <c r="DA257" i="10"/>
  <c r="DA259" i="10"/>
  <c r="DA261" i="10"/>
  <c r="DA263" i="10"/>
  <c r="DA265" i="10"/>
  <c r="DA267" i="10"/>
  <c r="DA269" i="10"/>
  <c r="DA271" i="10"/>
  <c r="DA273" i="10"/>
  <c r="DA275" i="10"/>
  <c r="DA277" i="10"/>
  <c r="DA279" i="10"/>
  <c r="DA281" i="10"/>
  <c r="DA283" i="10"/>
  <c r="DA285" i="10"/>
  <c r="DA287" i="10"/>
  <c r="DA289" i="10"/>
  <c r="DA291" i="10"/>
  <c r="DA293" i="10"/>
  <c r="DA295" i="10"/>
  <c r="DA297" i="10"/>
  <c r="DA299" i="10"/>
  <c r="DA301" i="10"/>
  <c r="DA303" i="10"/>
  <c r="DA305" i="10"/>
  <c r="DA307" i="10"/>
  <c r="DA232" i="10"/>
  <c r="DA234" i="10"/>
  <c r="CZ236" i="10"/>
  <c r="CZ238" i="10"/>
  <c r="CZ240" i="10"/>
  <c r="CZ242" i="10"/>
  <c r="CZ244" i="10"/>
  <c r="CZ246" i="10"/>
  <c r="CZ248" i="10"/>
  <c r="CZ250" i="10"/>
  <c r="CZ252" i="10"/>
  <c r="CZ254" i="10"/>
  <c r="CZ256" i="10"/>
  <c r="CZ258" i="10"/>
  <c r="CZ260" i="10"/>
  <c r="CZ262" i="10"/>
  <c r="CZ264" i="10"/>
  <c r="CZ266" i="10"/>
  <c r="CZ268" i="10"/>
  <c r="CZ270" i="10"/>
  <c r="CZ272" i="10"/>
  <c r="CZ274" i="10"/>
  <c r="CZ276" i="10"/>
  <c r="CZ278" i="10"/>
  <c r="CZ280" i="10"/>
  <c r="CZ282" i="10"/>
  <c r="CZ284" i="10"/>
  <c r="CZ286" i="10"/>
  <c r="CZ288" i="10"/>
  <c r="CZ290" i="10"/>
  <c r="CZ292" i="10"/>
  <c r="CZ294" i="10"/>
  <c r="CZ296" i="10"/>
  <c r="CZ298" i="10"/>
  <c r="CZ300" i="10"/>
  <c r="CZ302" i="10"/>
  <c r="CZ304" i="10"/>
  <c r="CZ306" i="10"/>
  <c r="CZ308" i="10"/>
  <c r="CZ310" i="10"/>
  <c r="CZ312" i="10"/>
  <c r="CZ314" i="10"/>
  <c r="CZ316" i="10"/>
  <c r="CZ318" i="10"/>
  <c r="DA230" i="10"/>
  <c r="DA236" i="10"/>
  <c r="DA238" i="10"/>
  <c r="DA240" i="10"/>
  <c r="DA242" i="10"/>
  <c r="DA244" i="10"/>
  <c r="DA246" i="10"/>
  <c r="DA248" i="10"/>
  <c r="DA250" i="10"/>
  <c r="DA252" i="10"/>
  <c r="DA254" i="10"/>
  <c r="DA256" i="10"/>
  <c r="DA258" i="10"/>
  <c r="DA260" i="10"/>
  <c r="DA262" i="10"/>
  <c r="DA264" i="10"/>
  <c r="DA266" i="10"/>
  <c r="DA268" i="10"/>
  <c r="DA270" i="10"/>
  <c r="DA272" i="10"/>
  <c r="DA274" i="10"/>
  <c r="DA276" i="10"/>
  <c r="DA278" i="10"/>
  <c r="DA280" i="10"/>
  <c r="DA282" i="10"/>
  <c r="DA284" i="10"/>
  <c r="DA286" i="10"/>
  <c r="DA288" i="10"/>
  <c r="DA290" i="10"/>
  <c r="DA292" i="10"/>
  <c r="DA294" i="10"/>
  <c r="DA296" i="10"/>
  <c r="DA298" i="10"/>
  <c r="DA300" i="10"/>
  <c r="DA302" i="10"/>
  <c r="DA304" i="10"/>
  <c r="DA306" i="10"/>
  <c r="DA308" i="10"/>
  <c r="DA310" i="10"/>
  <c r="DA312" i="10"/>
  <c r="DA314" i="10"/>
  <c r="DA316" i="10"/>
  <c r="DA318" i="10"/>
  <c r="DA320" i="10"/>
  <c r="DA322" i="10"/>
  <c r="CZ235" i="10"/>
  <c r="CZ237" i="10"/>
  <c r="CZ239" i="10"/>
  <c r="CZ241" i="10"/>
  <c r="CZ243" i="10"/>
  <c r="CZ245" i="10"/>
  <c r="CZ247" i="10"/>
  <c r="CZ249" i="10"/>
  <c r="CZ251" i="10"/>
  <c r="CZ253" i="10"/>
  <c r="CZ255" i="10"/>
  <c r="CZ257" i="10"/>
  <c r="CZ259" i="10"/>
  <c r="CZ261" i="10"/>
  <c r="CZ263" i="10"/>
  <c r="CZ265" i="10"/>
  <c r="CZ267" i="10"/>
  <c r="CZ269" i="10"/>
  <c r="CZ283" i="10"/>
  <c r="CZ291" i="10"/>
  <c r="DA321" i="10"/>
  <c r="DA325" i="10"/>
  <c r="DA323" i="10"/>
  <c r="CZ324" i="10"/>
  <c r="CZ273" i="10"/>
  <c r="CZ281" i="10"/>
  <c r="CZ289" i="10"/>
  <c r="CZ297" i="10"/>
  <c r="CZ305" i="10"/>
  <c r="DA309" i="10"/>
  <c r="DA313" i="10"/>
  <c r="DA317" i="10"/>
  <c r="CZ320" i="10"/>
  <c r="CZ326" i="10"/>
  <c r="CZ328" i="10"/>
  <c r="CZ271" i="10"/>
  <c r="CZ279" i="10"/>
  <c r="CZ287" i="10"/>
  <c r="CZ295" i="10"/>
  <c r="CZ303" i="10"/>
  <c r="CZ311" i="10"/>
  <c r="CZ315" i="10"/>
  <c r="CZ319" i="10"/>
  <c r="CZ322" i="10"/>
  <c r="DA324" i="10"/>
  <c r="DA326" i="10"/>
  <c r="DA328" i="10"/>
  <c r="CZ275" i="10"/>
  <c r="CZ299" i="10"/>
  <c r="CZ307" i="10"/>
  <c r="CZ309" i="10"/>
  <c r="CZ313" i="10"/>
  <c r="CZ323" i="10"/>
  <c r="DA327" i="10"/>
  <c r="CZ277" i="10"/>
  <c r="CZ285" i="10"/>
  <c r="CZ293" i="10"/>
  <c r="CZ301" i="10"/>
  <c r="DA311" i="10"/>
  <c r="DA315" i="10"/>
  <c r="DA319" i="10"/>
  <c r="CZ321" i="10"/>
  <c r="CZ325" i="10"/>
  <c r="CZ327" i="10"/>
  <c r="CZ317" i="10"/>
  <c r="CN8" i="10"/>
  <c r="CN11" i="10"/>
  <c r="CN12" i="10"/>
  <c r="CN13" i="10"/>
  <c r="CN15" i="10"/>
  <c r="CO11" i="10"/>
  <c r="CO15" i="10"/>
  <c r="CO14" i="10"/>
  <c r="CN17" i="10"/>
  <c r="CN19" i="10"/>
  <c r="CN21" i="10"/>
  <c r="CN23" i="10"/>
  <c r="CN25" i="10"/>
  <c r="CN27" i="10"/>
  <c r="CN29" i="10"/>
  <c r="CN31" i="10"/>
  <c r="CN33" i="10"/>
  <c r="CN16" i="10"/>
  <c r="CN18" i="10"/>
  <c r="CN20" i="10"/>
  <c r="CN22" i="10"/>
  <c r="CN24" i="10"/>
  <c r="CN14" i="10"/>
  <c r="CO16" i="10"/>
  <c r="CO20" i="10"/>
  <c r="CO24" i="10"/>
  <c r="CN26" i="10"/>
  <c r="CO29" i="10"/>
  <c r="CO32" i="10"/>
  <c r="CO34" i="10"/>
  <c r="CO36" i="10"/>
  <c r="CO38" i="10"/>
  <c r="CO40" i="10"/>
  <c r="CO42" i="10"/>
  <c r="CO19" i="10"/>
  <c r="CO23" i="10"/>
  <c r="CO26" i="10"/>
  <c r="CN28" i="10"/>
  <c r="CO31" i="10"/>
  <c r="CN35" i="10"/>
  <c r="CN37" i="10"/>
  <c r="CN39" i="10"/>
  <c r="CN41" i="10"/>
  <c r="CN43" i="10"/>
  <c r="CO18" i="10"/>
  <c r="CO22" i="10"/>
  <c r="CO25" i="10"/>
  <c r="CO30" i="10"/>
  <c r="CN36" i="10"/>
  <c r="CN40" i="10"/>
  <c r="CO43" i="10"/>
  <c r="CO21" i="10"/>
  <c r="CO28" i="10"/>
  <c r="CO33" i="10"/>
  <c r="CO35" i="10"/>
  <c r="CO39" i="10"/>
  <c r="CO45" i="10"/>
  <c r="CO47" i="10"/>
  <c r="CO49" i="10"/>
  <c r="CO51" i="10"/>
  <c r="CO53" i="10"/>
  <c r="CO55" i="10"/>
  <c r="CO17" i="10"/>
  <c r="CO27" i="10"/>
  <c r="CN32" i="10"/>
  <c r="CN34" i="10"/>
  <c r="CN38" i="10"/>
  <c r="CN42" i="10"/>
  <c r="CN44" i="10"/>
  <c r="CN46" i="10"/>
  <c r="CN48" i="10"/>
  <c r="CN50" i="10"/>
  <c r="CN52" i="10"/>
  <c r="CN54" i="10"/>
  <c r="CN56" i="10"/>
  <c r="CN30" i="10"/>
  <c r="CO46" i="10"/>
  <c r="CO50" i="10"/>
  <c r="CO54" i="10"/>
  <c r="CN58" i="10"/>
  <c r="CN60" i="10"/>
  <c r="CN62" i="10"/>
  <c r="CN64" i="10"/>
  <c r="CN66" i="10"/>
  <c r="CN68" i="10"/>
  <c r="CN70" i="10"/>
  <c r="CN72" i="10"/>
  <c r="CN74" i="10"/>
  <c r="CN76" i="10"/>
  <c r="CN78" i="10"/>
  <c r="CN80" i="10"/>
  <c r="CN82" i="10"/>
  <c r="CN84" i="10"/>
  <c r="CN86" i="10"/>
  <c r="CN88" i="10"/>
  <c r="CN90" i="10"/>
  <c r="CN45" i="10"/>
  <c r="CN49" i="10"/>
  <c r="CN53" i="10"/>
  <c r="CO58" i="10"/>
  <c r="CO60" i="10"/>
  <c r="CO62" i="10"/>
  <c r="CO64" i="10"/>
  <c r="CO66" i="10"/>
  <c r="CO68" i="10"/>
  <c r="CO70" i="10"/>
  <c r="CO72" i="10"/>
  <c r="CO74" i="10"/>
  <c r="CO76" i="10"/>
  <c r="CO78" i="10"/>
  <c r="CO80" i="10"/>
  <c r="CO82" i="10"/>
  <c r="CO84" i="10"/>
  <c r="CO86" i="10"/>
  <c r="CO88" i="10"/>
  <c r="CO90" i="10"/>
  <c r="CO92" i="10"/>
  <c r="CO41" i="10"/>
  <c r="CO44" i="10"/>
  <c r="CO48" i="10"/>
  <c r="CO52" i="10"/>
  <c r="CO56" i="10"/>
  <c r="CN57" i="10"/>
  <c r="CN59" i="10"/>
  <c r="CN61" i="10"/>
  <c r="CN63" i="10"/>
  <c r="CN65" i="10"/>
  <c r="CN67" i="10"/>
  <c r="CN69" i="10"/>
  <c r="CN71" i="10"/>
  <c r="CN73" i="10"/>
  <c r="CN75" i="10"/>
  <c r="CN77" i="10"/>
  <c r="CN79" i="10"/>
  <c r="CN81" i="10"/>
  <c r="CN55" i="10"/>
  <c r="CO61" i="10"/>
  <c r="CO69" i="10"/>
  <c r="CO77" i="10"/>
  <c r="CO83" i="10"/>
  <c r="CO87" i="10"/>
  <c r="CO91" i="10"/>
  <c r="CO93" i="10"/>
  <c r="CO95" i="10"/>
  <c r="CO97" i="10"/>
  <c r="CO99" i="10"/>
  <c r="CO101" i="10"/>
  <c r="CO103" i="10"/>
  <c r="CO105" i="10"/>
  <c r="CO107" i="10"/>
  <c r="CO109" i="10"/>
  <c r="CO111" i="10"/>
  <c r="CO113" i="10"/>
  <c r="CO115" i="10"/>
  <c r="CO117" i="10"/>
  <c r="CO119" i="10"/>
  <c r="CO121" i="10"/>
  <c r="CO123" i="10"/>
  <c r="CN51" i="10"/>
  <c r="CO59" i="10"/>
  <c r="CO67" i="10"/>
  <c r="CO75" i="10"/>
  <c r="CN85" i="10"/>
  <c r="CN89" i="10"/>
  <c r="CN92" i="10"/>
  <c r="CN94" i="10"/>
  <c r="CN96" i="10"/>
  <c r="CN98" i="10"/>
  <c r="CN100" i="10"/>
  <c r="CN102" i="10"/>
  <c r="CN104" i="10"/>
  <c r="CN106" i="10"/>
  <c r="CN108" i="10"/>
  <c r="CN110" i="10"/>
  <c r="CN112" i="10"/>
  <c r="CN114" i="10"/>
  <c r="CN116" i="10"/>
  <c r="CN118" i="10"/>
  <c r="CN120" i="10"/>
  <c r="CN122" i="10"/>
  <c r="CN124" i="10"/>
  <c r="CN47" i="10"/>
  <c r="CO57" i="10"/>
  <c r="CO65" i="10"/>
  <c r="CO73" i="10"/>
  <c r="CO81" i="10"/>
  <c r="CO85" i="10"/>
  <c r="CO89" i="10"/>
  <c r="CO63" i="10"/>
  <c r="CN91" i="10"/>
  <c r="CN95" i="10"/>
  <c r="CN99" i="10"/>
  <c r="CN103" i="10"/>
  <c r="CN107" i="10"/>
  <c r="CN111" i="10"/>
  <c r="CN115" i="10"/>
  <c r="CN119" i="10"/>
  <c r="CN123" i="10"/>
  <c r="CN125" i="10"/>
  <c r="CN127" i="10"/>
  <c r="CN129" i="10"/>
  <c r="CN131" i="10"/>
  <c r="CN133" i="10"/>
  <c r="CN135" i="10"/>
  <c r="CN137" i="10"/>
  <c r="CN139" i="10"/>
  <c r="CN141" i="10"/>
  <c r="CN143" i="10"/>
  <c r="CN145" i="10"/>
  <c r="CN147" i="10"/>
  <c r="CN149" i="10"/>
  <c r="CN151" i="10"/>
  <c r="CN153" i="10"/>
  <c r="CN155" i="10"/>
  <c r="CN157" i="10"/>
  <c r="CN159" i="10"/>
  <c r="CN161" i="10"/>
  <c r="CN163" i="10"/>
  <c r="CN165" i="10"/>
  <c r="CN167" i="10"/>
  <c r="CN169" i="10"/>
  <c r="CN171" i="10"/>
  <c r="CN173" i="10"/>
  <c r="CN175" i="10"/>
  <c r="CN177" i="10"/>
  <c r="CN179" i="10"/>
  <c r="CN181" i="10"/>
  <c r="CN183" i="10"/>
  <c r="CN185" i="10"/>
  <c r="CN87" i="10"/>
  <c r="CO94" i="10"/>
  <c r="CO98" i="10"/>
  <c r="CO102" i="10"/>
  <c r="CO106" i="10"/>
  <c r="CO110" i="10"/>
  <c r="CO114" i="10"/>
  <c r="CO118" i="10"/>
  <c r="CO122" i="10"/>
  <c r="CO125" i="10"/>
  <c r="CO127" i="10"/>
  <c r="CO129" i="10"/>
  <c r="CO131" i="10"/>
  <c r="CO133" i="10"/>
  <c r="CO135" i="10"/>
  <c r="CO137" i="10"/>
  <c r="CO139" i="10"/>
  <c r="CO141" i="10"/>
  <c r="CO143" i="10"/>
  <c r="CO145" i="10"/>
  <c r="CO147" i="10"/>
  <c r="CO149" i="10"/>
  <c r="CO151" i="10"/>
  <c r="CO153" i="10"/>
  <c r="CO155" i="10"/>
  <c r="CO157" i="10"/>
  <c r="CO159" i="10"/>
  <c r="CO161" i="10"/>
  <c r="CO163" i="10"/>
  <c r="CO165" i="10"/>
  <c r="CO167" i="10"/>
  <c r="CO169" i="10"/>
  <c r="CO171" i="10"/>
  <c r="CO173" i="10"/>
  <c r="CO175" i="10"/>
  <c r="CO177" i="10"/>
  <c r="CO179" i="10"/>
  <c r="CO181" i="10"/>
  <c r="CO183" i="10"/>
  <c r="CO185" i="10"/>
  <c r="CO187" i="10"/>
  <c r="CO189" i="10"/>
  <c r="CO191" i="10"/>
  <c r="CO193" i="10"/>
  <c r="CO195" i="10"/>
  <c r="CO37" i="10"/>
  <c r="CO79" i="10"/>
  <c r="CN83" i="10"/>
  <c r="CN93" i="10"/>
  <c r="CN97" i="10"/>
  <c r="CN101" i="10"/>
  <c r="CN105" i="10"/>
  <c r="CN109" i="10"/>
  <c r="CN113" i="10"/>
  <c r="CO96" i="10"/>
  <c r="CO112" i="10"/>
  <c r="CN117" i="10"/>
  <c r="CN128" i="10"/>
  <c r="CN132" i="10"/>
  <c r="CN136" i="10"/>
  <c r="CN140" i="10"/>
  <c r="CN144" i="10"/>
  <c r="CN148" i="10"/>
  <c r="CN152" i="10"/>
  <c r="CN156" i="10"/>
  <c r="CN160" i="10"/>
  <c r="CN164" i="10"/>
  <c r="CN168" i="10"/>
  <c r="CN172" i="10"/>
  <c r="CN176" i="10"/>
  <c r="CN180" i="10"/>
  <c r="CN184" i="10"/>
  <c r="CN189" i="10"/>
  <c r="CO192" i="10"/>
  <c r="CN194" i="10"/>
  <c r="CO197" i="10"/>
  <c r="CO199" i="10"/>
  <c r="CO201" i="10"/>
  <c r="CO203" i="10"/>
  <c r="CO205" i="10"/>
  <c r="CO207" i="10"/>
  <c r="CO209" i="10"/>
  <c r="CO211" i="10"/>
  <c r="CO213" i="10"/>
  <c r="CO215" i="10"/>
  <c r="CO217" i="10"/>
  <c r="CO219" i="10"/>
  <c r="CO221" i="10"/>
  <c r="CO223" i="10"/>
  <c r="CO225" i="10"/>
  <c r="CO227" i="10"/>
  <c r="CO108" i="10"/>
  <c r="CO116" i="10"/>
  <c r="CO124" i="10"/>
  <c r="CO128" i="10"/>
  <c r="CO132" i="10"/>
  <c r="CO136" i="10"/>
  <c r="CO140" i="10"/>
  <c r="CO144" i="10"/>
  <c r="CO148" i="10"/>
  <c r="CO152" i="10"/>
  <c r="CO156" i="10"/>
  <c r="CO160" i="10"/>
  <c r="CO164" i="10"/>
  <c r="CO168" i="10"/>
  <c r="CO172" i="10"/>
  <c r="CO176" i="10"/>
  <c r="CO180" i="10"/>
  <c r="CO184" i="10"/>
  <c r="CN188" i="10"/>
  <c r="CN191" i="10"/>
  <c r="CO194" i="10"/>
  <c r="CN196" i="10"/>
  <c r="CN198" i="10"/>
  <c r="CN200" i="10"/>
  <c r="CN202" i="10"/>
  <c r="CN204" i="10"/>
  <c r="CN206" i="10"/>
  <c r="CN208" i="10"/>
  <c r="CN210" i="10"/>
  <c r="CN212" i="10"/>
  <c r="CN214" i="10"/>
  <c r="CN216" i="10"/>
  <c r="CN218" i="10"/>
  <c r="CN220" i="10"/>
  <c r="CN222" i="10"/>
  <c r="CN224" i="10"/>
  <c r="CN226" i="10"/>
  <c r="CN228" i="10"/>
  <c r="CO71" i="10"/>
  <c r="CO104" i="10"/>
  <c r="CN121" i="10"/>
  <c r="CN126" i="10"/>
  <c r="CN130" i="10"/>
  <c r="CN134" i="10"/>
  <c r="CN138" i="10"/>
  <c r="CN142" i="10"/>
  <c r="CN146" i="10"/>
  <c r="CN150" i="10"/>
  <c r="CN154" i="10"/>
  <c r="CN158" i="10"/>
  <c r="CN162" i="10"/>
  <c r="CN166" i="10"/>
  <c r="CN170" i="10"/>
  <c r="CN174" i="10"/>
  <c r="CN178" i="10"/>
  <c r="CN182" i="10"/>
  <c r="CN186" i="10"/>
  <c r="CO188" i="10"/>
  <c r="CN190" i="10"/>
  <c r="CN193" i="10"/>
  <c r="CO196" i="10"/>
  <c r="CO100" i="10"/>
  <c r="CO120" i="10"/>
  <c r="CO138" i="10"/>
  <c r="CO154" i="10"/>
  <c r="CO170" i="10"/>
  <c r="CO186" i="10"/>
  <c r="CN187" i="10"/>
  <c r="CN192" i="10"/>
  <c r="CO134" i="10"/>
  <c r="CO150" i="10"/>
  <c r="CO166" i="10"/>
  <c r="CO182" i="10"/>
  <c r="CO190" i="10"/>
  <c r="CN195" i="10"/>
  <c r="CO130" i="10"/>
  <c r="CO146" i="10"/>
  <c r="CO162" i="10"/>
  <c r="CO178" i="10"/>
  <c r="CO126" i="10"/>
  <c r="CO142" i="10"/>
  <c r="CO158" i="10"/>
  <c r="CO174" i="10"/>
  <c r="CN197" i="10"/>
  <c r="CN199" i="10"/>
  <c r="CN203" i="10"/>
  <c r="CN207" i="10"/>
  <c r="CN211" i="10"/>
  <c r="CN215" i="10"/>
  <c r="CN219" i="10"/>
  <c r="CN223" i="10"/>
  <c r="CN227" i="10"/>
  <c r="CO229" i="10"/>
  <c r="CO231" i="10"/>
  <c r="CO233" i="10"/>
  <c r="CO198" i="10"/>
  <c r="CO202" i="10"/>
  <c r="CO206" i="10"/>
  <c r="CO210" i="10"/>
  <c r="CO214" i="10"/>
  <c r="CO218" i="10"/>
  <c r="CO222" i="10"/>
  <c r="CO226" i="10"/>
  <c r="CN230" i="10"/>
  <c r="CN232" i="10"/>
  <c r="CN234" i="10"/>
  <c r="CN201" i="10"/>
  <c r="CN205" i="10"/>
  <c r="CN209" i="10"/>
  <c r="CN213" i="10"/>
  <c r="CN217" i="10"/>
  <c r="CN221" i="10"/>
  <c r="CO200" i="10"/>
  <c r="CO204" i="10"/>
  <c r="CO208" i="10"/>
  <c r="CO212" i="10"/>
  <c r="CO216" i="10"/>
  <c r="CO220" i="10"/>
  <c r="CO224" i="10"/>
  <c r="CO228" i="10"/>
  <c r="CN229" i="10"/>
  <c r="CN231" i="10"/>
  <c r="CN233" i="10"/>
  <c r="CO230" i="10"/>
  <c r="CO235" i="10"/>
  <c r="CO237" i="10"/>
  <c r="CO239" i="10"/>
  <c r="CO241" i="10"/>
  <c r="CO243" i="10"/>
  <c r="CO245" i="10"/>
  <c r="CO247" i="10"/>
  <c r="CO249" i="10"/>
  <c r="CO251" i="10"/>
  <c r="CO253" i="10"/>
  <c r="CO255" i="10"/>
  <c r="CO257" i="10"/>
  <c r="CO259" i="10"/>
  <c r="CO261" i="10"/>
  <c r="CO263" i="10"/>
  <c r="CO265" i="10"/>
  <c r="CO267" i="10"/>
  <c r="CO269" i="10"/>
  <c r="CO271" i="10"/>
  <c r="CO273" i="10"/>
  <c r="CO275" i="10"/>
  <c r="CO277" i="10"/>
  <c r="CO279" i="10"/>
  <c r="CO281" i="10"/>
  <c r="CO283" i="10"/>
  <c r="CO285" i="10"/>
  <c r="CO287" i="10"/>
  <c r="CO289" i="10"/>
  <c r="CO291" i="10"/>
  <c r="CO293" i="10"/>
  <c r="CO295" i="10"/>
  <c r="CO297" i="10"/>
  <c r="CO299" i="10"/>
  <c r="CO301" i="10"/>
  <c r="CO303" i="10"/>
  <c r="CO305" i="10"/>
  <c r="CO307" i="10"/>
  <c r="CN236" i="10"/>
  <c r="CN238" i="10"/>
  <c r="CN240" i="10"/>
  <c r="CN242" i="10"/>
  <c r="CN244" i="10"/>
  <c r="CN246" i="10"/>
  <c r="CN248" i="10"/>
  <c r="CN250" i="10"/>
  <c r="CN252" i="10"/>
  <c r="CN254" i="10"/>
  <c r="CN256" i="10"/>
  <c r="CN258" i="10"/>
  <c r="CN260" i="10"/>
  <c r="CN262" i="10"/>
  <c r="CN264" i="10"/>
  <c r="CN266" i="10"/>
  <c r="CN268" i="10"/>
  <c r="CN270" i="10"/>
  <c r="CN272" i="10"/>
  <c r="CN274" i="10"/>
  <c r="CN276" i="10"/>
  <c r="CN278" i="10"/>
  <c r="CN280" i="10"/>
  <c r="CN282" i="10"/>
  <c r="CN284" i="10"/>
  <c r="CN286" i="10"/>
  <c r="CN288" i="10"/>
  <c r="CN290" i="10"/>
  <c r="CN292" i="10"/>
  <c r="CN294" i="10"/>
  <c r="CN296" i="10"/>
  <c r="CN298" i="10"/>
  <c r="CN300" i="10"/>
  <c r="CN302" i="10"/>
  <c r="CN304" i="10"/>
  <c r="CN306" i="10"/>
  <c r="CN308" i="10"/>
  <c r="CN310" i="10"/>
  <c r="CN312" i="10"/>
  <c r="CN314" i="10"/>
  <c r="CN316" i="10"/>
  <c r="CN318" i="10"/>
  <c r="CO234" i="10"/>
  <c r="CO236" i="10"/>
  <c r="CO238" i="10"/>
  <c r="CO240" i="10"/>
  <c r="CO242" i="10"/>
  <c r="CO244" i="10"/>
  <c r="CO246" i="10"/>
  <c r="CO248" i="10"/>
  <c r="CO250" i="10"/>
  <c r="CO252" i="10"/>
  <c r="CO254" i="10"/>
  <c r="CO256" i="10"/>
  <c r="CO258" i="10"/>
  <c r="CO260" i="10"/>
  <c r="CO262" i="10"/>
  <c r="CO264" i="10"/>
  <c r="CO266" i="10"/>
  <c r="CO268" i="10"/>
  <c r="CO270" i="10"/>
  <c r="CO272" i="10"/>
  <c r="CO274" i="10"/>
  <c r="CO276" i="10"/>
  <c r="CO278" i="10"/>
  <c r="CO280" i="10"/>
  <c r="CO282" i="10"/>
  <c r="CO284" i="10"/>
  <c r="CO286" i="10"/>
  <c r="CO288" i="10"/>
  <c r="CO290" i="10"/>
  <c r="CO292" i="10"/>
  <c r="CO294" i="10"/>
  <c r="CO296" i="10"/>
  <c r="CO298" i="10"/>
  <c r="CO300" i="10"/>
  <c r="CO302" i="10"/>
  <c r="CO304" i="10"/>
  <c r="CO306" i="10"/>
  <c r="CO308" i="10"/>
  <c r="CO310" i="10"/>
  <c r="CO312" i="10"/>
  <c r="CO314" i="10"/>
  <c r="CO316" i="10"/>
  <c r="CO318" i="10"/>
  <c r="CO320" i="10"/>
  <c r="CO322" i="10"/>
  <c r="CN225" i="10"/>
  <c r="CO232" i="10"/>
  <c r="CN235" i="10"/>
  <c r="CN237" i="10"/>
  <c r="CN239" i="10"/>
  <c r="CN241" i="10"/>
  <c r="CN243" i="10"/>
  <c r="CN245" i="10"/>
  <c r="CN247" i="10"/>
  <c r="CN249" i="10"/>
  <c r="CN251" i="10"/>
  <c r="CN253" i="10"/>
  <c r="CN255" i="10"/>
  <c r="CN257" i="10"/>
  <c r="CN259" i="10"/>
  <c r="CN261" i="10"/>
  <c r="CN263" i="10"/>
  <c r="CN265" i="10"/>
  <c r="CN267" i="10"/>
  <c r="CN269" i="10"/>
  <c r="CN271" i="10"/>
  <c r="CN279" i="10"/>
  <c r="CN313" i="10"/>
  <c r="CN319" i="10"/>
  <c r="CN322" i="10"/>
  <c r="CO325" i="10"/>
  <c r="CN324" i="10"/>
  <c r="CN277" i="10"/>
  <c r="CN285" i="10"/>
  <c r="CN293" i="10"/>
  <c r="CN301" i="10"/>
  <c r="CO309" i="10"/>
  <c r="CO313" i="10"/>
  <c r="CO317" i="10"/>
  <c r="CO319" i="10"/>
  <c r="CN275" i="10"/>
  <c r="CN283" i="10"/>
  <c r="CN291" i="10"/>
  <c r="CN299" i="10"/>
  <c r="CN307" i="10"/>
  <c r="CN311" i="10"/>
  <c r="CN315" i="10"/>
  <c r="CO321" i="10"/>
  <c r="CN323" i="10"/>
  <c r="CO324" i="10"/>
  <c r="CO326" i="10"/>
  <c r="CO328" i="10"/>
  <c r="CN287" i="10"/>
  <c r="CN295" i="10"/>
  <c r="CN317" i="10"/>
  <c r="CO327" i="10"/>
  <c r="CN321" i="10"/>
  <c r="CN326" i="10"/>
  <c r="CN328" i="10"/>
  <c r="CN273" i="10"/>
  <c r="CN281" i="10"/>
  <c r="CN289" i="10"/>
  <c r="CN297" i="10"/>
  <c r="CN305" i="10"/>
  <c r="CO311" i="10"/>
  <c r="CO315" i="10"/>
  <c r="CN320" i="10"/>
  <c r="CO323" i="10"/>
  <c r="CN325" i="10"/>
  <c r="CN327" i="10"/>
  <c r="CN303" i="10"/>
  <c r="CN309" i="10"/>
  <c r="DL8" i="10"/>
  <c r="DL11" i="10"/>
  <c r="DL12" i="10"/>
  <c r="DL13" i="10"/>
  <c r="DM11" i="10"/>
  <c r="DM14" i="10"/>
  <c r="DL15" i="10"/>
  <c r="DL17" i="10"/>
  <c r="DL19" i="10"/>
  <c r="DL21" i="10"/>
  <c r="DL23" i="10"/>
  <c r="DL25" i="10"/>
  <c r="DL27" i="10"/>
  <c r="DL29" i="10"/>
  <c r="DL31" i="10"/>
  <c r="DL33" i="10"/>
  <c r="DL16" i="10"/>
  <c r="DL18" i="10"/>
  <c r="DL20" i="10"/>
  <c r="DL22" i="10"/>
  <c r="DL24" i="10"/>
  <c r="DL14" i="10"/>
  <c r="DM16" i="10"/>
  <c r="DM20" i="10"/>
  <c r="DM24" i="10"/>
  <c r="DL26" i="10"/>
  <c r="DM29" i="10"/>
  <c r="DM32" i="10"/>
  <c r="DM34" i="10"/>
  <c r="DM36" i="10"/>
  <c r="DM38" i="10"/>
  <c r="DM40" i="10"/>
  <c r="DM42" i="10"/>
  <c r="DM15" i="10"/>
  <c r="DM19" i="10"/>
  <c r="DM23" i="10"/>
  <c r="DM26" i="10"/>
  <c r="DL28" i="10"/>
  <c r="DM31" i="10"/>
  <c r="DL35" i="10"/>
  <c r="DL37" i="10"/>
  <c r="DL39" i="10"/>
  <c r="DL41" i="10"/>
  <c r="DM18" i="10"/>
  <c r="DM22" i="10"/>
  <c r="DM17" i="10"/>
  <c r="DM27" i="10"/>
  <c r="DL32" i="10"/>
  <c r="DL36" i="10"/>
  <c r="DL40" i="10"/>
  <c r="DL43" i="10"/>
  <c r="DL30" i="10"/>
  <c r="DM35" i="10"/>
  <c r="DM39" i="10"/>
  <c r="DM43" i="10"/>
  <c r="DM45" i="10"/>
  <c r="DM47" i="10"/>
  <c r="DM49" i="10"/>
  <c r="DM51" i="10"/>
  <c r="DM53" i="10"/>
  <c r="DM55" i="10"/>
  <c r="DM25" i="10"/>
  <c r="DM30" i="10"/>
  <c r="DL34" i="10"/>
  <c r="DL38" i="10"/>
  <c r="DL42" i="10"/>
  <c r="DL44" i="10"/>
  <c r="DL46" i="10"/>
  <c r="DL48" i="10"/>
  <c r="DL50" i="10"/>
  <c r="DL52" i="10"/>
  <c r="DL54" i="10"/>
  <c r="DM21" i="10"/>
  <c r="DM28" i="10"/>
  <c r="DM41" i="10"/>
  <c r="DM46" i="10"/>
  <c r="DM50" i="10"/>
  <c r="DM54" i="10"/>
  <c r="DL56" i="10"/>
  <c r="DL58" i="10"/>
  <c r="DL60" i="10"/>
  <c r="DL62" i="10"/>
  <c r="DL64" i="10"/>
  <c r="DL66" i="10"/>
  <c r="DL68" i="10"/>
  <c r="DL70" i="10"/>
  <c r="DL72" i="10"/>
  <c r="DL74" i="10"/>
  <c r="DL76" i="10"/>
  <c r="DL78" i="10"/>
  <c r="DL80" i="10"/>
  <c r="DL82" i="10"/>
  <c r="DL84" i="10"/>
  <c r="DL86" i="10"/>
  <c r="DL88" i="10"/>
  <c r="DL90" i="10"/>
  <c r="DM37" i="10"/>
  <c r="DL45" i="10"/>
  <c r="DL49" i="10"/>
  <c r="DL53" i="10"/>
  <c r="DM56" i="10"/>
  <c r="DM58" i="10"/>
  <c r="DM60" i="10"/>
  <c r="DM62" i="10"/>
  <c r="DM64" i="10"/>
  <c r="DM66" i="10"/>
  <c r="DM68" i="10"/>
  <c r="DM70" i="10"/>
  <c r="DM72" i="10"/>
  <c r="DM74" i="10"/>
  <c r="DM76" i="10"/>
  <c r="DM78" i="10"/>
  <c r="DM80" i="10"/>
  <c r="DM82" i="10"/>
  <c r="DM84" i="10"/>
  <c r="DM86" i="10"/>
  <c r="DM88" i="10"/>
  <c r="DM90" i="10"/>
  <c r="DM92" i="10"/>
  <c r="DM33" i="10"/>
  <c r="DM44" i="10"/>
  <c r="DM48" i="10"/>
  <c r="DM52" i="10"/>
  <c r="DL57" i="10"/>
  <c r="DL59" i="10"/>
  <c r="DL61" i="10"/>
  <c r="DL63" i="10"/>
  <c r="DL65" i="10"/>
  <c r="DL67" i="10"/>
  <c r="DL69" i="10"/>
  <c r="DL71" i="10"/>
  <c r="DL73" i="10"/>
  <c r="DL75" i="10"/>
  <c r="DL77" i="10"/>
  <c r="DL79" i="10"/>
  <c r="DL81" i="10"/>
  <c r="DL47" i="10"/>
  <c r="DM61" i="10"/>
  <c r="DM69" i="10"/>
  <c r="DM77" i="10"/>
  <c r="DM83" i="10"/>
  <c r="DM87" i="10"/>
  <c r="DM93" i="10"/>
  <c r="DM95" i="10"/>
  <c r="DM97" i="10"/>
  <c r="DM99" i="10"/>
  <c r="DM101" i="10"/>
  <c r="DM103" i="10"/>
  <c r="DM105" i="10"/>
  <c r="DM107" i="10"/>
  <c r="DM109" i="10"/>
  <c r="DM111" i="10"/>
  <c r="DM113" i="10"/>
  <c r="DM115" i="10"/>
  <c r="DM117" i="10"/>
  <c r="DM119" i="10"/>
  <c r="DM121" i="10"/>
  <c r="DM123" i="10"/>
  <c r="DM59" i="10"/>
  <c r="DM67" i="10"/>
  <c r="DM75" i="10"/>
  <c r="DL85" i="10"/>
  <c r="DL89" i="10"/>
  <c r="DL92" i="10"/>
  <c r="DL94" i="10"/>
  <c r="DL96" i="10"/>
  <c r="DL98" i="10"/>
  <c r="DL100" i="10"/>
  <c r="DL102" i="10"/>
  <c r="DL104" i="10"/>
  <c r="DL106" i="10"/>
  <c r="DL108" i="10"/>
  <c r="DL110" i="10"/>
  <c r="DL112" i="10"/>
  <c r="DL114" i="10"/>
  <c r="DL116" i="10"/>
  <c r="DL118" i="10"/>
  <c r="DL120" i="10"/>
  <c r="DL122" i="10"/>
  <c r="DL55" i="10"/>
  <c r="DM57" i="10"/>
  <c r="DM65" i="10"/>
  <c r="DM73" i="10"/>
  <c r="DM81" i="10"/>
  <c r="DM85" i="10"/>
  <c r="DM89" i="10"/>
  <c r="DM71" i="10"/>
  <c r="DL83" i="10"/>
  <c r="DL95" i="10"/>
  <c r="DL99" i="10"/>
  <c r="DL103" i="10"/>
  <c r="DL107" i="10"/>
  <c r="DL111" i="10"/>
  <c r="DL115" i="10"/>
  <c r="DL119" i="10"/>
  <c r="DL123" i="10"/>
  <c r="DL125" i="10"/>
  <c r="DL127" i="10"/>
  <c r="DL129" i="10"/>
  <c r="DL131" i="10"/>
  <c r="DL133" i="10"/>
  <c r="DL135" i="10"/>
  <c r="DL137" i="10"/>
  <c r="DL139" i="10"/>
  <c r="DL141" i="10"/>
  <c r="DL143" i="10"/>
  <c r="DL145" i="10"/>
  <c r="DL147" i="10"/>
  <c r="DL149" i="10"/>
  <c r="DL151" i="10"/>
  <c r="DL153" i="10"/>
  <c r="DL155" i="10"/>
  <c r="DL157" i="10"/>
  <c r="DL159" i="10"/>
  <c r="DL161" i="10"/>
  <c r="DL163" i="10"/>
  <c r="DL165" i="10"/>
  <c r="DL167" i="10"/>
  <c r="DL169" i="10"/>
  <c r="DL171" i="10"/>
  <c r="DL173" i="10"/>
  <c r="DL175" i="10"/>
  <c r="DL177" i="10"/>
  <c r="DL179" i="10"/>
  <c r="DL181" i="10"/>
  <c r="DL183" i="10"/>
  <c r="DL185" i="10"/>
  <c r="DM63" i="10"/>
  <c r="DL91" i="10"/>
  <c r="DM94" i="10"/>
  <c r="DM98" i="10"/>
  <c r="DM102" i="10"/>
  <c r="DM106" i="10"/>
  <c r="DM110" i="10"/>
  <c r="DM114" i="10"/>
  <c r="DM118" i="10"/>
  <c r="DM122" i="10"/>
  <c r="DM125" i="10"/>
  <c r="DM127" i="10"/>
  <c r="DM129" i="10"/>
  <c r="DM131" i="10"/>
  <c r="DM133" i="10"/>
  <c r="DM135" i="10"/>
  <c r="DM137" i="10"/>
  <c r="DM139" i="10"/>
  <c r="DM141" i="10"/>
  <c r="DM143" i="10"/>
  <c r="DM145" i="10"/>
  <c r="DM147" i="10"/>
  <c r="DM149" i="10"/>
  <c r="DM151" i="10"/>
  <c r="DM153" i="10"/>
  <c r="DM155" i="10"/>
  <c r="DM157" i="10"/>
  <c r="DM159" i="10"/>
  <c r="DM161" i="10"/>
  <c r="DM163" i="10"/>
  <c r="DM165" i="10"/>
  <c r="DM167" i="10"/>
  <c r="DM169" i="10"/>
  <c r="DM171" i="10"/>
  <c r="DM173" i="10"/>
  <c r="DM175" i="10"/>
  <c r="DM177" i="10"/>
  <c r="DM179" i="10"/>
  <c r="DM181" i="10"/>
  <c r="DM183" i="10"/>
  <c r="DM185" i="10"/>
  <c r="DM187" i="10"/>
  <c r="DM189" i="10"/>
  <c r="DM191" i="10"/>
  <c r="DM193" i="10"/>
  <c r="DM91" i="10"/>
  <c r="DL93" i="10"/>
  <c r="DL97" i="10"/>
  <c r="DL101" i="10"/>
  <c r="DL105" i="10"/>
  <c r="DL109" i="10"/>
  <c r="DL113" i="10"/>
  <c r="DL87" i="10"/>
  <c r="DM104" i="10"/>
  <c r="DL117" i="10"/>
  <c r="DL124" i="10"/>
  <c r="DL128" i="10"/>
  <c r="DL132" i="10"/>
  <c r="DL136" i="10"/>
  <c r="DL140" i="10"/>
  <c r="DL144" i="10"/>
  <c r="DL148" i="10"/>
  <c r="DL152" i="10"/>
  <c r="DL156" i="10"/>
  <c r="DL160" i="10"/>
  <c r="DL164" i="10"/>
  <c r="DL168" i="10"/>
  <c r="DL172" i="10"/>
  <c r="DL176" i="10"/>
  <c r="DL180" i="10"/>
  <c r="DL184" i="10"/>
  <c r="DL189" i="10"/>
  <c r="DM192" i="10"/>
  <c r="DL194" i="10"/>
  <c r="DM195" i="10"/>
  <c r="DM197" i="10"/>
  <c r="DM199" i="10"/>
  <c r="DM201" i="10"/>
  <c r="DM203" i="10"/>
  <c r="DM205" i="10"/>
  <c r="DM207" i="10"/>
  <c r="DM209" i="10"/>
  <c r="DM211" i="10"/>
  <c r="DM213" i="10"/>
  <c r="DM215" i="10"/>
  <c r="DM217" i="10"/>
  <c r="DM219" i="10"/>
  <c r="DM221" i="10"/>
  <c r="DM223" i="10"/>
  <c r="DM225" i="10"/>
  <c r="DM227" i="10"/>
  <c r="DM100" i="10"/>
  <c r="DM116" i="10"/>
  <c r="DM124" i="10"/>
  <c r="DM128" i="10"/>
  <c r="DM132" i="10"/>
  <c r="DM136" i="10"/>
  <c r="DM140" i="10"/>
  <c r="DM144" i="10"/>
  <c r="DM148" i="10"/>
  <c r="DM152" i="10"/>
  <c r="DM156" i="10"/>
  <c r="DM160" i="10"/>
  <c r="DM164" i="10"/>
  <c r="DM168" i="10"/>
  <c r="DM172" i="10"/>
  <c r="DM176" i="10"/>
  <c r="DM180" i="10"/>
  <c r="DM184" i="10"/>
  <c r="DL188" i="10"/>
  <c r="DL191" i="10"/>
  <c r="DM194" i="10"/>
  <c r="DL196" i="10"/>
  <c r="DL198" i="10"/>
  <c r="DL200" i="10"/>
  <c r="DL202" i="10"/>
  <c r="DL204" i="10"/>
  <c r="DL206" i="10"/>
  <c r="DL208" i="10"/>
  <c r="DL210" i="10"/>
  <c r="DL212" i="10"/>
  <c r="DL214" i="10"/>
  <c r="DL216" i="10"/>
  <c r="DL218" i="10"/>
  <c r="DL220" i="10"/>
  <c r="DL222" i="10"/>
  <c r="DL224" i="10"/>
  <c r="DL226" i="10"/>
  <c r="DL51" i="10"/>
  <c r="DM79" i="10"/>
  <c r="DM96" i="10"/>
  <c r="DM112" i="10"/>
  <c r="DL121" i="10"/>
  <c r="DL126" i="10"/>
  <c r="DL130" i="10"/>
  <c r="DL134" i="10"/>
  <c r="DL138" i="10"/>
  <c r="DL142" i="10"/>
  <c r="DL146" i="10"/>
  <c r="DL150" i="10"/>
  <c r="DL154" i="10"/>
  <c r="DL158" i="10"/>
  <c r="DL162" i="10"/>
  <c r="DL166" i="10"/>
  <c r="DL170" i="10"/>
  <c r="DL174" i="10"/>
  <c r="DL178" i="10"/>
  <c r="DL182" i="10"/>
  <c r="DL186" i="10"/>
  <c r="DM188" i="10"/>
  <c r="DL190" i="10"/>
  <c r="DL193" i="10"/>
  <c r="DM196" i="10"/>
  <c r="DM108" i="10"/>
  <c r="DM130" i="10"/>
  <c r="DM146" i="10"/>
  <c r="DM162" i="10"/>
  <c r="DM178" i="10"/>
  <c r="DM190" i="10"/>
  <c r="DL195" i="10"/>
  <c r="DM120" i="10"/>
  <c r="DM126" i="10"/>
  <c r="DM142" i="10"/>
  <c r="DM158" i="10"/>
  <c r="DM174" i="10"/>
  <c r="DM138" i="10"/>
  <c r="DM154" i="10"/>
  <c r="DM170" i="10"/>
  <c r="DM134" i="10"/>
  <c r="DM150" i="10"/>
  <c r="DM166" i="10"/>
  <c r="DM182" i="10"/>
  <c r="DL187" i="10"/>
  <c r="DL192" i="10"/>
  <c r="DM186" i="10"/>
  <c r="DL199" i="10"/>
  <c r="DL203" i="10"/>
  <c r="DL207" i="10"/>
  <c r="DL211" i="10"/>
  <c r="DL215" i="10"/>
  <c r="DL219" i="10"/>
  <c r="DL223" i="10"/>
  <c r="DL227" i="10"/>
  <c r="DM229" i="10"/>
  <c r="DM231" i="10"/>
  <c r="DM233" i="10"/>
  <c r="DM198" i="10"/>
  <c r="DM202" i="10"/>
  <c r="DM206" i="10"/>
  <c r="DM210" i="10"/>
  <c r="DM214" i="10"/>
  <c r="DM218" i="10"/>
  <c r="DM222" i="10"/>
  <c r="DM226" i="10"/>
  <c r="DL228" i="10"/>
  <c r="DL230" i="10"/>
  <c r="DL232" i="10"/>
  <c r="DL234" i="10"/>
  <c r="DL197" i="10"/>
  <c r="DL201" i="10"/>
  <c r="DL205" i="10"/>
  <c r="DL209" i="10"/>
  <c r="DL213" i="10"/>
  <c r="DL217" i="10"/>
  <c r="DL221" i="10"/>
  <c r="DM200" i="10"/>
  <c r="DM204" i="10"/>
  <c r="DM208" i="10"/>
  <c r="DM212" i="10"/>
  <c r="DM216" i="10"/>
  <c r="DM220" i="10"/>
  <c r="DM224" i="10"/>
  <c r="DL229" i="10"/>
  <c r="DL231" i="10"/>
  <c r="DL233" i="10"/>
  <c r="DM230" i="10"/>
  <c r="DM235" i="10"/>
  <c r="DM237" i="10"/>
  <c r="DM239" i="10"/>
  <c r="DM241" i="10"/>
  <c r="DM243" i="10"/>
  <c r="DM245" i="10"/>
  <c r="DM247" i="10"/>
  <c r="DM249" i="10"/>
  <c r="DM251" i="10"/>
  <c r="DM253" i="10"/>
  <c r="DM255" i="10"/>
  <c r="DM257" i="10"/>
  <c r="DM259" i="10"/>
  <c r="DM261" i="10"/>
  <c r="DM263" i="10"/>
  <c r="DM265" i="10"/>
  <c r="DM267" i="10"/>
  <c r="DM269" i="10"/>
  <c r="DM271" i="10"/>
  <c r="DM273" i="10"/>
  <c r="DM275" i="10"/>
  <c r="DM277" i="10"/>
  <c r="DM279" i="10"/>
  <c r="DM281" i="10"/>
  <c r="DM283" i="10"/>
  <c r="DM285" i="10"/>
  <c r="DM287" i="10"/>
  <c r="DM289" i="10"/>
  <c r="DM291" i="10"/>
  <c r="DM293" i="10"/>
  <c r="DM295" i="10"/>
  <c r="DM297" i="10"/>
  <c r="DM299" i="10"/>
  <c r="DM301" i="10"/>
  <c r="DM303" i="10"/>
  <c r="DM305" i="10"/>
  <c r="DM307" i="10"/>
  <c r="DL225" i="10"/>
  <c r="DM228" i="10"/>
  <c r="DM234" i="10"/>
  <c r="DL236" i="10"/>
  <c r="DL238" i="10"/>
  <c r="DL240" i="10"/>
  <c r="DL242" i="10"/>
  <c r="DL244" i="10"/>
  <c r="DL246" i="10"/>
  <c r="DL248" i="10"/>
  <c r="DL250" i="10"/>
  <c r="DL252" i="10"/>
  <c r="DL254" i="10"/>
  <c r="DL256" i="10"/>
  <c r="DL258" i="10"/>
  <c r="DL260" i="10"/>
  <c r="DL262" i="10"/>
  <c r="DL264" i="10"/>
  <c r="DL266" i="10"/>
  <c r="DL268" i="10"/>
  <c r="DL270" i="10"/>
  <c r="DL272" i="10"/>
  <c r="DL274" i="10"/>
  <c r="DL276" i="10"/>
  <c r="DL278" i="10"/>
  <c r="DL280" i="10"/>
  <c r="DL282" i="10"/>
  <c r="DL284" i="10"/>
  <c r="DL286" i="10"/>
  <c r="DL288" i="10"/>
  <c r="DL290" i="10"/>
  <c r="DL292" i="10"/>
  <c r="DL294" i="10"/>
  <c r="DL296" i="10"/>
  <c r="DL298" i="10"/>
  <c r="DL300" i="10"/>
  <c r="DL302" i="10"/>
  <c r="DL304" i="10"/>
  <c r="DL306" i="10"/>
  <c r="DL308" i="10"/>
  <c r="DL310" i="10"/>
  <c r="DL312" i="10"/>
  <c r="DL314" i="10"/>
  <c r="DL316" i="10"/>
  <c r="DL318" i="10"/>
  <c r="DM236" i="10"/>
  <c r="DM238" i="10"/>
  <c r="DM240" i="10"/>
  <c r="DM242" i="10"/>
  <c r="DM244" i="10"/>
  <c r="DM246" i="10"/>
  <c r="DM248" i="10"/>
  <c r="DM250" i="10"/>
  <c r="DM252" i="10"/>
  <c r="DM254" i="10"/>
  <c r="DM256" i="10"/>
  <c r="DM258" i="10"/>
  <c r="DM260" i="10"/>
  <c r="DM262" i="10"/>
  <c r="DM264" i="10"/>
  <c r="DM266" i="10"/>
  <c r="DM268" i="10"/>
  <c r="DM270" i="10"/>
  <c r="DM272" i="10"/>
  <c r="DM274" i="10"/>
  <c r="DM276" i="10"/>
  <c r="DM278" i="10"/>
  <c r="DM280" i="10"/>
  <c r="DM282" i="10"/>
  <c r="DM284" i="10"/>
  <c r="DM286" i="10"/>
  <c r="DM288" i="10"/>
  <c r="DM290" i="10"/>
  <c r="DM292" i="10"/>
  <c r="DM294" i="10"/>
  <c r="DM296" i="10"/>
  <c r="DM298" i="10"/>
  <c r="DM300" i="10"/>
  <c r="DM302" i="10"/>
  <c r="DM304" i="10"/>
  <c r="DM306" i="10"/>
  <c r="DM308" i="10"/>
  <c r="DM310" i="10"/>
  <c r="DM312" i="10"/>
  <c r="DM314" i="10"/>
  <c r="DM316" i="10"/>
  <c r="DM318" i="10"/>
  <c r="DM320" i="10"/>
  <c r="DM322" i="10"/>
  <c r="DM232" i="10"/>
  <c r="DL235" i="10"/>
  <c r="DL237" i="10"/>
  <c r="DL239" i="10"/>
  <c r="DL241" i="10"/>
  <c r="DL243" i="10"/>
  <c r="DL245" i="10"/>
  <c r="DL247" i="10"/>
  <c r="DL249" i="10"/>
  <c r="DL251" i="10"/>
  <c r="DL253" i="10"/>
  <c r="DL255" i="10"/>
  <c r="DL257" i="10"/>
  <c r="DL259" i="10"/>
  <c r="DL261" i="10"/>
  <c r="DL263" i="10"/>
  <c r="DL265" i="10"/>
  <c r="DL267" i="10"/>
  <c r="DL269" i="10"/>
  <c r="DL271" i="10"/>
  <c r="DL279" i="10"/>
  <c r="DL287" i="10"/>
  <c r="DL303" i="10"/>
  <c r="DL319" i="10"/>
  <c r="DM325" i="10"/>
  <c r="DL324" i="10"/>
  <c r="DL277" i="10"/>
  <c r="DL285" i="10"/>
  <c r="DL293" i="10"/>
  <c r="DL301" i="10"/>
  <c r="DM309" i="10"/>
  <c r="DM313" i="10"/>
  <c r="DM317" i="10"/>
  <c r="DM319" i="10"/>
  <c r="DL321" i="10"/>
  <c r="DL326" i="10"/>
  <c r="DL275" i="10"/>
  <c r="DL283" i="10"/>
  <c r="DL291" i="10"/>
  <c r="DL299" i="10"/>
  <c r="DL307" i="10"/>
  <c r="DL311" i="10"/>
  <c r="DL315" i="10"/>
  <c r="DM321" i="10"/>
  <c r="DM324" i="10"/>
  <c r="DM326" i="10"/>
  <c r="DM328" i="10"/>
  <c r="DL317" i="10"/>
  <c r="DL322" i="10"/>
  <c r="DM323" i="10"/>
  <c r="DM327" i="10"/>
  <c r="DL328" i="10"/>
  <c r="DL273" i="10"/>
  <c r="DL281" i="10"/>
  <c r="DL289" i="10"/>
  <c r="DL297" i="10"/>
  <c r="DL305" i="10"/>
  <c r="DM311" i="10"/>
  <c r="DM315" i="10"/>
  <c r="DL320" i="10"/>
  <c r="DL323" i="10"/>
  <c r="DL325" i="10"/>
  <c r="DL327" i="10"/>
  <c r="DL295" i="10"/>
  <c r="DL309" i="10"/>
  <c r="DL313" i="10"/>
  <c r="CT5" i="10"/>
  <c r="DR5" i="10"/>
  <c r="CZ7" i="10"/>
  <c r="CK8" i="10"/>
  <c r="DI8" i="10"/>
  <c r="CT9" i="10"/>
  <c r="DR9" i="10"/>
  <c r="CU7" i="10"/>
  <c r="DS7" i="10"/>
  <c r="CX8" i="10"/>
  <c r="CC9" i="10"/>
  <c r="DA9" i="10"/>
  <c r="DS4" i="10"/>
  <c r="CF7" i="10"/>
  <c r="DA8" i="10"/>
  <c r="CX6" i="10"/>
  <c r="DF8" i="10"/>
  <c r="CK10" i="10"/>
  <c r="DI10" i="10"/>
  <c r="CR10" i="10"/>
  <c r="CT10" i="10"/>
  <c r="DR10" i="10"/>
  <c r="DL6" i="10"/>
  <c r="DS5" i="10"/>
  <c r="DF6" i="10"/>
  <c r="CF5" i="10"/>
  <c r="DM5" i="10"/>
  <c r="CZ6" i="10"/>
  <c r="DM10" i="10"/>
  <c r="DI5" i="10"/>
  <c r="DA5" i="10"/>
  <c r="CC6" i="10"/>
  <c r="CF6" i="10"/>
  <c r="CO13" i="10"/>
  <c r="DM13" i="10"/>
  <c r="CQ13" i="10"/>
  <c r="CX13" i="10"/>
  <c r="CO12" i="10"/>
  <c r="DM12" i="10"/>
  <c r="CQ12" i="10"/>
  <c r="CX12" i="10"/>
  <c r="DG4" i="10"/>
  <c r="DF4" i="10"/>
  <c r="CO4" i="10"/>
  <c r="CN4" i="10"/>
  <c r="DM4" i="10"/>
  <c r="DL4" i="10"/>
  <c r="CC4" i="10"/>
  <c r="DJ4" i="10"/>
  <c r="DD4" i="10"/>
  <c r="CU4" i="10"/>
  <c r="CE4" i="10"/>
  <c r="DI4" i="10"/>
  <c r="DA4" i="10"/>
  <c r="CT4" i="10"/>
  <c r="CR4" i="10"/>
  <c r="CK4" i="10"/>
  <c r="DC4" i="10"/>
  <c r="CW4" i="10"/>
  <c r="CQ4" i="10"/>
  <c r="CI4" i="10"/>
  <c r="CH4" i="10"/>
  <c r="CF4" i="10"/>
  <c r="O11" i="10" l="1"/>
  <c r="P10" i="10"/>
  <c r="Q9" i="10"/>
  <c r="N8" i="10" s="1"/>
  <c r="U9" i="10"/>
  <c r="S8" i="10"/>
  <c r="S28" i="10"/>
  <c r="BR7" i="10"/>
  <c r="BS9" i="10"/>
  <c r="BS5" i="10"/>
  <c r="BS7" i="10"/>
  <c r="BR8" i="10"/>
  <c r="BR5" i="10"/>
  <c r="BR6" i="10"/>
  <c r="BS10" i="10"/>
  <c r="BR10" i="10"/>
  <c r="BS12" i="10"/>
  <c r="BR277" i="10"/>
  <c r="BR279" i="10"/>
  <c r="BR267" i="10"/>
  <c r="BR259" i="10"/>
  <c r="BR251" i="10"/>
  <c r="BR243" i="10"/>
  <c r="BR235" i="10"/>
  <c r="BS278" i="10"/>
  <c r="BS270" i="10"/>
  <c r="BS262" i="10"/>
  <c r="BS254" i="10"/>
  <c r="BS246" i="10"/>
  <c r="BS238" i="10"/>
  <c r="BR276" i="10"/>
  <c r="BR268" i="10"/>
  <c r="BR260" i="10"/>
  <c r="BR252" i="10"/>
  <c r="BR244" i="10"/>
  <c r="BR236" i="10"/>
  <c r="BS273" i="10"/>
  <c r="BS265" i="10"/>
  <c r="BS257" i="10"/>
  <c r="BS249" i="10"/>
  <c r="BS241" i="10"/>
  <c r="BS232" i="10"/>
  <c r="BS226" i="10"/>
  <c r="BS210" i="10"/>
  <c r="BR223" i="10"/>
  <c r="BR207" i="10"/>
  <c r="BR232" i="10"/>
  <c r="BS220" i="10"/>
  <c r="BS204" i="10"/>
  <c r="BS229" i="10"/>
  <c r="BR213" i="10"/>
  <c r="BR197" i="10"/>
  <c r="BS168" i="10"/>
  <c r="BS172" i="10"/>
  <c r="BS114" i="10"/>
  <c r="BS176" i="10"/>
  <c r="BS122" i="10"/>
  <c r="BS148" i="10"/>
  <c r="BS190" i="10"/>
  <c r="BR176" i="10"/>
  <c r="BR160" i="10"/>
  <c r="BR144" i="10"/>
  <c r="BR128" i="10"/>
  <c r="BR273" i="10"/>
  <c r="BR263" i="10"/>
  <c r="BR255" i="10"/>
  <c r="BR247" i="10"/>
  <c r="BR239" i="10"/>
  <c r="BS274" i="10"/>
  <c r="BS266" i="10"/>
  <c r="BS258" i="10"/>
  <c r="BS250" i="10"/>
  <c r="BS242" i="10"/>
  <c r="BS228" i="10"/>
  <c r="BR272" i="10"/>
  <c r="BR264" i="10"/>
  <c r="BR256" i="10"/>
  <c r="BR248" i="10"/>
  <c r="BR240" i="10"/>
  <c r="BR227" i="10"/>
  <c r="BS277" i="10"/>
  <c r="BS269" i="10"/>
  <c r="BS261" i="10"/>
  <c r="BS253" i="10"/>
  <c r="BS245" i="10"/>
  <c r="BS237" i="10"/>
  <c r="BR231" i="10"/>
  <c r="BS218" i="10"/>
  <c r="BS202" i="10"/>
  <c r="BR215" i="10"/>
  <c r="BR199" i="10"/>
  <c r="BR228" i="10"/>
  <c r="BS212" i="10"/>
  <c r="BS233" i="10"/>
  <c r="BR221" i="10"/>
  <c r="BR205" i="10"/>
  <c r="BR189" i="10"/>
  <c r="BS136" i="10"/>
  <c r="BS140" i="10"/>
  <c r="BS81" i="10"/>
  <c r="BS144" i="10"/>
  <c r="BS180" i="10"/>
  <c r="BS196" i="10"/>
  <c r="BR184" i="10"/>
  <c r="BR168" i="10"/>
  <c r="BR152" i="10"/>
  <c r="BR136" i="10"/>
  <c r="BR123" i="10"/>
  <c r="BR226" i="10"/>
  <c r="BR218" i="10"/>
  <c r="BR210" i="10"/>
  <c r="BR202" i="10"/>
  <c r="BR193" i="10"/>
  <c r="BS182" i="10"/>
  <c r="BS166" i="10"/>
  <c r="BS150" i="10"/>
  <c r="BS134" i="10"/>
  <c r="BS102" i="10"/>
  <c r="BS223" i="10"/>
  <c r="BS215" i="10"/>
  <c r="BS207" i="10"/>
  <c r="BS199" i="10"/>
  <c r="BR191" i="10"/>
  <c r="BR178" i="10"/>
  <c r="BR162" i="10"/>
  <c r="BR146" i="10"/>
  <c r="BR130" i="10"/>
  <c r="BR111" i="10"/>
  <c r="BR95" i="10"/>
  <c r="BS189" i="10"/>
  <c r="BS181" i="10"/>
  <c r="BS173" i="10"/>
  <c r="BS165" i="10"/>
  <c r="BS157" i="10"/>
  <c r="BS149" i="10"/>
  <c r="BS141" i="10"/>
  <c r="BS133" i="10"/>
  <c r="BS125" i="10"/>
  <c r="BS108" i="10"/>
  <c r="BS65" i="10"/>
  <c r="BR181" i="10"/>
  <c r="BR173" i="10"/>
  <c r="BR165" i="10"/>
  <c r="BR157" i="10"/>
  <c r="BR149" i="10"/>
  <c r="BR141" i="10"/>
  <c r="BR133" i="10"/>
  <c r="BR275" i="10"/>
  <c r="BR269" i="10"/>
  <c r="BR261" i="10"/>
  <c r="BR253" i="10"/>
  <c r="BR245" i="10"/>
  <c r="BR237" i="10"/>
  <c r="BS272" i="10"/>
  <c r="BS264" i="10"/>
  <c r="BS256" i="10"/>
  <c r="BS248" i="10"/>
  <c r="BS240" i="10"/>
  <c r="BR278" i="10"/>
  <c r="BR270" i="10"/>
  <c r="BR262" i="10"/>
  <c r="BR254" i="10"/>
  <c r="BR246" i="10"/>
  <c r="BR238" i="10"/>
  <c r="BS275" i="10"/>
  <c r="BS267" i="10"/>
  <c r="BS259" i="10"/>
  <c r="BS251" i="10"/>
  <c r="BS243" i="10"/>
  <c r="BS235" i="10"/>
  <c r="BR229" i="10"/>
  <c r="BS214" i="10"/>
  <c r="BS198" i="10"/>
  <c r="BR211" i="10"/>
  <c r="BR234" i="10"/>
  <c r="BS224" i="10"/>
  <c r="BS208" i="10"/>
  <c r="BS231" i="10"/>
  <c r="BR217" i="10"/>
  <c r="BR201" i="10"/>
  <c r="BS184" i="10"/>
  <c r="BS94" i="10"/>
  <c r="BS124" i="10"/>
  <c r="BR195" i="10"/>
  <c r="BS128" i="10"/>
  <c r="BS164" i="10"/>
  <c r="BR192" i="10"/>
  <c r="BR180" i="10"/>
  <c r="BR164" i="10"/>
  <c r="BR148" i="10"/>
  <c r="BR132" i="10"/>
  <c r="BR115" i="10"/>
  <c r="BR224" i="10"/>
  <c r="BR216" i="10"/>
  <c r="BS98" i="10"/>
  <c r="BR222" i="10"/>
  <c r="BR214" i="10"/>
  <c r="BR206" i="10"/>
  <c r="BR198" i="10"/>
  <c r="BS188" i="10"/>
  <c r="BS174" i="10"/>
  <c r="BS158" i="10"/>
  <c r="BS142" i="10"/>
  <c r="BS126" i="10"/>
  <c r="BS227" i="10"/>
  <c r="BS219" i="10"/>
  <c r="BS211" i="10"/>
  <c r="BS203" i="10"/>
  <c r="BS195" i="10"/>
  <c r="BR186" i="10"/>
  <c r="BR170" i="10"/>
  <c r="BR154" i="10"/>
  <c r="BR138" i="10"/>
  <c r="BR119" i="10"/>
  <c r="BR103" i="10"/>
  <c r="BS193" i="10"/>
  <c r="BS185" i="10"/>
  <c r="BS177" i="10"/>
  <c r="BS169" i="10"/>
  <c r="BS161" i="10"/>
  <c r="BS153" i="10"/>
  <c r="BS145" i="10"/>
  <c r="BS137" i="10"/>
  <c r="BS129" i="10"/>
  <c r="BS116" i="10"/>
  <c r="BS100" i="10"/>
  <c r="BR185" i="10"/>
  <c r="BR177" i="10"/>
  <c r="BR169" i="10"/>
  <c r="BR161" i="10"/>
  <c r="BR153" i="10"/>
  <c r="BR145" i="10"/>
  <c r="BR137" i="10"/>
  <c r="BR129" i="10"/>
  <c r="BR117" i="10"/>
  <c r="BR101" i="10"/>
  <c r="BS73" i="10"/>
  <c r="BS67" i="10"/>
  <c r="BR118" i="10"/>
  <c r="BR110" i="10"/>
  <c r="BR102" i="10"/>
  <c r="BR94" i="10"/>
  <c r="BS77" i="10"/>
  <c r="BS123" i="10"/>
  <c r="BS115" i="10"/>
  <c r="BS107" i="10"/>
  <c r="BS99" i="10"/>
  <c r="BR92" i="10"/>
  <c r="BS71" i="10"/>
  <c r="BR79" i="10"/>
  <c r="BR71" i="10"/>
  <c r="BR63" i="10"/>
  <c r="BS54" i="10"/>
  <c r="BS30" i="10"/>
  <c r="BS88" i="10"/>
  <c r="BS80" i="10"/>
  <c r="BS72" i="10"/>
  <c r="BS64" i="10"/>
  <c r="BS56" i="10"/>
  <c r="BS39" i="10"/>
  <c r="BR84" i="10"/>
  <c r="BR76" i="10"/>
  <c r="BR68" i="10"/>
  <c r="BR60" i="10"/>
  <c r="BS48" i="10"/>
  <c r="BR50" i="10"/>
  <c r="BR40" i="10"/>
  <c r="BS55" i="10"/>
  <c r="BS47" i="10"/>
  <c r="BS41" i="10"/>
  <c r="BS27" i="10"/>
  <c r="BR38" i="10"/>
  <c r="BS24" i="10"/>
  <c r="BR39" i="10"/>
  <c r="BR30" i="10"/>
  <c r="BS36" i="10"/>
  <c r="BS26" i="10"/>
  <c r="BR22" i="10"/>
  <c r="BR25" i="10"/>
  <c r="BR271" i="10"/>
  <c r="BR265" i="10"/>
  <c r="BR257" i="10"/>
  <c r="BR249" i="10"/>
  <c r="BR241" i="10"/>
  <c r="BS234" i="10"/>
  <c r="BS276" i="10"/>
  <c r="BS268" i="10"/>
  <c r="BS260" i="10"/>
  <c r="BS252" i="10"/>
  <c r="BS244" i="10"/>
  <c r="BS236" i="10"/>
  <c r="BR274" i="10"/>
  <c r="BR266" i="10"/>
  <c r="BR258" i="10"/>
  <c r="BR250" i="10"/>
  <c r="BR242" i="10"/>
  <c r="BS230" i="10"/>
  <c r="BS279" i="10"/>
  <c r="BS271" i="10"/>
  <c r="BS263" i="10"/>
  <c r="BS255" i="10"/>
  <c r="BS247" i="10"/>
  <c r="BS239" i="10"/>
  <c r="BR233" i="10"/>
  <c r="BS222" i="10"/>
  <c r="BS206" i="10"/>
  <c r="BR219" i="10"/>
  <c r="BR203" i="10"/>
  <c r="BR230" i="10"/>
  <c r="BS216" i="10"/>
  <c r="BS200" i="10"/>
  <c r="BR225" i="10"/>
  <c r="BR209" i="10"/>
  <c r="BR194" i="10"/>
  <c r="BS152" i="10"/>
  <c r="BS156" i="10"/>
  <c r="BS110" i="10"/>
  <c r="BS160" i="10"/>
  <c r="BS192" i="10"/>
  <c r="BS132" i="10"/>
  <c r="BR187" i="10"/>
  <c r="BR172" i="10"/>
  <c r="BR156" i="10"/>
  <c r="BR140" i="10"/>
  <c r="BR124" i="10"/>
  <c r="BR89" i="10"/>
  <c r="BR220" i="10"/>
  <c r="BR212" i="10"/>
  <c r="BR204" i="10"/>
  <c r="BR196" i="10"/>
  <c r="BS186" i="10"/>
  <c r="BS170" i="10"/>
  <c r="BS154" i="10"/>
  <c r="BS138" i="10"/>
  <c r="BS118" i="10"/>
  <c r="BS225" i="10"/>
  <c r="BS217" i="10"/>
  <c r="BS209" i="10"/>
  <c r="BS201" i="10"/>
  <c r="BS194" i="10"/>
  <c r="BR182" i="10"/>
  <c r="BR166" i="10"/>
  <c r="BR150" i="10"/>
  <c r="BR134" i="10"/>
  <c r="BS106" i="10"/>
  <c r="BR99" i="10"/>
  <c r="BS191" i="10"/>
  <c r="BS183" i="10"/>
  <c r="BS175" i="10"/>
  <c r="BS167" i="10"/>
  <c r="BS159" i="10"/>
  <c r="BS151" i="10"/>
  <c r="BS143" i="10"/>
  <c r="BS135" i="10"/>
  <c r="BS127" i="10"/>
  <c r="BS112" i="10"/>
  <c r="BS96" i="10"/>
  <c r="BR183" i="10"/>
  <c r="BR175" i="10"/>
  <c r="BR167" i="10"/>
  <c r="BR159" i="10"/>
  <c r="BR151" i="10"/>
  <c r="BR143" i="10"/>
  <c r="BR135" i="10"/>
  <c r="BR127" i="10"/>
  <c r="BR113" i="10"/>
  <c r="BR97" i="10"/>
  <c r="BS87" i="10"/>
  <c r="BS59" i="10"/>
  <c r="BR116" i="10"/>
  <c r="BR108" i="10"/>
  <c r="BR100" i="10"/>
  <c r="BR91" i="10"/>
  <c r="BS69" i="10"/>
  <c r="BS121" i="10"/>
  <c r="BS113" i="10"/>
  <c r="BS105" i="10"/>
  <c r="BS97" i="10"/>
  <c r="BS89" i="10"/>
  <c r="BS63" i="10"/>
  <c r="BR77" i="10"/>
  <c r="BR69" i="10"/>
  <c r="BR61" i="10"/>
  <c r="BS50" i="10"/>
  <c r="BS23" i="10"/>
  <c r="BS86" i="10"/>
  <c r="BS78" i="10"/>
  <c r="BS70" i="10"/>
  <c r="BS62" i="10"/>
  <c r="BR55" i="10"/>
  <c r="BR90" i="10"/>
  <c r="BR82" i="10"/>
  <c r="BR74" i="10"/>
  <c r="BR66" i="10"/>
  <c r="BR58" i="10"/>
  <c r="BS44" i="10"/>
  <c r="BR48" i="10"/>
  <c r="BR36" i="10"/>
  <c r="BS53" i="10"/>
  <c r="BS45" i="10"/>
  <c r="BS37" i="10"/>
  <c r="BR34" i="10"/>
  <c r="BS20" i="10"/>
  <c r="BR37" i="10"/>
  <c r="BS28" i="10"/>
  <c r="BS34" i="10"/>
  <c r="BS22" i="10"/>
  <c r="BR20" i="10"/>
  <c r="BR31" i="10"/>
  <c r="BR23" i="10"/>
  <c r="BR125" i="10"/>
  <c r="BR109" i="10"/>
  <c r="BR93" i="10"/>
  <c r="BS83" i="10"/>
  <c r="BR122" i="10"/>
  <c r="BR114" i="10"/>
  <c r="BR106" i="10"/>
  <c r="BR98" i="10"/>
  <c r="BR87" i="10"/>
  <c r="BS61" i="10"/>
  <c r="BS119" i="10"/>
  <c r="BS111" i="10"/>
  <c r="BS103" i="10"/>
  <c r="BS95" i="10"/>
  <c r="BS85" i="10"/>
  <c r="BR49" i="10"/>
  <c r="BR75" i="10"/>
  <c r="BR67" i="10"/>
  <c r="BR59" i="10"/>
  <c r="BS46" i="10"/>
  <c r="BS92" i="10"/>
  <c r="BS84" i="10"/>
  <c r="BS76" i="10"/>
  <c r="BS68" i="10"/>
  <c r="BS60" i="10"/>
  <c r="BR51" i="10"/>
  <c r="BR88" i="10"/>
  <c r="BR80" i="10"/>
  <c r="BR72" i="10"/>
  <c r="BR64" i="10"/>
  <c r="BR56" i="10"/>
  <c r="BR54" i="10"/>
  <c r="BR46" i="10"/>
  <c r="BS32" i="10"/>
  <c r="BS51" i="10"/>
  <c r="BS43" i="10"/>
  <c r="BS33" i="10"/>
  <c r="BR43" i="10"/>
  <c r="BS29" i="10"/>
  <c r="BR35" i="10"/>
  <c r="BS25" i="10"/>
  <c r="BS40" i="10"/>
  <c r="BS31" i="10"/>
  <c r="BR29" i="10"/>
  <c r="BR21" i="10"/>
  <c r="BR208" i="10"/>
  <c r="BR200" i="10"/>
  <c r="BR190" i="10"/>
  <c r="BS178" i="10"/>
  <c r="BS162" i="10"/>
  <c r="BS146" i="10"/>
  <c r="BS130" i="10"/>
  <c r="BS91" i="10"/>
  <c r="BS221" i="10"/>
  <c r="BS213" i="10"/>
  <c r="BS205" i="10"/>
  <c r="BS197" i="10"/>
  <c r="BR188" i="10"/>
  <c r="BR174" i="10"/>
  <c r="BR158" i="10"/>
  <c r="BR142" i="10"/>
  <c r="BR126" i="10"/>
  <c r="BR107" i="10"/>
  <c r="BS57" i="10"/>
  <c r="BS187" i="10"/>
  <c r="BS179" i="10"/>
  <c r="BS171" i="10"/>
  <c r="BS163" i="10"/>
  <c r="BS155" i="10"/>
  <c r="BS147" i="10"/>
  <c r="BS139" i="10"/>
  <c r="BS131" i="10"/>
  <c r="BS120" i="10"/>
  <c r="BS104" i="10"/>
  <c r="BR53" i="10"/>
  <c r="BR179" i="10"/>
  <c r="BR171" i="10"/>
  <c r="BR163" i="10"/>
  <c r="BR155" i="10"/>
  <c r="BR147" i="10"/>
  <c r="BR139" i="10"/>
  <c r="BR131" i="10"/>
  <c r="BR121" i="10"/>
  <c r="BR105" i="10"/>
  <c r="BR85" i="10"/>
  <c r="BS75" i="10"/>
  <c r="BR120" i="10"/>
  <c r="BR112" i="10"/>
  <c r="BR104" i="10"/>
  <c r="BR96" i="10"/>
  <c r="BR83" i="10"/>
  <c r="BR45" i="10"/>
  <c r="BS117" i="10"/>
  <c r="BS109" i="10"/>
  <c r="BS101" i="10"/>
  <c r="BS93" i="10"/>
  <c r="BS79" i="10"/>
  <c r="BR81" i="10"/>
  <c r="BR73" i="10"/>
  <c r="BR65" i="10"/>
  <c r="BR57" i="10"/>
  <c r="BS35" i="10"/>
  <c r="BS90" i="10"/>
  <c r="BS82" i="10"/>
  <c r="BS74" i="10"/>
  <c r="BS66" i="10"/>
  <c r="BS58" i="10"/>
  <c r="BR47" i="10"/>
  <c r="BR86" i="10"/>
  <c r="BR78" i="10"/>
  <c r="BR70" i="10"/>
  <c r="BR62" i="10"/>
  <c r="BS52" i="10"/>
  <c r="BR52" i="10"/>
  <c r="BR44" i="10"/>
  <c r="BR26" i="10"/>
  <c r="BS49" i="10"/>
  <c r="BS42" i="10"/>
  <c r="BR32" i="10"/>
  <c r="BR42" i="10"/>
  <c r="BS19" i="10"/>
  <c r="BR41" i="10"/>
  <c r="BR33" i="10"/>
  <c r="BS21" i="10"/>
  <c r="BS38" i="10"/>
  <c r="BR28" i="10"/>
  <c r="BR24" i="10"/>
  <c r="BR27" i="10"/>
  <c r="BR19" i="10"/>
  <c r="BS18" i="10"/>
  <c r="BR18" i="10"/>
  <c r="BS17" i="10"/>
  <c r="BR17" i="10"/>
  <c r="BS16" i="10"/>
  <c r="BR16" i="10"/>
  <c r="BR9" i="10"/>
  <c r="BS6" i="10"/>
  <c r="BS15" i="10"/>
  <c r="BR15" i="10"/>
  <c r="BR14" i="10"/>
  <c r="BS14" i="10"/>
  <c r="BS13" i="10"/>
  <c r="BR13" i="10"/>
  <c r="BR12" i="10"/>
  <c r="BS11" i="10"/>
  <c r="BR11" i="10"/>
  <c r="BS8" i="10"/>
  <c r="BS4" i="10"/>
  <c r="BT4" i="10"/>
  <c r="BR4" i="10"/>
  <c r="O12" i="10" l="1"/>
  <c r="P11" i="10"/>
  <c r="Q10" i="10"/>
  <c r="N9" i="10" s="1"/>
  <c r="U10" i="10"/>
  <c r="S9" i="10"/>
  <c r="S29" i="10"/>
  <c r="AC16" i="10"/>
  <c r="AC15" i="10"/>
  <c r="AC14" i="10"/>
  <c r="AC13" i="10"/>
  <c r="AC12" i="10"/>
  <c r="AC11" i="10"/>
  <c r="AC10" i="10"/>
  <c r="AC9" i="10"/>
  <c r="AC8" i="10"/>
  <c r="AC7" i="10"/>
  <c r="AC6" i="10"/>
  <c r="AC5" i="10"/>
  <c r="AC4" i="10"/>
  <c r="AD16" i="10"/>
  <c r="B31" i="10"/>
  <c r="C25" i="187"/>
  <c r="AD19" i="10" s="1"/>
  <c r="D24" i="187"/>
  <c r="B24" i="187"/>
  <c r="O13" i="10" l="1"/>
  <c r="P12" i="10"/>
  <c r="D25" i="225"/>
  <c r="E25" i="225" s="1"/>
  <c r="D25" i="224"/>
  <c r="E25" i="224" s="1"/>
  <c r="U11" i="10"/>
  <c r="Q11" i="10"/>
  <c r="N10" i="10" s="1"/>
  <c r="S10" i="10"/>
  <c r="S30" i="10"/>
  <c r="D25" i="223"/>
  <c r="E25" i="223" s="1"/>
  <c r="D25" i="222"/>
  <c r="E25" i="222" s="1"/>
  <c r="D25" i="221"/>
  <c r="E25" i="221" s="1"/>
  <c r="D25" i="220"/>
  <c r="E25" i="220" s="1"/>
  <c r="D25" i="215"/>
  <c r="E25" i="215" s="1"/>
  <c r="D25" i="219"/>
  <c r="E25" i="219" s="1"/>
  <c r="D25" i="218"/>
  <c r="E25" i="218" s="1"/>
  <c r="D25" i="216"/>
  <c r="E25" i="216" s="1"/>
  <c r="D25" i="217"/>
  <c r="E25" i="217" s="1"/>
  <c r="D25" i="208"/>
  <c r="E25" i="208" s="1"/>
  <c r="H24" i="187"/>
  <c r="E24" i="187"/>
  <c r="G24" i="187"/>
  <c r="BV17" i="10"/>
  <c r="O14" i="10" l="1"/>
  <c r="P13" i="10"/>
  <c r="Q12" i="10"/>
  <c r="N11" i="10" s="1"/>
  <c r="U12" i="10"/>
  <c r="S11" i="10"/>
  <c r="S31" i="10"/>
  <c r="DO14" i="10"/>
  <c r="DP14" i="10"/>
  <c r="DP9" i="10"/>
  <c r="DO16" i="10"/>
  <c r="DO18" i="10"/>
  <c r="DO20" i="10"/>
  <c r="DO22" i="10"/>
  <c r="DO24" i="10"/>
  <c r="DO26" i="10"/>
  <c r="DO28" i="10"/>
  <c r="DO30" i="10"/>
  <c r="DO32" i="10"/>
  <c r="DP11" i="10"/>
  <c r="DO15" i="10"/>
  <c r="DO17" i="10"/>
  <c r="DO19" i="10"/>
  <c r="DO21" i="10"/>
  <c r="DO23" i="10"/>
  <c r="DO25" i="10"/>
  <c r="DP17" i="10"/>
  <c r="DP21" i="10"/>
  <c r="DP25" i="10"/>
  <c r="DO27" i="10"/>
  <c r="DP30" i="10"/>
  <c r="DP33" i="10"/>
  <c r="DP35" i="10"/>
  <c r="DP37" i="10"/>
  <c r="DP39" i="10"/>
  <c r="DP41" i="10"/>
  <c r="DO11" i="10"/>
  <c r="DP16" i="10"/>
  <c r="DP20" i="10"/>
  <c r="DP24" i="10"/>
  <c r="DP27" i="10"/>
  <c r="DO29" i="10"/>
  <c r="DP32" i="10"/>
  <c r="DO34" i="10"/>
  <c r="DO36" i="10"/>
  <c r="DO38" i="10"/>
  <c r="DO40" i="10"/>
  <c r="DO42" i="10"/>
  <c r="DO9" i="10"/>
  <c r="DP15" i="10"/>
  <c r="DP19" i="10"/>
  <c r="DP23" i="10"/>
  <c r="DP18" i="10"/>
  <c r="DP28" i="10"/>
  <c r="DO33" i="10"/>
  <c r="DO37" i="10"/>
  <c r="DO41" i="10"/>
  <c r="DP26" i="10"/>
  <c r="DO31" i="10"/>
  <c r="DP36" i="10"/>
  <c r="DP40" i="10"/>
  <c r="DP44" i="10"/>
  <c r="DP46" i="10"/>
  <c r="DP48" i="10"/>
  <c r="DP50" i="10"/>
  <c r="DP52" i="10"/>
  <c r="DP54" i="10"/>
  <c r="DP31" i="10"/>
  <c r="DO35" i="10"/>
  <c r="DO39" i="10"/>
  <c r="DO43" i="10"/>
  <c r="DO45" i="10"/>
  <c r="DO47" i="10"/>
  <c r="DO49" i="10"/>
  <c r="DO51" i="10"/>
  <c r="DO53" i="10"/>
  <c r="DO55" i="10"/>
  <c r="DP42" i="10"/>
  <c r="DP47" i="10"/>
  <c r="DP51" i="10"/>
  <c r="DP55" i="10"/>
  <c r="DO57" i="10"/>
  <c r="DO59" i="10"/>
  <c r="DO61" i="10"/>
  <c r="DO63" i="10"/>
  <c r="DO65" i="10"/>
  <c r="DO67" i="10"/>
  <c r="DO69" i="10"/>
  <c r="DO71" i="10"/>
  <c r="DO73" i="10"/>
  <c r="DO75" i="10"/>
  <c r="DO77" i="10"/>
  <c r="DO79" i="10"/>
  <c r="DO81" i="10"/>
  <c r="DO83" i="10"/>
  <c r="DO85" i="10"/>
  <c r="DO87" i="10"/>
  <c r="DO89" i="10"/>
  <c r="DP22" i="10"/>
  <c r="DP38" i="10"/>
  <c r="DO46" i="10"/>
  <c r="DO50" i="10"/>
  <c r="DO54" i="10"/>
  <c r="DP57" i="10"/>
  <c r="DP59" i="10"/>
  <c r="DP61" i="10"/>
  <c r="DP63" i="10"/>
  <c r="DP65" i="10"/>
  <c r="DP67" i="10"/>
  <c r="DP69" i="10"/>
  <c r="DP71" i="10"/>
  <c r="DP73" i="10"/>
  <c r="DP75" i="10"/>
  <c r="DP77" i="10"/>
  <c r="DP79" i="10"/>
  <c r="DP81" i="10"/>
  <c r="DP83" i="10"/>
  <c r="DP85" i="10"/>
  <c r="DP87" i="10"/>
  <c r="DP89" i="10"/>
  <c r="DP91" i="10"/>
  <c r="DP34" i="10"/>
  <c r="DP43" i="10"/>
  <c r="DP45" i="10"/>
  <c r="DP49" i="10"/>
  <c r="DP53" i="10"/>
  <c r="DO56" i="10"/>
  <c r="DO58" i="10"/>
  <c r="DO60" i="10"/>
  <c r="DO62" i="10"/>
  <c r="DO64" i="10"/>
  <c r="DO66" i="10"/>
  <c r="DO68" i="10"/>
  <c r="DO70" i="10"/>
  <c r="DO72" i="10"/>
  <c r="DO74" i="10"/>
  <c r="DO76" i="10"/>
  <c r="DO78" i="10"/>
  <c r="DO80" i="10"/>
  <c r="DO82" i="10"/>
  <c r="DO48" i="10"/>
  <c r="DP62" i="10"/>
  <c r="DP70" i="10"/>
  <c r="DP78" i="10"/>
  <c r="DP84" i="10"/>
  <c r="DP88" i="10"/>
  <c r="DO91" i="10"/>
  <c r="DP94" i="10"/>
  <c r="DP96" i="10"/>
  <c r="DP98" i="10"/>
  <c r="DP100" i="10"/>
  <c r="DP102" i="10"/>
  <c r="DP104" i="10"/>
  <c r="DP106" i="10"/>
  <c r="DP108" i="10"/>
  <c r="DP110" i="10"/>
  <c r="DP112" i="10"/>
  <c r="DP114" i="10"/>
  <c r="DP116" i="10"/>
  <c r="DP118" i="10"/>
  <c r="DP120" i="10"/>
  <c r="DP122" i="10"/>
  <c r="DP29" i="10"/>
  <c r="DO44" i="10"/>
  <c r="DP60" i="10"/>
  <c r="DP68" i="10"/>
  <c r="DP76" i="10"/>
  <c r="DO86" i="10"/>
  <c r="DO90" i="10"/>
  <c r="DO93" i="10"/>
  <c r="DO95" i="10"/>
  <c r="DO97" i="10"/>
  <c r="DO99" i="10"/>
  <c r="DO101" i="10"/>
  <c r="DO103" i="10"/>
  <c r="DO105" i="10"/>
  <c r="DO107" i="10"/>
  <c r="DO109" i="10"/>
  <c r="DO111" i="10"/>
  <c r="DO113" i="10"/>
  <c r="DO115" i="10"/>
  <c r="DO117" i="10"/>
  <c r="DO119" i="10"/>
  <c r="DO121" i="10"/>
  <c r="DO123" i="10"/>
  <c r="DP58" i="10"/>
  <c r="DP66" i="10"/>
  <c r="DP74" i="10"/>
  <c r="DP82" i="10"/>
  <c r="DP86" i="10"/>
  <c r="DP90" i="10"/>
  <c r="DO52" i="10"/>
  <c r="DP56" i="10"/>
  <c r="DO84" i="10"/>
  <c r="DO96" i="10"/>
  <c r="DO100" i="10"/>
  <c r="DO104" i="10"/>
  <c r="DO108" i="10"/>
  <c r="DO112" i="10"/>
  <c r="DO116" i="10"/>
  <c r="DO120" i="10"/>
  <c r="DO124" i="10"/>
  <c r="DO126" i="10"/>
  <c r="DO128" i="10"/>
  <c r="DO130" i="10"/>
  <c r="DO132" i="10"/>
  <c r="DO134" i="10"/>
  <c r="DO136" i="10"/>
  <c r="DO138" i="10"/>
  <c r="DO140" i="10"/>
  <c r="DO142" i="10"/>
  <c r="DO144" i="10"/>
  <c r="DO146" i="10"/>
  <c r="DO148" i="10"/>
  <c r="DO150" i="10"/>
  <c r="DO152" i="10"/>
  <c r="DO154" i="10"/>
  <c r="DO156" i="10"/>
  <c r="DO158" i="10"/>
  <c r="DO160" i="10"/>
  <c r="DO162" i="10"/>
  <c r="DO164" i="10"/>
  <c r="DO166" i="10"/>
  <c r="DO168" i="10"/>
  <c r="DO170" i="10"/>
  <c r="DO172" i="10"/>
  <c r="DO174" i="10"/>
  <c r="DO176" i="10"/>
  <c r="DO178" i="10"/>
  <c r="DO180" i="10"/>
  <c r="DO182" i="10"/>
  <c r="DO184" i="10"/>
  <c r="DO186" i="10"/>
  <c r="DP80" i="10"/>
  <c r="DO92" i="10"/>
  <c r="DP95" i="10"/>
  <c r="DP99" i="10"/>
  <c r="DP103" i="10"/>
  <c r="DP107" i="10"/>
  <c r="DP111" i="10"/>
  <c r="DP115" i="10"/>
  <c r="DP119" i="10"/>
  <c r="DP123" i="10"/>
  <c r="DP124" i="10"/>
  <c r="DP126" i="10"/>
  <c r="DP128" i="10"/>
  <c r="DP130" i="10"/>
  <c r="DP132" i="10"/>
  <c r="DP134" i="10"/>
  <c r="DP136" i="10"/>
  <c r="DP138" i="10"/>
  <c r="DP140" i="10"/>
  <c r="DP142" i="10"/>
  <c r="DP144" i="10"/>
  <c r="DP146" i="10"/>
  <c r="DP148" i="10"/>
  <c r="DP150" i="10"/>
  <c r="DP152" i="10"/>
  <c r="DP154" i="10"/>
  <c r="DP156" i="10"/>
  <c r="DP158" i="10"/>
  <c r="DP160" i="10"/>
  <c r="DP162" i="10"/>
  <c r="DP164" i="10"/>
  <c r="DP166" i="10"/>
  <c r="DP168" i="10"/>
  <c r="DP170" i="10"/>
  <c r="DP172" i="10"/>
  <c r="DP174" i="10"/>
  <c r="DP176" i="10"/>
  <c r="DP178" i="10"/>
  <c r="DP180" i="10"/>
  <c r="DP182" i="10"/>
  <c r="DP184" i="10"/>
  <c r="DP186" i="10"/>
  <c r="DP188" i="10"/>
  <c r="DP190" i="10"/>
  <c r="DP192" i="10"/>
  <c r="DP194" i="10"/>
  <c r="DP72" i="10"/>
  <c r="DP92" i="10"/>
  <c r="DO94" i="10"/>
  <c r="DO98" i="10"/>
  <c r="DO102" i="10"/>
  <c r="DO106" i="10"/>
  <c r="DO110" i="10"/>
  <c r="DP105" i="10"/>
  <c r="DO118" i="10"/>
  <c r="DO125" i="10"/>
  <c r="DO129" i="10"/>
  <c r="DO133" i="10"/>
  <c r="DO137" i="10"/>
  <c r="DO141" i="10"/>
  <c r="DO145" i="10"/>
  <c r="DO149" i="10"/>
  <c r="DO153" i="10"/>
  <c r="DO157" i="10"/>
  <c r="DO161" i="10"/>
  <c r="DO165" i="10"/>
  <c r="DO169" i="10"/>
  <c r="DO173" i="10"/>
  <c r="DO177" i="10"/>
  <c r="DO181" i="10"/>
  <c r="DO185" i="10"/>
  <c r="DO187" i="10"/>
  <c r="DO190" i="10"/>
  <c r="DP193" i="10"/>
  <c r="DP196" i="10"/>
  <c r="DP198" i="10"/>
  <c r="DP200" i="10"/>
  <c r="DP202" i="10"/>
  <c r="DP204" i="10"/>
  <c r="DP206" i="10"/>
  <c r="DP208" i="10"/>
  <c r="DP210" i="10"/>
  <c r="DP212" i="10"/>
  <c r="DP214" i="10"/>
  <c r="DP216" i="10"/>
  <c r="DP218" i="10"/>
  <c r="DP220" i="10"/>
  <c r="DP222" i="10"/>
  <c r="DP224" i="10"/>
  <c r="DP226" i="10"/>
  <c r="DO88" i="10"/>
  <c r="DP101" i="10"/>
  <c r="DP117" i="10"/>
  <c r="DP125" i="10"/>
  <c r="DP129" i="10"/>
  <c r="DP133" i="10"/>
  <c r="DP137" i="10"/>
  <c r="DP141" i="10"/>
  <c r="DP145" i="10"/>
  <c r="DP149" i="10"/>
  <c r="DP153" i="10"/>
  <c r="DP157" i="10"/>
  <c r="DP161" i="10"/>
  <c r="DP165" i="10"/>
  <c r="DP169" i="10"/>
  <c r="DP173" i="10"/>
  <c r="DP177" i="10"/>
  <c r="DP181" i="10"/>
  <c r="DP185" i="10"/>
  <c r="DP187" i="10"/>
  <c r="DO189" i="10"/>
  <c r="DO192" i="10"/>
  <c r="DO195" i="10"/>
  <c r="DO197" i="10"/>
  <c r="DO199" i="10"/>
  <c r="DO201" i="10"/>
  <c r="DO203" i="10"/>
  <c r="DO205" i="10"/>
  <c r="DO207" i="10"/>
  <c r="DO209" i="10"/>
  <c r="DO211" i="10"/>
  <c r="DO213" i="10"/>
  <c r="DO215" i="10"/>
  <c r="DO217" i="10"/>
  <c r="DO219" i="10"/>
  <c r="DO221" i="10"/>
  <c r="DO223" i="10"/>
  <c r="DO225" i="10"/>
  <c r="DO227" i="10"/>
  <c r="DP97" i="10"/>
  <c r="DP113" i="10"/>
  <c r="DO114" i="10"/>
  <c r="DO122" i="10"/>
  <c r="DO127" i="10"/>
  <c r="DO131" i="10"/>
  <c r="DO135" i="10"/>
  <c r="DO139" i="10"/>
  <c r="DO143" i="10"/>
  <c r="DO147" i="10"/>
  <c r="DO151" i="10"/>
  <c r="DO155" i="10"/>
  <c r="DO159" i="10"/>
  <c r="DO163" i="10"/>
  <c r="DO167" i="10"/>
  <c r="DO171" i="10"/>
  <c r="DO175" i="10"/>
  <c r="DO179" i="10"/>
  <c r="DO183" i="10"/>
  <c r="DP189" i="10"/>
  <c r="DO191" i="10"/>
  <c r="DO194" i="10"/>
  <c r="DP195" i="10"/>
  <c r="DP64" i="10"/>
  <c r="DP131" i="10"/>
  <c r="DP147" i="10"/>
  <c r="DP163" i="10"/>
  <c r="DP179" i="10"/>
  <c r="DO196" i="10"/>
  <c r="DP109" i="10"/>
  <c r="DP127" i="10"/>
  <c r="DP143" i="10"/>
  <c r="DP159" i="10"/>
  <c r="DP175" i="10"/>
  <c r="DO188" i="10"/>
  <c r="DO193" i="10"/>
  <c r="DP93" i="10"/>
  <c r="DP139" i="10"/>
  <c r="DP155" i="10"/>
  <c r="DP171" i="10"/>
  <c r="DP121" i="10"/>
  <c r="DP135" i="10"/>
  <c r="DP151" i="10"/>
  <c r="DP167" i="10"/>
  <c r="DP183" i="10"/>
  <c r="DO200" i="10"/>
  <c r="DO204" i="10"/>
  <c r="DO208" i="10"/>
  <c r="DO212" i="10"/>
  <c r="DO216" i="10"/>
  <c r="DO220" i="10"/>
  <c r="DO224" i="10"/>
  <c r="DP228" i="10"/>
  <c r="DP230" i="10"/>
  <c r="DP232" i="10"/>
  <c r="DP199" i="10"/>
  <c r="DP203" i="10"/>
  <c r="DP207" i="10"/>
  <c r="DP211" i="10"/>
  <c r="DP215" i="10"/>
  <c r="DP219" i="10"/>
  <c r="DP223" i="10"/>
  <c r="DP227" i="10"/>
  <c r="DO229" i="10"/>
  <c r="DO231" i="10"/>
  <c r="DO233" i="10"/>
  <c r="DO198" i="10"/>
  <c r="DO202" i="10"/>
  <c r="DO206" i="10"/>
  <c r="DO210" i="10"/>
  <c r="DO214" i="10"/>
  <c r="DO218" i="10"/>
  <c r="DO222" i="10"/>
  <c r="DP191" i="10"/>
  <c r="DP197" i="10"/>
  <c r="DP201" i="10"/>
  <c r="DP205" i="10"/>
  <c r="DP209" i="10"/>
  <c r="DP213" i="10"/>
  <c r="DP217" i="10"/>
  <c r="DP221" i="10"/>
  <c r="DP225" i="10"/>
  <c r="DO228" i="10"/>
  <c r="DO230" i="10"/>
  <c r="DO232" i="10"/>
  <c r="DO234" i="10"/>
  <c r="DP231" i="10"/>
  <c r="DP236" i="10"/>
  <c r="DP238" i="10"/>
  <c r="DP240" i="10"/>
  <c r="DP242" i="10"/>
  <c r="DP244" i="10"/>
  <c r="DP246" i="10"/>
  <c r="DP248" i="10"/>
  <c r="DP250" i="10"/>
  <c r="DP252" i="10"/>
  <c r="DP254" i="10"/>
  <c r="DP256" i="10"/>
  <c r="DP258" i="10"/>
  <c r="DP260" i="10"/>
  <c r="DP262" i="10"/>
  <c r="DP264" i="10"/>
  <c r="DP266" i="10"/>
  <c r="DP268" i="10"/>
  <c r="DP270" i="10"/>
  <c r="DP272" i="10"/>
  <c r="DP274" i="10"/>
  <c r="DP276" i="10"/>
  <c r="DP278" i="10"/>
  <c r="DP280" i="10"/>
  <c r="DP282" i="10"/>
  <c r="DP284" i="10"/>
  <c r="DP286" i="10"/>
  <c r="DP288" i="10"/>
  <c r="DP290" i="10"/>
  <c r="DP292" i="10"/>
  <c r="DP294" i="10"/>
  <c r="DP296" i="10"/>
  <c r="DP298" i="10"/>
  <c r="DP300" i="10"/>
  <c r="DP302" i="10"/>
  <c r="DP304" i="10"/>
  <c r="DP306" i="10"/>
  <c r="DO226" i="10"/>
  <c r="DP229" i="10"/>
  <c r="DO235" i="10"/>
  <c r="DO237" i="10"/>
  <c r="DO239" i="10"/>
  <c r="DO241" i="10"/>
  <c r="DO243" i="10"/>
  <c r="DO245" i="10"/>
  <c r="DO247" i="10"/>
  <c r="DO249" i="10"/>
  <c r="DO251" i="10"/>
  <c r="DO253" i="10"/>
  <c r="DO255" i="10"/>
  <c r="DO257" i="10"/>
  <c r="DO259" i="10"/>
  <c r="DO261" i="10"/>
  <c r="DO263" i="10"/>
  <c r="DO265" i="10"/>
  <c r="DO267" i="10"/>
  <c r="DO269" i="10"/>
  <c r="DO271" i="10"/>
  <c r="DO273" i="10"/>
  <c r="DO275" i="10"/>
  <c r="DO277" i="10"/>
  <c r="DO279" i="10"/>
  <c r="DO281" i="10"/>
  <c r="DO283" i="10"/>
  <c r="DO285" i="10"/>
  <c r="DO287" i="10"/>
  <c r="DO289" i="10"/>
  <c r="DO291" i="10"/>
  <c r="DO293" i="10"/>
  <c r="DO295" i="10"/>
  <c r="DO297" i="10"/>
  <c r="DO299" i="10"/>
  <c r="DO301" i="10"/>
  <c r="DO303" i="10"/>
  <c r="DO305" i="10"/>
  <c r="DO307" i="10"/>
  <c r="DO309" i="10"/>
  <c r="DO311" i="10"/>
  <c r="DO313" i="10"/>
  <c r="DO315" i="10"/>
  <c r="DO317" i="10"/>
  <c r="DP234" i="10"/>
  <c r="DP235" i="10"/>
  <c r="DP237" i="10"/>
  <c r="DP239" i="10"/>
  <c r="DP241" i="10"/>
  <c r="DP243" i="10"/>
  <c r="DP245" i="10"/>
  <c r="DP247" i="10"/>
  <c r="DP249" i="10"/>
  <c r="DP251" i="10"/>
  <c r="DP253" i="10"/>
  <c r="DP255" i="10"/>
  <c r="DP257" i="10"/>
  <c r="DP259" i="10"/>
  <c r="DP261" i="10"/>
  <c r="DP263" i="10"/>
  <c r="DP265" i="10"/>
  <c r="DP267" i="10"/>
  <c r="DP269" i="10"/>
  <c r="DP271" i="10"/>
  <c r="DP273" i="10"/>
  <c r="DP275" i="10"/>
  <c r="DP277" i="10"/>
  <c r="DP279" i="10"/>
  <c r="DP281" i="10"/>
  <c r="DP283" i="10"/>
  <c r="DP285" i="10"/>
  <c r="DP287" i="10"/>
  <c r="DP289" i="10"/>
  <c r="DP291" i="10"/>
  <c r="DP293" i="10"/>
  <c r="DP295" i="10"/>
  <c r="DP297" i="10"/>
  <c r="DP299" i="10"/>
  <c r="DP301" i="10"/>
  <c r="DP303" i="10"/>
  <c r="DP305" i="10"/>
  <c r="DP307" i="10"/>
  <c r="DP309" i="10"/>
  <c r="DP311" i="10"/>
  <c r="DP313" i="10"/>
  <c r="DP315" i="10"/>
  <c r="DP317" i="10"/>
  <c r="DP319" i="10"/>
  <c r="DP321" i="10"/>
  <c r="DP233" i="10"/>
  <c r="DO236" i="10"/>
  <c r="DO238" i="10"/>
  <c r="DO240" i="10"/>
  <c r="DO242" i="10"/>
  <c r="DO244" i="10"/>
  <c r="DO246" i="10"/>
  <c r="DO248" i="10"/>
  <c r="DO250" i="10"/>
  <c r="DO252" i="10"/>
  <c r="DO254" i="10"/>
  <c r="DO256" i="10"/>
  <c r="DO258" i="10"/>
  <c r="DO260" i="10"/>
  <c r="DO262" i="10"/>
  <c r="DO264" i="10"/>
  <c r="DO266" i="10"/>
  <c r="DO268" i="10"/>
  <c r="DO272" i="10"/>
  <c r="DO280" i="10"/>
  <c r="DP326" i="10"/>
  <c r="DO323" i="10"/>
  <c r="DO270" i="10"/>
  <c r="DO278" i="10"/>
  <c r="DO286" i="10"/>
  <c r="DO294" i="10"/>
  <c r="DO302" i="10"/>
  <c r="DP310" i="10"/>
  <c r="DP314" i="10"/>
  <c r="DP318" i="10"/>
  <c r="DP320" i="10"/>
  <c r="DO322" i="10"/>
  <c r="DO327" i="10"/>
  <c r="DO276" i="10"/>
  <c r="DO284" i="10"/>
  <c r="DO292" i="10"/>
  <c r="DO300" i="10"/>
  <c r="DO308" i="10"/>
  <c r="DO312" i="10"/>
  <c r="DO316" i="10"/>
  <c r="DO319" i="10"/>
  <c r="DP322" i="10"/>
  <c r="DP323" i="10"/>
  <c r="DP325" i="10"/>
  <c r="DP327" i="10"/>
  <c r="DO288" i="10"/>
  <c r="DO296" i="10"/>
  <c r="DO304" i="10"/>
  <c r="DO310" i="10"/>
  <c r="DO314" i="10"/>
  <c r="DO318" i="10"/>
  <c r="DO320" i="10"/>
  <c r="DP324" i="10"/>
  <c r="DP328" i="10"/>
  <c r="DO325" i="10"/>
  <c r="DO274" i="10"/>
  <c r="DO282" i="10"/>
  <c r="DO290" i="10"/>
  <c r="DO298" i="10"/>
  <c r="DO306" i="10"/>
  <c r="DP308" i="10"/>
  <c r="DP312" i="10"/>
  <c r="DP316" i="10"/>
  <c r="DO321" i="10"/>
  <c r="DO324" i="10"/>
  <c r="DO326" i="10"/>
  <c r="DO328" i="10"/>
  <c r="DO12" i="10"/>
  <c r="DO13" i="10"/>
  <c r="DP10" i="10"/>
  <c r="DO7" i="10"/>
  <c r="DP12" i="10"/>
  <c r="DP13" i="10"/>
  <c r="DP7" i="10"/>
  <c r="DP6" i="10"/>
  <c r="DP8" i="10"/>
  <c r="DO5" i="10"/>
  <c r="DP5" i="10"/>
  <c r="DO6" i="10"/>
  <c r="DO10" i="10"/>
  <c r="DO8" i="10"/>
  <c r="DO4" i="10"/>
  <c r="DP4" i="10"/>
  <c r="O15" i="10" l="1"/>
  <c r="P15" i="10" s="1"/>
  <c r="P14" i="10"/>
  <c r="U13" i="10"/>
  <c r="Q13" i="10"/>
  <c r="N12" i="10" s="1"/>
  <c r="S12" i="10"/>
  <c r="S32" i="10"/>
  <c r="AG12" i="10"/>
  <c r="AG13" i="10" s="1"/>
  <c r="Q14" i="10" l="1"/>
  <c r="N13" i="10" s="1"/>
  <c r="U14" i="10"/>
  <c r="S13" i="10"/>
  <c r="S33" i="10"/>
  <c r="AB5" i="10"/>
  <c r="AB4" i="10"/>
  <c r="AC22" i="10"/>
  <c r="Q15" i="10" l="1"/>
  <c r="U15" i="10"/>
  <c r="S14" i="10"/>
  <c r="S34" i="10"/>
  <c r="AR4" i="10"/>
  <c r="AT4" i="10" s="1"/>
  <c r="AR5" i="10"/>
  <c r="AT5" i="10" s="1"/>
  <c r="AS6" i="10"/>
  <c r="AS7" i="10"/>
  <c r="AS8" i="10"/>
  <c r="AS9" i="10"/>
  <c r="AS10" i="10"/>
  <c r="AS11" i="10"/>
  <c r="AS12" i="10"/>
  <c r="AS13" i="10"/>
  <c r="AS14" i="10"/>
  <c r="AS15" i="10"/>
  <c r="AS16" i="10"/>
  <c r="AS17" i="10"/>
  <c r="AS18" i="10"/>
  <c r="AS19" i="10"/>
  <c r="AS20" i="10"/>
  <c r="AS21" i="10"/>
  <c r="AS22" i="10"/>
  <c r="AS23" i="10"/>
  <c r="AS24" i="10"/>
  <c r="AS25" i="10"/>
  <c r="AS26" i="10"/>
  <c r="AS27" i="10"/>
  <c r="AS28" i="10"/>
  <c r="AS29" i="10"/>
  <c r="AS30" i="10"/>
  <c r="AS31" i="10"/>
  <c r="AS32" i="10"/>
  <c r="AS33" i="10"/>
  <c r="AS34" i="10"/>
  <c r="AS35" i="10"/>
  <c r="AS36" i="10"/>
  <c r="AS37" i="10"/>
  <c r="AS38" i="10"/>
  <c r="AS39" i="10"/>
  <c r="AS40" i="10"/>
  <c r="AS41" i="10"/>
  <c r="AS42" i="10"/>
  <c r="AS43" i="10"/>
  <c r="AS44" i="10"/>
  <c r="AS45" i="10"/>
  <c r="AS46" i="10"/>
  <c r="AS47" i="10"/>
  <c r="AS48" i="10"/>
  <c r="AS49" i="10"/>
  <c r="AS50" i="10"/>
  <c r="AS51" i="10"/>
  <c r="AS52" i="10"/>
  <c r="AS53" i="10"/>
  <c r="AS54" i="10"/>
  <c r="AS55" i="10"/>
  <c r="AS56" i="10"/>
  <c r="AS57" i="10"/>
  <c r="AS58" i="10"/>
  <c r="AS59" i="10"/>
  <c r="AS60" i="10"/>
  <c r="AS61" i="10"/>
  <c r="AS62" i="10"/>
  <c r="AS63" i="10"/>
  <c r="AS64" i="10"/>
  <c r="AS65" i="10"/>
  <c r="AS66" i="10"/>
  <c r="AS67" i="10"/>
  <c r="AS68" i="10"/>
  <c r="AS69" i="10"/>
  <c r="AS70" i="10"/>
  <c r="AS71" i="10"/>
  <c r="AS72" i="10"/>
  <c r="AS73" i="10"/>
  <c r="AS74" i="10"/>
  <c r="AS75" i="10"/>
  <c r="AS76" i="10"/>
  <c r="AS77" i="10"/>
  <c r="AS78" i="10"/>
  <c r="AS79" i="10"/>
  <c r="AS80" i="10"/>
  <c r="AS81" i="10"/>
  <c r="AS82" i="10"/>
  <c r="AS83" i="10"/>
  <c r="AS84" i="10"/>
  <c r="AS85" i="10"/>
  <c r="AS86" i="10"/>
  <c r="AS87" i="10"/>
  <c r="AS88" i="10"/>
  <c r="AS89" i="10"/>
  <c r="AS90" i="10"/>
  <c r="AS91" i="10"/>
  <c r="AS92" i="10"/>
  <c r="AS93" i="10"/>
  <c r="AS94" i="10"/>
  <c r="AS95" i="10"/>
  <c r="AS96" i="10"/>
  <c r="AS97" i="10"/>
  <c r="AS98" i="10"/>
  <c r="AS99" i="10"/>
  <c r="AS100" i="10"/>
  <c r="AS101" i="10"/>
  <c r="AS102" i="10"/>
  <c r="AS103" i="10"/>
  <c r="AS104" i="10"/>
  <c r="AS105" i="10"/>
  <c r="AS106" i="10"/>
  <c r="AS107" i="10"/>
  <c r="AS108" i="10"/>
  <c r="AS109" i="10"/>
  <c r="AS110" i="10"/>
  <c r="AS111" i="10"/>
  <c r="AS112" i="10"/>
  <c r="AS113" i="10"/>
  <c r="AS114" i="10"/>
  <c r="AS115" i="10"/>
  <c r="AS116" i="10"/>
  <c r="AS117" i="10"/>
  <c r="AS118" i="10"/>
  <c r="AS119" i="10"/>
  <c r="AS120" i="10"/>
  <c r="AS121" i="10"/>
  <c r="AS122" i="10"/>
  <c r="AS123" i="10"/>
  <c r="AS124" i="10"/>
  <c r="AS125" i="10"/>
  <c r="AS126" i="10"/>
  <c r="AS127" i="10"/>
  <c r="AS128" i="10"/>
  <c r="AS129" i="10"/>
  <c r="AS130" i="10"/>
  <c r="AS131" i="10"/>
  <c r="AS132" i="10"/>
  <c r="AS133" i="10"/>
  <c r="AS134" i="10"/>
  <c r="AS135" i="10"/>
  <c r="AS136" i="10"/>
  <c r="AS137" i="10"/>
  <c r="AS138" i="10"/>
  <c r="AS139" i="10"/>
  <c r="AS140" i="10"/>
  <c r="AS141" i="10"/>
  <c r="AS142" i="10"/>
  <c r="AS143" i="10"/>
  <c r="AS144" i="10"/>
  <c r="AS145" i="10"/>
  <c r="AS146" i="10"/>
  <c r="AS147" i="10"/>
  <c r="AS148" i="10"/>
  <c r="AS149" i="10"/>
  <c r="AS150" i="10"/>
  <c r="AS151" i="10"/>
  <c r="AS152" i="10"/>
  <c r="AS153" i="10"/>
  <c r="AS154" i="10"/>
  <c r="AS155" i="10"/>
  <c r="AS156" i="10"/>
  <c r="AS157" i="10"/>
  <c r="AS158" i="10"/>
  <c r="AS159" i="10"/>
  <c r="AS160" i="10"/>
  <c r="AS161" i="10"/>
  <c r="AS162" i="10"/>
  <c r="AS163" i="10"/>
  <c r="AS164" i="10"/>
  <c r="AS165" i="10"/>
  <c r="AS166" i="10"/>
  <c r="AS167" i="10"/>
  <c r="AS168" i="10"/>
  <c r="AS169" i="10"/>
  <c r="AS170" i="10"/>
  <c r="AS171" i="10"/>
  <c r="AS172" i="10"/>
  <c r="AS173" i="10"/>
  <c r="AS174" i="10"/>
  <c r="AS175" i="10"/>
  <c r="AS176" i="10"/>
  <c r="AS177" i="10"/>
  <c r="AS178" i="10"/>
  <c r="AS179" i="10"/>
  <c r="AS180" i="10"/>
  <c r="AS181" i="10"/>
  <c r="AS182" i="10"/>
  <c r="AS183" i="10"/>
  <c r="AS184" i="10"/>
  <c r="AS185" i="10"/>
  <c r="AS186" i="10"/>
  <c r="AS187" i="10"/>
  <c r="AS188" i="10"/>
  <c r="AS189" i="10"/>
  <c r="AS190" i="10"/>
  <c r="AS191" i="10"/>
  <c r="AS192" i="10"/>
  <c r="AS193" i="10"/>
  <c r="AS194" i="10"/>
  <c r="AS195" i="10"/>
  <c r="AS196" i="10"/>
  <c r="AS197" i="10"/>
  <c r="AS198" i="10"/>
  <c r="AS199" i="10"/>
  <c r="AS200" i="10"/>
  <c r="AS201" i="10"/>
  <c r="AS202" i="10"/>
  <c r="AS203" i="10"/>
  <c r="AS204" i="10"/>
  <c r="AS205" i="10"/>
  <c r="AS206" i="10"/>
  <c r="AS207" i="10"/>
  <c r="AS208" i="10"/>
  <c r="AS209" i="10"/>
  <c r="AS210" i="10"/>
  <c r="AS211" i="10"/>
  <c r="AS212" i="10"/>
  <c r="AS213" i="10"/>
  <c r="AS214" i="10"/>
  <c r="AS215" i="10"/>
  <c r="AS216" i="10"/>
  <c r="AS217" i="10"/>
  <c r="AS218" i="10"/>
  <c r="AS219" i="10"/>
  <c r="AS220" i="10"/>
  <c r="AS221" i="10"/>
  <c r="AS222" i="10"/>
  <c r="AS223" i="10"/>
  <c r="AS224" i="10"/>
  <c r="AS225" i="10"/>
  <c r="AS226" i="10"/>
  <c r="AS227" i="10"/>
  <c r="AS228" i="10"/>
  <c r="AS229" i="10"/>
  <c r="AS230" i="10"/>
  <c r="AS231" i="10"/>
  <c r="AS232" i="10"/>
  <c r="AS233" i="10"/>
  <c r="AS234" i="10"/>
  <c r="AS235" i="10"/>
  <c r="AS236" i="10"/>
  <c r="AS237" i="10"/>
  <c r="AS238" i="10"/>
  <c r="AS239" i="10"/>
  <c r="AS240" i="10"/>
  <c r="AS241" i="10"/>
  <c r="AS242" i="10"/>
  <c r="AS243" i="10"/>
  <c r="AS244" i="10"/>
  <c r="AS245" i="10"/>
  <c r="AS246" i="10"/>
  <c r="AS247" i="10"/>
  <c r="AS248" i="10"/>
  <c r="AS249" i="10"/>
  <c r="AS250" i="10"/>
  <c r="AS251" i="10"/>
  <c r="AS252" i="10"/>
  <c r="AS253" i="10"/>
  <c r="AS254" i="10"/>
  <c r="AS255" i="10"/>
  <c r="AS256" i="10"/>
  <c r="AS257" i="10"/>
  <c r="AS258" i="10"/>
  <c r="AS259" i="10"/>
  <c r="AS260" i="10"/>
  <c r="AS261" i="10"/>
  <c r="AS262" i="10"/>
  <c r="AS263" i="10"/>
  <c r="AS264" i="10"/>
  <c r="AS265" i="10"/>
  <c r="AS266" i="10"/>
  <c r="AS267" i="10"/>
  <c r="AS268" i="10"/>
  <c r="AS269" i="10"/>
  <c r="AS270" i="10"/>
  <c r="AS271" i="10"/>
  <c r="AS272" i="10"/>
  <c r="AS273" i="10"/>
  <c r="AS274" i="10"/>
  <c r="AS275" i="10"/>
  <c r="AS276" i="10"/>
  <c r="AS277" i="10"/>
  <c r="AS278" i="10"/>
  <c r="AS279" i="10"/>
  <c r="AS280" i="10"/>
  <c r="AS281" i="10"/>
  <c r="AS282" i="10"/>
  <c r="AS283" i="10"/>
  <c r="AS284" i="10"/>
  <c r="AS285" i="10"/>
  <c r="AS286" i="10"/>
  <c r="AS287" i="10"/>
  <c r="AS288" i="10"/>
  <c r="AS289" i="10"/>
  <c r="AS290" i="10"/>
  <c r="AS291" i="10"/>
  <c r="AS292" i="10"/>
  <c r="AS293" i="10"/>
  <c r="AS294" i="10"/>
  <c r="AS295" i="10"/>
  <c r="AS296" i="10"/>
  <c r="AS297" i="10"/>
  <c r="AS298" i="10"/>
  <c r="AS299" i="10"/>
  <c r="AS300" i="10"/>
  <c r="AS301" i="10"/>
  <c r="AS302" i="10"/>
  <c r="AS303" i="10"/>
  <c r="AS3" i="10"/>
  <c r="AT6" i="10"/>
  <c r="AT7" i="10"/>
  <c r="AT8" i="10"/>
  <c r="AT9" i="10"/>
  <c r="AT10" i="10"/>
  <c r="AT11" i="10"/>
  <c r="AT12" i="10"/>
  <c r="AT13" i="10"/>
  <c r="AT14" i="10"/>
  <c r="AT15" i="10"/>
  <c r="AT16" i="10"/>
  <c r="AT17" i="10"/>
  <c r="AT18" i="10"/>
  <c r="AT19" i="10"/>
  <c r="AT20" i="10"/>
  <c r="AT21" i="10"/>
  <c r="AT22" i="10"/>
  <c r="AT23" i="10"/>
  <c r="AT24" i="10"/>
  <c r="AT25" i="10"/>
  <c r="AT26" i="10"/>
  <c r="AT27" i="10"/>
  <c r="AT28" i="10"/>
  <c r="AT29" i="10"/>
  <c r="AT30" i="10"/>
  <c r="AT31" i="10"/>
  <c r="AT32" i="10"/>
  <c r="AT33" i="10"/>
  <c r="AT34" i="10"/>
  <c r="AT35" i="10"/>
  <c r="AT36" i="10"/>
  <c r="AT37" i="10"/>
  <c r="AT38" i="10"/>
  <c r="AT39" i="10"/>
  <c r="AT40" i="10"/>
  <c r="AT41" i="10"/>
  <c r="AT42" i="10"/>
  <c r="AT43" i="10"/>
  <c r="AT44" i="10"/>
  <c r="AT45" i="10"/>
  <c r="AT46" i="10"/>
  <c r="AT47" i="10"/>
  <c r="AT48" i="10"/>
  <c r="AT49" i="10"/>
  <c r="AT50" i="10"/>
  <c r="AT51" i="10"/>
  <c r="AT52" i="10"/>
  <c r="AT53" i="10"/>
  <c r="AT54" i="10"/>
  <c r="AT55" i="10"/>
  <c r="AT56" i="10"/>
  <c r="AT57" i="10"/>
  <c r="AT58" i="10"/>
  <c r="AT59" i="10"/>
  <c r="AT60" i="10"/>
  <c r="AT61" i="10"/>
  <c r="AT62" i="10"/>
  <c r="AT63" i="10"/>
  <c r="AT64" i="10"/>
  <c r="AT65" i="10"/>
  <c r="AT66" i="10"/>
  <c r="AT67" i="10"/>
  <c r="AT68" i="10"/>
  <c r="AT69" i="10"/>
  <c r="AT70" i="10"/>
  <c r="AT71" i="10"/>
  <c r="AT72" i="10"/>
  <c r="AT73" i="10"/>
  <c r="AT74" i="10"/>
  <c r="AT75" i="10"/>
  <c r="AT76" i="10"/>
  <c r="AT77" i="10"/>
  <c r="AT78" i="10"/>
  <c r="AT79" i="10"/>
  <c r="AT80" i="10"/>
  <c r="AT81" i="10"/>
  <c r="AT82" i="10"/>
  <c r="AT83" i="10"/>
  <c r="AT84" i="10"/>
  <c r="AT85" i="10"/>
  <c r="AT86" i="10"/>
  <c r="AT87" i="10"/>
  <c r="AT88" i="10"/>
  <c r="AT89" i="10"/>
  <c r="AT90" i="10"/>
  <c r="AT91" i="10"/>
  <c r="AT92" i="10"/>
  <c r="AT93" i="10"/>
  <c r="AT94" i="10"/>
  <c r="AT95" i="10"/>
  <c r="AT96" i="10"/>
  <c r="AT97" i="10"/>
  <c r="AT98" i="10"/>
  <c r="AT99" i="10"/>
  <c r="AT100" i="10"/>
  <c r="AT101" i="10"/>
  <c r="AT102" i="10"/>
  <c r="AT103" i="10"/>
  <c r="AT104" i="10"/>
  <c r="AT105" i="10"/>
  <c r="AT106" i="10"/>
  <c r="AT107" i="10"/>
  <c r="AT108" i="10"/>
  <c r="AT109" i="10"/>
  <c r="AT110" i="10"/>
  <c r="AT111" i="10"/>
  <c r="AT112" i="10"/>
  <c r="AT113" i="10"/>
  <c r="AT114" i="10"/>
  <c r="AT115" i="10"/>
  <c r="AT116" i="10"/>
  <c r="AT117" i="10"/>
  <c r="AT118" i="10"/>
  <c r="AT119" i="10"/>
  <c r="AT120" i="10"/>
  <c r="AT121" i="10"/>
  <c r="AT122" i="10"/>
  <c r="AT123" i="10"/>
  <c r="AT124" i="10"/>
  <c r="AT125" i="10"/>
  <c r="AT126" i="10"/>
  <c r="AT127" i="10"/>
  <c r="AT128" i="10"/>
  <c r="AT129" i="10"/>
  <c r="AT130" i="10"/>
  <c r="AT131" i="10"/>
  <c r="AT132" i="10"/>
  <c r="AT133" i="10"/>
  <c r="AT134" i="10"/>
  <c r="AT135" i="10"/>
  <c r="AT136" i="10"/>
  <c r="AT137" i="10"/>
  <c r="AT138" i="10"/>
  <c r="AT139" i="10"/>
  <c r="AT140" i="10"/>
  <c r="AT141" i="10"/>
  <c r="AT142" i="10"/>
  <c r="AT143" i="10"/>
  <c r="AT144" i="10"/>
  <c r="AT145" i="10"/>
  <c r="AT146" i="10"/>
  <c r="AT147" i="10"/>
  <c r="AT148" i="10"/>
  <c r="AT149" i="10"/>
  <c r="AT150" i="10"/>
  <c r="AT151" i="10"/>
  <c r="AT152" i="10"/>
  <c r="AT153" i="10"/>
  <c r="AT154" i="10"/>
  <c r="AT155" i="10"/>
  <c r="AT156" i="10"/>
  <c r="AT157" i="10"/>
  <c r="AT158" i="10"/>
  <c r="AT159" i="10"/>
  <c r="AT160" i="10"/>
  <c r="AT161" i="10"/>
  <c r="AT162" i="10"/>
  <c r="AT163" i="10"/>
  <c r="AT164" i="10"/>
  <c r="AT165" i="10"/>
  <c r="AT166" i="10"/>
  <c r="AT167" i="10"/>
  <c r="AT168" i="10"/>
  <c r="AT169" i="10"/>
  <c r="AT170" i="10"/>
  <c r="AT171" i="10"/>
  <c r="AT172" i="10"/>
  <c r="AT173" i="10"/>
  <c r="AT174" i="10"/>
  <c r="AT175" i="10"/>
  <c r="AT176" i="10"/>
  <c r="AT177" i="10"/>
  <c r="AT178" i="10"/>
  <c r="AT179" i="10"/>
  <c r="AT180" i="10"/>
  <c r="AT181" i="10"/>
  <c r="AT182" i="10"/>
  <c r="AT183" i="10"/>
  <c r="AT184" i="10"/>
  <c r="AT185" i="10"/>
  <c r="AT186" i="10"/>
  <c r="AT187" i="10"/>
  <c r="AT188" i="10"/>
  <c r="AT189" i="10"/>
  <c r="AT190" i="10"/>
  <c r="AT191" i="10"/>
  <c r="AT192" i="10"/>
  <c r="AT193" i="10"/>
  <c r="AT194" i="10"/>
  <c r="AT195" i="10"/>
  <c r="AT196" i="10"/>
  <c r="AT197" i="10"/>
  <c r="AT198" i="10"/>
  <c r="AT199" i="10"/>
  <c r="AT200" i="10"/>
  <c r="AT201" i="10"/>
  <c r="AT202" i="10"/>
  <c r="AT203" i="10"/>
  <c r="AT204" i="10"/>
  <c r="AT205" i="10"/>
  <c r="AT206" i="10"/>
  <c r="AT207" i="10"/>
  <c r="AT208" i="10"/>
  <c r="AT209" i="10"/>
  <c r="AT210" i="10"/>
  <c r="AT211" i="10"/>
  <c r="AT212" i="10"/>
  <c r="AT213" i="10"/>
  <c r="AT214" i="10"/>
  <c r="AT215" i="10"/>
  <c r="AT216" i="10"/>
  <c r="AT217" i="10"/>
  <c r="AT218" i="10"/>
  <c r="AT219" i="10"/>
  <c r="AT220" i="10"/>
  <c r="AT221" i="10"/>
  <c r="AT222" i="10"/>
  <c r="AT223" i="10"/>
  <c r="AT224" i="10"/>
  <c r="AT225" i="10"/>
  <c r="AT226" i="10"/>
  <c r="AT227" i="10"/>
  <c r="AT228" i="10"/>
  <c r="AT229" i="10"/>
  <c r="AT230" i="10"/>
  <c r="AT231" i="10"/>
  <c r="AT232" i="10"/>
  <c r="AT233" i="10"/>
  <c r="AT234" i="10"/>
  <c r="AT235" i="10"/>
  <c r="AT236" i="10"/>
  <c r="AT237" i="10"/>
  <c r="AT238" i="10"/>
  <c r="AT239" i="10"/>
  <c r="AT240" i="10"/>
  <c r="AT241" i="10"/>
  <c r="AT242" i="10"/>
  <c r="AT243" i="10"/>
  <c r="AT244" i="10"/>
  <c r="AT245" i="10"/>
  <c r="AT246" i="10"/>
  <c r="AT247" i="10"/>
  <c r="AT248" i="10"/>
  <c r="AT249" i="10"/>
  <c r="AT250" i="10"/>
  <c r="AT251" i="10"/>
  <c r="AT252" i="10"/>
  <c r="AT253" i="10"/>
  <c r="AT254" i="10"/>
  <c r="AT255" i="10"/>
  <c r="AT256" i="10"/>
  <c r="AT257" i="10"/>
  <c r="AT258" i="10"/>
  <c r="AT259" i="10"/>
  <c r="AT260" i="10"/>
  <c r="AT261" i="10"/>
  <c r="AT262" i="10"/>
  <c r="AT263" i="10"/>
  <c r="AT264" i="10"/>
  <c r="AT265" i="10"/>
  <c r="AT266" i="10"/>
  <c r="AT267" i="10"/>
  <c r="AT268" i="10"/>
  <c r="AT269" i="10"/>
  <c r="AT270" i="10"/>
  <c r="AT271" i="10"/>
  <c r="AT272" i="10"/>
  <c r="AT273" i="10"/>
  <c r="AT274" i="10"/>
  <c r="AT275" i="10"/>
  <c r="AT276" i="10"/>
  <c r="AT277" i="10"/>
  <c r="AT278" i="10"/>
  <c r="AT279" i="10"/>
  <c r="AT280" i="10"/>
  <c r="AT281" i="10"/>
  <c r="AT282" i="10"/>
  <c r="AT283" i="10"/>
  <c r="AT284" i="10"/>
  <c r="AT285" i="10"/>
  <c r="AT286" i="10"/>
  <c r="AT287" i="10"/>
  <c r="AT288" i="10"/>
  <c r="AT289" i="10"/>
  <c r="AT290" i="10"/>
  <c r="AT291" i="10"/>
  <c r="AT292" i="10"/>
  <c r="AT293" i="10"/>
  <c r="AT294" i="10"/>
  <c r="AT295" i="10"/>
  <c r="AT296" i="10"/>
  <c r="AT297" i="10"/>
  <c r="AT298" i="10"/>
  <c r="AT299" i="10"/>
  <c r="AT300" i="10"/>
  <c r="AT301" i="10"/>
  <c r="AT302" i="10"/>
  <c r="AT303" i="10"/>
  <c r="AT3" i="10"/>
  <c r="AS4" i="10"/>
  <c r="B25" i="187"/>
  <c r="B13" i="187"/>
  <c r="B14" i="187"/>
  <c r="B15" i="187"/>
  <c r="B16" i="187"/>
  <c r="B17" i="187"/>
  <c r="B18" i="187"/>
  <c r="B19" i="187"/>
  <c r="B20" i="187"/>
  <c r="B21" i="187"/>
  <c r="B22" i="187"/>
  <c r="B23" i="187"/>
  <c r="B12" i="187"/>
  <c r="B4" i="187"/>
  <c r="B6" i="187"/>
  <c r="B7" i="187"/>
  <c r="B8" i="187"/>
  <c r="B5" i="187"/>
  <c r="N14" i="10" l="1"/>
  <c r="N15" i="10"/>
  <c r="S2" i="10"/>
  <c r="S15" i="10"/>
  <c r="S35" i="10"/>
  <c r="AS5" i="10"/>
  <c r="AD6" i="10"/>
  <c r="AD7" i="10"/>
  <c r="AD10" i="10"/>
  <c r="AD14" i="10"/>
  <c r="AD15" i="10"/>
  <c r="AD8" i="10"/>
  <c r="AD12" i="10"/>
  <c r="AD11" i="10"/>
  <c r="AD5" i="10"/>
  <c r="AD9" i="10"/>
  <c r="AD13" i="10"/>
  <c r="D23" i="187"/>
  <c r="H23" i="187" s="1"/>
  <c r="D22" i="187"/>
  <c r="H22" i="187" s="1"/>
  <c r="D21" i="187"/>
  <c r="H21" i="187" s="1"/>
  <c r="D20" i="187"/>
  <c r="H20" i="187" s="1"/>
  <c r="D19" i="187"/>
  <c r="H19" i="187" s="1"/>
  <c r="D18" i="187"/>
  <c r="H18" i="187" s="1"/>
  <c r="D17" i="187"/>
  <c r="H17" i="187" s="1"/>
  <c r="D16" i="187"/>
  <c r="H16" i="187" s="1"/>
  <c r="D15" i="187"/>
  <c r="H15" i="187" s="1"/>
  <c r="D14" i="187"/>
  <c r="H14" i="187" s="1"/>
  <c r="D13" i="187"/>
  <c r="H13" i="187" s="1"/>
  <c r="D12" i="187"/>
  <c r="H12" i="187" s="1"/>
  <c r="C8" i="187"/>
  <c r="D7" i="187"/>
  <c r="D6" i="187"/>
  <c r="G6" i="187" s="1"/>
  <c r="D5" i="187"/>
  <c r="G5" i="187" s="1"/>
  <c r="AK17" i="10"/>
  <c r="AK18" i="10"/>
  <c r="AK30" i="10" s="1"/>
  <c r="AK42" i="10" s="1"/>
  <c r="AK54" i="10" s="1"/>
  <c r="AK66" i="10" s="1"/>
  <c r="AK78" i="10" s="1"/>
  <c r="AK90" i="10" s="1"/>
  <c r="AK102" i="10" s="1"/>
  <c r="AK114" i="10" s="1"/>
  <c r="AK126" i="10" s="1"/>
  <c r="AK138" i="10" s="1"/>
  <c r="AK150" i="10" s="1"/>
  <c r="AK162" i="10" s="1"/>
  <c r="AK174" i="10" s="1"/>
  <c r="AK186" i="10" s="1"/>
  <c r="AK198" i="10" s="1"/>
  <c r="AK210" i="10" s="1"/>
  <c r="AK222" i="10" s="1"/>
  <c r="AK234" i="10" s="1"/>
  <c r="AK246" i="10" s="1"/>
  <c r="AK258" i="10" s="1"/>
  <c r="AK270" i="10" s="1"/>
  <c r="AK282" i="10" s="1"/>
  <c r="AK294" i="10" s="1"/>
  <c r="AK306" i="10" s="1"/>
  <c r="AK318" i="10" s="1"/>
  <c r="AK19" i="10"/>
  <c r="AK31" i="10" s="1"/>
  <c r="AK43" i="10" s="1"/>
  <c r="AK55" i="10" s="1"/>
  <c r="AK67" i="10" s="1"/>
  <c r="AK79" i="10" s="1"/>
  <c r="AK91" i="10" s="1"/>
  <c r="AK103" i="10" s="1"/>
  <c r="AK115" i="10" s="1"/>
  <c r="AK127" i="10" s="1"/>
  <c r="AK139" i="10" s="1"/>
  <c r="AK151" i="10" s="1"/>
  <c r="AK163" i="10" s="1"/>
  <c r="AK175" i="10" s="1"/>
  <c r="AK187" i="10" s="1"/>
  <c r="AK199" i="10" s="1"/>
  <c r="AK211" i="10" s="1"/>
  <c r="AK223" i="10" s="1"/>
  <c r="AK235" i="10" s="1"/>
  <c r="AK247" i="10" s="1"/>
  <c r="AK259" i="10" s="1"/>
  <c r="AK271" i="10" s="1"/>
  <c r="AK283" i="10" s="1"/>
  <c r="AK295" i="10" s="1"/>
  <c r="AK307" i="10" s="1"/>
  <c r="AK319" i="10" s="1"/>
  <c r="AK20" i="10"/>
  <c r="AK32" i="10" s="1"/>
  <c r="AK44" i="10" s="1"/>
  <c r="AK56" i="10" s="1"/>
  <c r="AK68" i="10" s="1"/>
  <c r="AK80" i="10" s="1"/>
  <c r="AK92" i="10" s="1"/>
  <c r="AK104" i="10" s="1"/>
  <c r="AK116" i="10" s="1"/>
  <c r="AK128" i="10" s="1"/>
  <c r="AK140" i="10" s="1"/>
  <c r="AK152" i="10" s="1"/>
  <c r="AK164" i="10" s="1"/>
  <c r="AK176" i="10" s="1"/>
  <c r="AK188" i="10" s="1"/>
  <c r="AK200" i="10" s="1"/>
  <c r="AK212" i="10" s="1"/>
  <c r="AK224" i="10" s="1"/>
  <c r="AK236" i="10" s="1"/>
  <c r="AK248" i="10" s="1"/>
  <c r="AK260" i="10" s="1"/>
  <c r="AK272" i="10" s="1"/>
  <c r="AK284" i="10" s="1"/>
  <c r="AK296" i="10" s="1"/>
  <c r="AK308" i="10" s="1"/>
  <c r="AK320" i="10" s="1"/>
  <c r="AK21" i="10"/>
  <c r="AK22" i="10"/>
  <c r="AK34" i="10" s="1"/>
  <c r="AK46" i="10" s="1"/>
  <c r="AK58" i="10" s="1"/>
  <c r="AK70" i="10" s="1"/>
  <c r="AK82" i="10" s="1"/>
  <c r="AK94" i="10" s="1"/>
  <c r="AK106" i="10" s="1"/>
  <c r="AK118" i="10" s="1"/>
  <c r="AK130" i="10" s="1"/>
  <c r="AK142" i="10" s="1"/>
  <c r="AK154" i="10" s="1"/>
  <c r="AK166" i="10" s="1"/>
  <c r="AK178" i="10" s="1"/>
  <c r="AK190" i="10" s="1"/>
  <c r="AK202" i="10" s="1"/>
  <c r="AK214" i="10" s="1"/>
  <c r="AK226" i="10" s="1"/>
  <c r="AK238" i="10" s="1"/>
  <c r="AK250" i="10" s="1"/>
  <c r="AK262" i="10" s="1"/>
  <c r="AK274" i="10" s="1"/>
  <c r="AK286" i="10" s="1"/>
  <c r="AK298" i="10" s="1"/>
  <c r="AK310" i="10" s="1"/>
  <c r="AK322" i="10" s="1"/>
  <c r="AK23" i="10"/>
  <c r="AK35" i="10" s="1"/>
  <c r="AK47" i="10" s="1"/>
  <c r="AK59" i="10" s="1"/>
  <c r="AK71" i="10" s="1"/>
  <c r="AK83" i="10" s="1"/>
  <c r="AK95" i="10" s="1"/>
  <c r="AK107" i="10" s="1"/>
  <c r="AK119" i="10" s="1"/>
  <c r="AK131" i="10" s="1"/>
  <c r="AK143" i="10" s="1"/>
  <c r="AK155" i="10" s="1"/>
  <c r="AK167" i="10" s="1"/>
  <c r="AK179" i="10" s="1"/>
  <c r="AK191" i="10" s="1"/>
  <c r="AK203" i="10" s="1"/>
  <c r="AK215" i="10" s="1"/>
  <c r="AK227" i="10" s="1"/>
  <c r="AK239" i="10" s="1"/>
  <c r="AK251" i="10" s="1"/>
  <c r="AK263" i="10" s="1"/>
  <c r="AK275" i="10" s="1"/>
  <c r="AK287" i="10" s="1"/>
  <c r="AK299" i="10" s="1"/>
  <c r="AK311" i="10" s="1"/>
  <c r="AK323" i="10" s="1"/>
  <c r="AK24" i="10"/>
  <c r="AK36" i="10" s="1"/>
  <c r="AK48" i="10" s="1"/>
  <c r="AK60" i="10" s="1"/>
  <c r="AK72" i="10" s="1"/>
  <c r="AK84" i="10" s="1"/>
  <c r="AK96" i="10" s="1"/>
  <c r="AK108" i="10" s="1"/>
  <c r="AK120" i="10" s="1"/>
  <c r="AK132" i="10" s="1"/>
  <c r="AK144" i="10" s="1"/>
  <c r="AK156" i="10" s="1"/>
  <c r="AK168" i="10" s="1"/>
  <c r="AK180" i="10" s="1"/>
  <c r="AK192" i="10" s="1"/>
  <c r="AK204" i="10" s="1"/>
  <c r="AK216" i="10" s="1"/>
  <c r="AK228" i="10" s="1"/>
  <c r="AK240" i="10" s="1"/>
  <c r="AK252" i="10" s="1"/>
  <c r="AK264" i="10" s="1"/>
  <c r="AK276" i="10" s="1"/>
  <c r="AK288" i="10" s="1"/>
  <c r="AK300" i="10" s="1"/>
  <c r="AK312" i="10" s="1"/>
  <c r="AK324" i="10" s="1"/>
  <c r="AK25" i="10"/>
  <c r="AK26" i="10"/>
  <c r="AK38" i="10" s="1"/>
  <c r="AK50" i="10" s="1"/>
  <c r="AK62" i="10" s="1"/>
  <c r="AK74" i="10" s="1"/>
  <c r="AK86" i="10" s="1"/>
  <c r="AK98" i="10" s="1"/>
  <c r="AK110" i="10" s="1"/>
  <c r="AK122" i="10" s="1"/>
  <c r="AK134" i="10" s="1"/>
  <c r="AK146" i="10" s="1"/>
  <c r="AK158" i="10" s="1"/>
  <c r="AK170" i="10" s="1"/>
  <c r="AK182" i="10" s="1"/>
  <c r="AK194" i="10" s="1"/>
  <c r="AK206" i="10" s="1"/>
  <c r="AK218" i="10" s="1"/>
  <c r="AK230" i="10" s="1"/>
  <c r="AK242" i="10" s="1"/>
  <c r="AK254" i="10" s="1"/>
  <c r="AK266" i="10" s="1"/>
  <c r="AK278" i="10" s="1"/>
  <c r="AK290" i="10" s="1"/>
  <c r="AK302" i="10" s="1"/>
  <c r="AK314" i="10" s="1"/>
  <c r="AK326" i="10" s="1"/>
  <c r="AK27" i="10"/>
  <c r="AK39" i="10" s="1"/>
  <c r="AK51" i="10" s="1"/>
  <c r="AK63" i="10" s="1"/>
  <c r="AK75" i="10" s="1"/>
  <c r="AK87" i="10" s="1"/>
  <c r="AK99" i="10" s="1"/>
  <c r="AK111" i="10" s="1"/>
  <c r="AK123" i="10" s="1"/>
  <c r="AK135" i="10" s="1"/>
  <c r="AK147" i="10" s="1"/>
  <c r="AK159" i="10" s="1"/>
  <c r="AK171" i="10" s="1"/>
  <c r="AK183" i="10" s="1"/>
  <c r="AK195" i="10" s="1"/>
  <c r="AK207" i="10" s="1"/>
  <c r="AK219" i="10" s="1"/>
  <c r="AK231" i="10" s="1"/>
  <c r="AK243" i="10" s="1"/>
  <c r="AK255" i="10" s="1"/>
  <c r="AK267" i="10" s="1"/>
  <c r="AK279" i="10" s="1"/>
  <c r="AK291" i="10" s="1"/>
  <c r="AK303" i="10" s="1"/>
  <c r="AK315" i="10" s="1"/>
  <c r="AK327" i="10" s="1"/>
  <c r="AK29" i="10"/>
  <c r="AK41" i="10" s="1"/>
  <c r="AK53" i="10" s="1"/>
  <c r="AK65" i="10" s="1"/>
  <c r="AK77" i="10" s="1"/>
  <c r="AK89" i="10" s="1"/>
  <c r="AK101" i="10" s="1"/>
  <c r="AK113" i="10" s="1"/>
  <c r="AK125" i="10" s="1"/>
  <c r="AK137" i="10" s="1"/>
  <c r="AK149" i="10" s="1"/>
  <c r="AK161" i="10" s="1"/>
  <c r="AK173" i="10" s="1"/>
  <c r="AK185" i="10" s="1"/>
  <c r="AK197" i="10" s="1"/>
  <c r="AK209" i="10" s="1"/>
  <c r="AK221" i="10" s="1"/>
  <c r="AK233" i="10" s="1"/>
  <c r="AK245" i="10" s="1"/>
  <c r="AK257" i="10" s="1"/>
  <c r="AK269" i="10" s="1"/>
  <c r="AK281" i="10" s="1"/>
  <c r="AK293" i="10" s="1"/>
  <c r="AK305" i="10" s="1"/>
  <c r="AK317" i="10" s="1"/>
  <c r="AK329" i="10" s="1"/>
  <c r="AK33" i="10"/>
  <c r="AK45" i="10" s="1"/>
  <c r="AK57" i="10" s="1"/>
  <c r="AK69" i="10" s="1"/>
  <c r="AK81" i="10" s="1"/>
  <c r="AK93" i="10" s="1"/>
  <c r="AK105" i="10" s="1"/>
  <c r="AK117" i="10" s="1"/>
  <c r="AK129" i="10" s="1"/>
  <c r="AK141" i="10" s="1"/>
  <c r="AK153" i="10" s="1"/>
  <c r="AK165" i="10" s="1"/>
  <c r="AK177" i="10" s="1"/>
  <c r="AK189" i="10" s="1"/>
  <c r="AK201" i="10" s="1"/>
  <c r="AK213" i="10" s="1"/>
  <c r="AK225" i="10" s="1"/>
  <c r="AK237" i="10" s="1"/>
  <c r="AK249" i="10" s="1"/>
  <c r="AK261" i="10" s="1"/>
  <c r="AK273" i="10" s="1"/>
  <c r="AK285" i="10" s="1"/>
  <c r="AK297" i="10" s="1"/>
  <c r="AK309" i="10" s="1"/>
  <c r="AK321" i="10" s="1"/>
  <c r="AK37" i="10"/>
  <c r="AK49" i="10" s="1"/>
  <c r="AK61" i="10" s="1"/>
  <c r="AK73" i="10" s="1"/>
  <c r="AK85" i="10" s="1"/>
  <c r="AK97" i="10" s="1"/>
  <c r="AK109" i="10" s="1"/>
  <c r="AK121" i="10" s="1"/>
  <c r="AK133" i="10" s="1"/>
  <c r="AK145" i="10" s="1"/>
  <c r="AK157" i="10" s="1"/>
  <c r="AK169" i="10" s="1"/>
  <c r="AK181" i="10" s="1"/>
  <c r="AK193" i="10" s="1"/>
  <c r="AK205" i="10" s="1"/>
  <c r="AK217" i="10" s="1"/>
  <c r="AK229" i="10" s="1"/>
  <c r="AK241" i="10" s="1"/>
  <c r="AK253" i="10" s="1"/>
  <c r="AK265" i="10" s="1"/>
  <c r="AK277" i="10" s="1"/>
  <c r="AK289" i="10" s="1"/>
  <c r="AK301" i="10" s="1"/>
  <c r="AK313" i="10" s="1"/>
  <c r="AK325" i="10" s="1"/>
  <c r="AK16" i="10"/>
  <c r="AJ7" i="10"/>
  <c r="AJ8" i="10"/>
  <c r="AJ9" i="10"/>
  <c r="AJ10" i="10"/>
  <c r="AJ11" i="10"/>
  <c r="AJ12" i="10"/>
  <c r="AJ13" i="10"/>
  <c r="AJ14" i="10"/>
  <c r="AG4" i="10"/>
  <c r="T2" i="10" l="1"/>
  <c r="V2" i="10"/>
  <c r="U2" i="10"/>
  <c r="W2" i="10"/>
  <c r="AF21" i="10" s="1"/>
  <c r="S36" i="10"/>
  <c r="AD18" i="10"/>
  <c r="AA4" i="10" s="1"/>
  <c r="C27" i="187"/>
  <c r="AD17" i="10" s="1"/>
  <c r="AA3" i="10"/>
  <c r="G7" i="187"/>
  <c r="E7" i="187"/>
  <c r="AK28" i="10"/>
  <c r="AM11" i="10"/>
  <c r="AN11" i="10" s="1"/>
  <c r="AM7" i="10"/>
  <c r="AN7" i="10" s="1"/>
  <c r="AM14" i="10"/>
  <c r="AN14" i="10" s="1"/>
  <c r="AM10" i="10"/>
  <c r="AN10" i="10" s="1"/>
  <c r="AM13" i="10"/>
  <c r="AN13" i="10" s="1"/>
  <c r="AM9" i="10"/>
  <c r="AN9" i="10" s="1"/>
  <c r="AM12" i="10"/>
  <c r="AN12" i="10" s="1"/>
  <c r="AM8" i="10"/>
  <c r="AN8" i="10" s="1"/>
  <c r="H6" i="187"/>
  <c r="AD4" i="10"/>
  <c r="H5" i="187"/>
  <c r="H7" i="187"/>
  <c r="E12" i="187"/>
  <c r="E13" i="187"/>
  <c r="E14" i="187"/>
  <c r="E15" i="187"/>
  <c r="E16" i="187"/>
  <c r="E17" i="187"/>
  <c r="E18" i="187"/>
  <c r="E19" i="187"/>
  <c r="E20" i="187"/>
  <c r="E21" i="187"/>
  <c r="E22" i="187"/>
  <c r="E23" i="187"/>
  <c r="E5" i="187"/>
  <c r="E6" i="187"/>
  <c r="G12" i="187"/>
  <c r="G13" i="187"/>
  <c r="G14" i="187"/>
  <c r="G15" i="187"/>
  <c r="G16" i="187"/>
  <c r="G17" i="187"/>
  <c r="G18" i="187"/>
  <c r="G19" i="187"/>
  <c r="G20" i="187"/>
  <c r="G21" i="187"/>
  <c r="G22" i="187"/>
  <c r="G23" i="187"/>
  <c r="S37" i="10" l="1"/>
  <c r="AA12" i="10"/>
  <c r="AA1" i="10"/>
  <c r="AA11" i="10"/>
  <c r="AA10" i="10"/>
  <c r="AA2" i="10"/>
  <c r="AA6" i="10"/>
  <c r="AA5" i="10"/>
  <c r="AK40" i="10"/>
  <c r="S38" i="10" l="1"/>
  <c r="AK52" i="10"/>
  <c r="AG6" i="10"/>
  <c r="AL15" i="10"/>
  <c r="S39" i="10" l="1"/>
  <c r="AG9" i="10"/>
  <c r="AA7" i="10"/>
  <c r="AA8" i="10"/>
  <c r="AA9" i="10"/>
  <c r="BP9" i="10"/>
  <c r="BP13" i="10"/>
  <c r="BP21" i="10"/>
  <c r="BP25" i="10"/>
  <c r="BP29" i="10"/>
  <c r="BP33" i="10"/>
  <c r="BP37" i="10"/>
  <c r="BP41" i="10"/>
  <c r="BP45" i="10"/>
  <c r="BP49" i="10"/>
  <c r="BP53" i="10"/>
  <c r="BP57" i="10"/>
  <c r="BP61" i="10"/>
  <c r="BP65" i="10"/>
  <c r="BP69" i="10"/>
  <c r="BP73" i="10"/>
  <c r="BP77" i="10"/>
  <c r="BP81" i="10"/>
  <c r="BP85" i="10"/>
  <c r="BP89" i="10"/>
  <c r="BP93" i="10"/>
  <c r="BP97" i="10"/>
  <c r="BP101" i="10"/>
  <c r="BP105" i="10"/>
  <c r="BP109" i="10"/>
  <c r="BP113" i="10"/>
  <c r="BP117" i="10"/>
  <c r="BP121" i="10"/>
  <c r="BP125" i="10"/>
  <c r="BP129" i="10"/>
  <c r="BP133" i="10"/>
  <c r="BP137" i="10"/>
  <c r="BP141" i="10"/>
  <c r="BP145" i="10"/>
  <c r="BP149" i="10"/>
  <c r="BP153" i="10"/>
  <c r="BP157" i="10"/>
  <c r="BP161" i="10"/>
  <c r="BP165" i="10"/>
  <c r="BP169" i="10"/>
  <c r="BP173" i="10"/>
  <c r="BP177" i="10"/>
  <c r="BP181" i="10"/>
  <c r="BP185" i="10"/>
  <c r="BP189" i="10"/>
  <c r="BP193" i="10"/>
  <c r="BP197" i="10"/>
  <c r="BP201" i="10"/>
  <c r="BP205" i="10"/>
  <c r="BP209" i="10"/>
  <c r="BP213" i="10"/>
  <c r="BP217" i="10"/>
  <c r="BP221" i="10"/>
  <c r="BP225" i="10"/>
  <c r="BP229" i="10"/>
  <c r="BP233" i="10"/>
  <c r="BP237" i="10"/>
  <c r="BP241" i="10"/>
  <c r="BP245" i="10"/>
  <c r="BP249" i="10"/>
  <c r="BP253" i="10"/>
  <c r="BP257" i="10"/>
  <c r="BP261" i="10"/>
  <c r="BP265" i="10"/>
  <c r="BP269" i="10"/>
  <c r="BP273" i="10"/>
  <c r="BP277" i="10"/>
  <c r="BP12" i="10"/>
  <c r="BP96" i="10"/>
  <c r="BP128" i="10"/>
  <c r="BP140" i="10"/>
  <c r="BP152" i="10"/>
  <c r="BP10" i="10"/>
  <c r="BP14" i="10"/>
  <c r="BP22" i="10"/>
  <c r="BP26" i="10"/>
  <c r="BP30" i="10"/>
  <c r="BP34" i="10"/>
  <c r="BP38" i="10"/>
  <c r="BP42" i="10"/>
  <c r="BP46" i="10"/>
  <c r="BP50" i="10"/>
  <c r="BP54" i="10"/>
  <c r="BP58" i="10"/>
  <c r="BP62" i="10"/>
  <c r="BP66" i="10"/>
  <c r="BP70" i="10"/>
  <c r="BP74" i="10"/>
  <c r="BP78" i="10"/>
  <c r="BP82" i="10"/>
  <c r="BP86" i="10"/>
  <c r="BP90" i="10"/>
  <c r="BP94" i="10"/>
  <c r="BP98" i="10"/>
  <c r="BP102" i="10"/>
  <c r="BP106" i="10"/>
  <c r="BP110" i="10"/>
  <c r="BP114" i="10"/>
  <c r="BP118" i="10"/>
  <c r="BP122" i="10"/>
  <c r="BP126" i="10"/>
  <c r="BP130" i="10"/>
  <c r="BP134" i="10"/>
  <c r="BP138" i="10"/>
  <c r="BP142" i="10"/>
  <c r="BP146" i="10"/>
  <c r="BP150" i="10"/>
  <c r="BP154" i="10"/>
  <c r="BP158" i="10"/>
  <c r="BP162" i="10"/>
  <c r="BP166" i="10"/>
  <c r="BP170" i="10"/>
  <c r="BP174" i="10"/>
  <c r="BP178" i="10"/>
  <c r="BP182" i="10"/>
  <c r="BP186" i="10"/>
  <c r="BP190" i="10"/>
  <c r="BP194" i="10"/>
  <c r="BP198" i="10"/>
  <c r="BP202" i="10"/>
  <c r="BP206" i="10"/>
  <c r="BP210" i="10"/>
  <c r="BP214" i="10"/>
  <c r="BP218" i="10"/>
  <c r="BP222" i="10"/>
  <c r="BP226" i="10"/>
  <c r="BP230" i="10"/>
  <c r="BP234" i="10"/>
  <c r="BP238" i="10"/>
  <c r="BP242" i="10"/>
  <c r="BP246" i="10"/>
  <c r="BP250" i="10"/>
  <c r="BP254" i="10"/>
  <c r="BP258" i="10"/>
  <c r="BP262" i="10"/>
  <c r="BP266" i="10"/>
  <c r="BP270" i="10"/>
  <c r="BP274" i="10"/>
  <c r="BP278" i="10"/>
  <c r="BP24" i="10"/>
  <c r="BP32" i="10"/>
  <c r="BP40" i="10"/>
  <c r="BP48" i="10"/>
  <c r="BP56" i="10"/>
  <c r="BP64" i="10"/>
  <c r="BP72" i="10"/>
  <c r="BP80" i="10"/>
  <c r="BP88" i="10"/>
  <c r="BP100" i="10"/>
  <c r="BP108" i="10"/>
  <c r="BP116" i="10"/>
  <c r="BP124" i="10"/>
  <c r="BP136" i="10"/>
  <c r="BP148" i="10"/>
  <c r="BP7" i="10"/>
  <c r="BP11" i="10"/>
  <c r="BP19" i="10"/>
  <c r="BP23" i="10"/>
  <c r="BP27" i="10"/>
  <c r="BP31" i="10"/>
  <c r="BP35" i="10"/>
  <c r="BP39" i="10"/>
  <c r="BP43" i="10"/>
  <c r="BP47" i="10"/>
  <c r="BP51" i="10"/>
  <c r="BP55" i="10"/>
  <c r="BP59" i="10"/>
  <c r="BP63" i="10"/>
  <c r="BP67" i="10"/>
  <c r="BP71" i="10"/>
  <c r="BP75" i="10"/>
  <c r="BP79" i="10"/>
  <c r="BP83" i="10"/>
  <c r="BP87" i="10"/>
  <c r="BP91" i="10"/>
  <c r="BP95" i="10"/>
  <c r="BP99" i="10"/>
  <c r="BP103" i="10"/>
  <c r="BP107" i="10"/>
  <c r="BP111" i="10"/>
  <c r="BP115" i="10"/>
  <c r="BP119" i="10"/>
  <c r="BP123" i="10"/>
  <c r="BP127" i="10"/>
  <c r="BP131" i="10"/>
  <c r="BP135" i="10"/>
  <c r="BP139" i="10"/>
  <c r="BP143" i="10"/>
  <c r="BP147" i="10"/>
  <c r="BP151" i="10"/>
  <c r="BP155" i="10"/>
  <c r="BP159" i="10"/>
  <c r="BP163" i="10"/>
  <c r="BP167" i="10"/>
  <c r="BP171" i="10"/>
  <c r="BP175" i="10"/>
  <c r="BP179" i="10"/>
  <c r="BP183" i="10"/>
  <c r="BP187" i="10"/>
  <c r="BP191" i="10"/>
  <c r="BP195" i="10"/>
  <c r="BP199" i="10"/>
  <c r="BP203" i="10"/>
  <c r="BP207" i="10"/>
  <c r="BP211" i="10"/>
  <c r="BP215" i="10"/>
  <c r="BP219" i="10"/>
  <c r="BP223" i="10"/>
  <c r="BP227" i="10"/>
  <c r="BP231" i="10"/>
  <c r="BP235" i="10"/>
  <c r="BP239" i="10"/>
  <c r="BP243" i="10"/>
  <c r="BP247" i="10"/>
  <c r="BP251" i="10"/>
  <c r="BP255" i="10"/>
  <c r="BP259" i="10"/>
  <c r="BP263" i="10"/>
  <c r="BP267" i="10"/>
  <c r="BP271" i="10"/>
  <c r="BP275" i="10"/>
  <c r="BP279" i="10"/>
  <c r="BP8" i="10"/>
  <c r="BP20" i="10"/>
  <c r="BP28" i="10"/>
  <c r="BP36" i="10"/>
  <c r="BP44" i="10"/>
  <c r="BP52" i="10"/>
  <c r="BP60" i="10"/>
  <c r="BP68" i="10"/>
  <c r="BP76" i="10"/>
  <c r="BP84" i="10"/>
  <c r="BP92" i="10"/>
  <c r="BP104" i="10"/>
  <c r="BP112" i="10"/>
  <c r="BP120" i="10"/>
  <c r="BP132" i="10"/>
  <c r="BP144" i="10"/>
  <c r="BP156" i="10"/>
  <c r="BP172" i="10"/>
  <c r="BP188" i="10"/>
  <c r="BP204" i="10"/>
  <c r="BP220" i="10"/>
  <c r="BP236" i="10"/>
  <c r="BP252" i="10"/>
  <c r="BP268" i="10"/>
  <c r="BP176" i="10"/>
  <c r="BP192" i="10"/>
  <c r="BP208" i="10"/>
  <c r="BP224" i="10"/>
  <c r="BP240" i="10"/>
  <c r="BP256" i="10"/>
  <c r="BP164" i="10"/>
  <c r="BP180" i="10"/>
  <c r="BP196" i="10"/>
  <c r="BP212" i="10"/>
  <c r="BP228" i="10"/>
  <c r="BP260" i="10"/>
  <c r="BP168" i="10"/>
  <c r="BP184" i="10"/>
  <c r="BP216" i="10"/>
  <c r="BP248" i="10"/>
  <c r="BP160" i="10"/>
  <c r="BP272" i="10"/>
  <c r="BP244" i="10"/>
  <c r="BP276" i="10"/>
  <c r="BP200" i="10"/>
  <c r="BP232" i="10"/>
  <c r="BP264" i="10"/>
  <c r="V9" i="10"/>
  <c r="V13" i="10"/>
  <c r="V21" i="10"/>
  <c r="V25" i="10"/>
  <c r="V29" i="10"/>
  <c r="V33" i="10"/>
  <c r="V37" i="10"/>
  <c r="V41" i="10"/>
  <c r="V45" i="10"/>
  <c r="V49" i="10"/>
  <c r="V53" i="10"/>
  <c r="V57" i="10"/>
  <c r="V61" i="10"/>
  <c r="V65" i="10"/>
  <c r="V69" i="10"/>
  <c r="V73" i="10"/>
  <c r="V77" i="10"/>
  <c r="V81" i="10"/>
  <c r="V85" i="10"/>
  <c r="V89" i="10"/>
  <c r="V93" i="10"/>
  <c r="V97" i="10"/>
  <c r="V101" i="10"/>
  <c r="V105" i="10"/>
  <c r="V109" i="10"/>
  <c r="V113" i="10"/>
  <c r="V117" i="10"/>
  <c r="V121" i="10"/>
  <c r="V125" i="10"/>
  <c r="V129" i="10"/>
  <c r="V133" i="10"/>
  <c r="V137" i="10"/>
  <c r="V141" i="10"/>
  <c r="V145" i="10"/>
  <c r="V149" i="10"/>
  <c r="V153" i="10"/>
  <c r="V157" i="10"/>
  <c r="V161" i="10"/>
  <c r="V165" i="10"/>
  <c r="V169" i="10"/>
  <c r="V173" i="10"/>
  <c r="V177" i="10"/>
  <c r="V181" i="10"/>
  <c r="V185" i="10"/>
  <c r="V189" i="10"/>
  <c r="V14" i="10"/>
  <c r="V22" i="10"/>
  <c r="V26" i="10"/>
  <c r="V30" i="10"/>
  <c r="V38" i="10"/>
  <c r="V42" i="10"/>
  <c r="V50" i="10"/>
  <c r="V54" i="10"/>
  <c r="V62" i="10"/>
  <c r="V66" i="10"/>
  <c r="V74" i="10"/>
  <c r="V82" i="10"/>
  <c r="V90" i="10"/>
  <c r="V98" i="10"/>
  <c r="V106" i="10"/>
  <c r="V114" i="10"/>
  <c r="V122" i="10"/>
  <c r="V130" i="10"/>
  <c r="V138" i="10"/>
  <c r="V142" i="10"/>
  <c r="V150" i="10"/>
  <c r="V158" i="10"/>
  <c r="V166" i="10"/>
  <c r="V170" i="10"/>
  <c r="V178" i="10"/>
  <c r="V186" i="10"/>
  <c r="V7" i="10"/>
  <c r="V19" i="10"/>
  <c r="V23" i="10"/>
  <c r="V31" i="10"/>
  <c r="V39" i="10"/>
  <c r="V47" i="10"/>
  <c r="V55" i="10"/>
  <c r="V63" i="10"/>
  <c r="V71" i="10"/>
  <c r="V10" i="10"/>
  <c r="V34" i="10"/>
  <c r="V46" i="10"/>
  <c r="V58" i="10"/>
  <c r="V70" i="10"/>
  <c r="V78" i="10"/>
  <c r="V86" i="10"/>
  <c r="V94" i="10"/>
  <c r="V102" i="10"/>
  <c r="V110" i="10"/>
  <c r="V118" i="10"/>
  <c r="V126" i="10"/>
  <c r="V134" i="10"/>
  <c r="V146" i="10"/>
  <c r="V154" i="10"/>
  <c r="V162" i="10"/>
  <c r="V174" i="10"/>
  <c r="V182" i="10"/>
  <c r="V11" i="10"/>
  <c r="V27" i="10"/>
  <c r="V35" i="10"/>
  <c r="V43" i="10"/>
  <c r="V51" i="10"/>
  <c r="V59" i="10"/>
  <c r="V67" i="10"/>
  <c r="V176" i="10"/>
  <c r="V12" i="10"/>
  <c r="V28" i="10"/>
  <c r="V44" i="10"/>
  <c r="V60" i="10"/>
  <c r="V75" i="10"/>
  <c r="V83" i="10"/>
  <c r="V91" i="10"/>
  <c r="V99" i="10"/>
  <c r="V115" i="10"/>
  <c r="V123" i="10"/>
  <c r="V131" i="10"/>
  <c r="V139" i="10"/>
  <c r="V155" i="10"/>
  <c r="V163" i="10"/>
  <c r="V171" i="10"/>
  <c r="V187" i="10"/>
  <c r="V32" i="10"/>
  <c r="V48" i="10"/>
  <c r="V64" i="10"/>
  <c r="V76" i="10"/>
  <c r="V84" i="10"/>
  <c r="V92" i="10"/>
  <c r="V100" i="10"/>
  <c r="V108" i="10"/>
  <c r="V116" i="10"/>
  <c r="V124" i="10"/>
  <c r="V132" i="10"/>
  <c r="V140" i="10"/>
  <c r="V148" i="10"/>
  <c r="V156" i="10"/>
  <c r="V164" i="10"/>
  <c r="V172" i="10"/>
  <c r="V180" i="10"/>
  <c r="V188" i="10"/>
  <c r="V20" i="10"/>
  <c r="V36" i="10"/>
  <c r="V52" i="10"/>
  <c r="V68" i="10"/>
  <c r="V79" i="10"/>
  <c r="V87" i="10"/>
  <c r="V95" i="10"/>
  <c r="V103" i="10"/>
  <c r="V111" i="10"/>
  <c r="V119" i="10"/>
  <c r="V127" i="10"/>
  <c r="V135" i="10"/>
  <c r="V143" i="10"/>
  <c r="V151" i="10"/>
  <c r="V159" i="10"/>
  <c r="V167" i="10"/>
  <c r="V175" i="10"/>
  <c r="V183" i="10"/>
  <c r="V8" i="10"/>
  <c r="V24" i="10"/>
  <c r="V40" i="10"/>
  <c r="V56" i="10"/>
  <c r="V72" i="10"/>
  <c r="V80" i="10"/>
  <c r="V88" i="10"/>
  <c r="V96" i="10"/>
  <c r="V104" i="10"/>
  <c r="V112" i="10"/>
  <c r="V120" i="10"/>
  <c r="V128" i="10"/>
  <c r="V136" i="10"/>
  <c r="V144" i="10"/>
  <c r="V152" i="10"/>
  <c r="V160" i="10"/>
  <c r="V168" i="10"/>
  <c r="V184" i="10"/>
  <c r="V107" i="10"/>
  <c r="V147" i="10"/>
  <c r="V179" i="10"/>
  <c r="AK64" i="10"/>
  <c r="AJ15" i="10"/>
  <c r="BP15" i="10" s="1"/>
  <c r="AG3" i="10"/>
  <c r="S40" i="10" l="1"/>
  <c r="V15" i="10"/>
  <c r="AK76" i="10"/>
  <c r="AM15" i="10"/>
  <c r="AN15" i="10" s="1"/>
  <c r="AL16" i="10"/>
  <c r="S41" i="10" l="1"/>
  <c r="AK88" i="10"/>
  <c r="AJ16" i="10"/>
  <c r="AL17" i="10"/>
  <c r="AJ3" i="10"/>
  <c r="S42" i="10" l="1"/>
  <c r="V16" i="10"/>
  <c r="BP16" i="10"/>
  <c r="AK100" i="10"/>
  <c r="AM3" i="10"/>
  <c r="AN3" i="10" s="1"/>
  <c r="AJ17" i="10"/>
  <c r="AM16" i="10"/>
  <c r="AN16" i="10" s="1"/>
  <c r="AL18" i="10"/>
  <c r="AJ4" i="10"/>
  <c r="AJ5" i="10"/>
  <c r="AJ6" i="10"/>
  <c r="S43" i="10" l="1"/>
  <c r="V17" i="10"/>
  <c r="BP17" i="10"/>
  <c r="BP5" i="10"/>
  <c r="V5" i="10"/>
  <c r="BP6" i="10"/>
  <c r="V6" i="10"/>
  <c r="BP4" i="10"/>
  <c r="V4" i="10"/>
  <c r="AK112" i="10"/>
  <c r="AJ18" i="10"/>
  <c r="AM17" i="10"/>
  <c r="AN17" i="10" s="1"/>
  <c r="AM6" i="10"/>
  <c r="AN6" i="10" s="1"/>
  <c r="AM5" i="10"/>
  <c r="AN5" i="10" s="1"/>
  <c r="AM4" i="10"/>
  <c r="AN4" i="10" s="1"/>
  <c r="AL19" i="10"/>
  <c r="S44" i="10" l="1"/>
  <c r="V18" i="10"/>
  <c r="BP18" i="10"/>
  <c r="AK124" i="10"/>
  <c r="AJ19" i="10"/>
  <c r="AM18" i="10"/>
  <c r="AN18" i="10" s="1"/>
  <c r="AL20" i="10"/>
  <c r="S45" i="10" l="1"/>
  <c r="AK136" i="10"/>
  <c r="AJ20" i="10"/>
  <c r="AM19" i="10"/>
  <c r="AN19" i="10" s="1"/>
  <c r="AL21" i="10"/>
  <c r="S46" i="10" l="1"/>
  <c r="AK148" i="10"/>
  <c r="AJ21" i="10"/>
  <c r="AM20" i="10"/>
  <c r="AN20" i="10" s="1"/>
  <c r="AL22" i="10"/>
  <c r="S47" i="10" l="1"/>
  <c r="AJ22" i="10"/>
  <c r="AK160" i="10"/>
  <c r="AM21" i="10"/>
  <c r="AN21" i="10" s="1"/>
  <c r="AL23" i="10"/>
  <c r="S48" i="10" l="1"/>
  <c r="AM22" i="10"/>
  <c r="AN22" i="10" s="1"/>
  <c r="AJ23" i="10"/>
  <c r="AM23" i="10" s="1"/>
  <c r="AN23" i="10" s="1"/>
  <c r="AK172" i="10"/>
  <c r="AL24" i="10"/>
  <c r="B14" i="10"/>
  <c r="D8" i="225" l="1"/>
  <c r="E8" i="225" s="1"/>
  <c r="D8" i="224"/>
  <c r="E8" i="224" s="1"/>
  <c r="S49" i="10"/>
  <c r="D8" i="223"/>
  <c r="E8" i="223" s="1"/>
  <c r="D8" i="222"/>
  <c r="E8" i="222" s="1"/>
  <c r="D8" i="221"/>
  <c r="E8" i="221" s="1"/>
  <c r="D8" i="215"/>
  <c r="E8" i="215" s="1"/>
  <c r="D8" i="216"/>
  <c r="E8" i="216" s="1"/>
  <c r="D8" i="220"/>
  <c r="E8" i="220" s="1"/>
  <c r="D8" i="218"/>
  <c r="E8" i="218" s="1"/>
  <c r="D8" i="217"/>
  <c r="E8" i="217" s="1"/>
  <c r="D8" i="219"/>
  <c r="E8" i="219" s="1"/>
  <c r="D8" i="208"/>
  <c r="E8" i="208" s="1"/>
  <c r="AK184" i="10"/>
  <c r="D8" i="187"/>
  <c r="E8" i="187" s="1"/>
  <c r="AJ24" i="10"/>
  <c r="D25" i="187"/>
  <c r="E25" i="187" s="1"/>
  <c r="AL25" i="10"/>
  <c r="B33" i="10"/>
  <c r="D27" i="225" l="1"/>
  <c r="D27" i="224"/>
  <c r="S50" i="10"/>
  <c r="D27" i="223"/>
  <c r="D27" i="222"/>
  <c r="D27" i="221"/>
  <c r="D27" i="219"/>
  <c r="D27" i="218"/>
  <c r="D27" i="216"/>
  <c r="D27" i="220"/>
  <c r="D27" i="217"/>
  <c r="D27" i="215"/>
  <c r="D27" i="208"/>
  <c r="AK196" i="10"/>
  <c r="AJ25" i="10"/>
  <c r="D27" i="187"/>
  <c r="X13" i="10"/>
  <c r="X8" i="10"/>
  <c r="X16" i="10"/>
  <c r="X20" i="10"/>
  <c r="X24" i="10"/>
  <c r="X28" i="10"/>
  <c r="X32" i="10"/>
  <c r="X36" i="10"/>
  <c r="X40" i="10"/>
  <c r="X44" i="10"/>
  <c r="X48" i="10"/>
  <c r="X52" i="10"/>
  <c r="X56" i="10"/>
  <c r="X60" i="10"/>
  <c r="X64" i="10"/>
  <c r="X68" i="10"/>
  <c r="X72" i="10"/>
  <c r="X76" i="10"/>
  <c r="X80" i="10"/>
  <c r="X84" i="10"/>
  <c r="X88" i="10"/>
  <c r="X92" i="10"/>
  <c r="X96" i="10"/>
  <c r="X100" i="10"/>
  <c r="X104" i="10"/>
  <c r="X108" i="10"/>
  <c r="X112" i="10"/>
  <c r="X116" i="10"/>
  <c r="X120" i="10"/>
  <c r="X124" i="10"/>
  <c r="X128" i="10"/>
  <c r="X132" i="10"/>
  <c r="X136" i="10"/>
  <c r="X140" i="10"/>
  <c r="X144" i="10"/>
  <c r="X148" i="10"/>
  <c r="X152" i="10"/>
  <c r="X156" i="10"/>
  <c r="X160" i="10"/>
  <c r="X164" i="10"/>
  <c r="X168" i="10"/>
  <c r="X172" i="10"/>
  <c r="X176" i="10"/>
  <c r="X180" i="10"/>
  <c r="X184" i="10"/>
  <c r="X188" i="10"/>
  <c r="Y14" i="10"/>
  <c r="Y18" i="10"/>
  <c r="Y22" i="10"/>
  <c r="Y26" i="10"/>
  <c r="Y30" i="10"/>
  <c r="Y34" i="10"/>
  <c r="Y38" i="10"/>
  <c r="Y42" i="10"/>
  <c r="Y46" i="10"/>
  <c r="Y50" i="10"/>
  <c r="Y54" i="10"/>
  <c r="Y58" i="10"/>
  <c r="Y62" i="10"/>
  <c r="Y66" i="10"/>
  <c r="Y70" i="10"/>
  <c r="Y74" i="10"/>
  <c r="Y78" i="10"/>
  <c r="Y82" i="10"/>
  <c r="Y86" i="10"/>
  <c r="Y90" i="10"/>
  <c r="Y94" i="10"/>
  <c r="Y98" i="10"/>
  <c r="Y102" i="10"/>
  <c r="Y106" i="10"/>
  <c r="Y110" i="10"/>
  <c r="Y114" i="10"/>
  <c r="Y118" i="10"/>
  <c r="Y122" i="10"/>
  <c r="Y126" i="10"/>
  <c r="Y130" i="10"/>
  <c r="Y134" i="10"/>
  <c r="Y138" i="10"/>
  <c r="Y142" i="10"/>
  <c r="Y146" i="10"/>
  <c r="Y150" i="10"/>
  <c r="Y154" i="10"/>
  <c r="Y158" i="10"/>
  <c r="Y162" i="10"/>
  <c r="Y166" i="10"/>
  <c r="Y170" i="10"/>
  <c r="Y174" i="10"/>
  <c r="Y178" i="10"/>
  <c r="Y182" i="10"/>
  <c r="Y186" i="10"/>
  <c r="X183" i="10"/>
  <c r="Y133" i="10"/>
  <c r="Y12" i="10"/>
  <c r="X11" i="10"/>
  <c r="X17" i="10"/>
  <c r="X21" i="10"/>
  <c r="X25" i="10"/>
  <c r="X29" i="10"/>
  <c r="X33" i="10"/>
  <c r="X37" i="10"/>
  <c r="X41" i="10"/>
  <c r="X45" i="10"/>
  <c r="X49" i="10"/>
  <c r="X53" i="10"/>
  <c r="X57" i="10"/>
  <c r="X61" i="10"/>
  <c r="X65" i="10"/>
  <c r="X69" i="10"/>
  <c r="X73" i="10"/>
  <c r="X77" i="10"/>
  <c r="X81" i="10"/>
  <c r="X85" i="10"/>
  <c r="X89" i="10"/>
  <c r="X93" i="10"/>
  <c r="X97" i="10"/>
  <c r="X101" i="10"/>
  <c r="X105" i="10"/>
  <c r="X109" i="10"/>
  <c r="X113" i="10"/>
  <c r="X117" i="10"/>
  <c r="X121" i="10"/>
  <c r="X125" i="10"/>
  <c r="X129" i="10"/>
  <c r="X133" i="10"/>
  <c r="X137" i="10"/>
  <c r="X141" i="10"/>
  <c r="X145" i="10"/>
  <c r="X149" i="10"/>
  <c r="X153" i="10"/>
  <c r="X157" i="10"/>
  <c r="X161" i="10"/>
  <c r="X165" i="10"/>
  <c r="X169" i="10"/>
  <c r="X173" i="10"/>
  <c r="X177" i="10"/>
  <c r="X181" i="10"/>
  <c r="X185" i="10"/>
  <c r="X189" i="10"/>
  <c r="Y15" i="10"/>
  <c r="Y19" i="10"/>
  <c r="Y23" i="10"/>
  <c r="Y27" i="10"/>
  <c r="Y31" i="10"/>
  <c r="Y35" i="10"/>
  <c r="Y39" i="10"/>
  <c r="Y43" i="10"/>
  <c r="Y47" i="10"/>
  <c r="Y51" i="10"/>
  <c r="Y55" i="10"/>
  <c r="Y59" i="10"/>
  <c r="Y63" i="10"/>
  <c r="Y67" i="10"/>
  <c r="Y71" i="10"/>
  <c r="Y75" i="10"/>
  <c r="Y79" i="10"/>
  <c r="Y83" i="10"/>
  <c r="Y87" i="10"/>
  <c r="Y91" i="10"/>
  <c r="Y95" i="10"/>
  <c r="Y99" i="10"/>
  <c r="Y103" i="10"/>
  <c r="Y107" i="10"/>
  <c r="Y111" i="10"/>
  <c r="Y115" i="10"/>
  <c r="Y119" i="10"/>
  <c r="Y123" i="10"/>
  <c r="Y127" i="10"/>
  <c r="Y131" i="10"/>
  <c r="Y135" i="10"/>
  <c r="Y139" i="10"/>
  <c r="Y143" i="10"/>
  <c r="Y147" i="10"/>
  <c r="Y151" i="10"/>
  <c r="Y155" i="10"/>
  <c r="Y159" i="10"/>
  <c r="Y163" i="10"/>
  <c r="Y167" i="10"/>
  <c r="Y171" i="10"/>
  <c r="Y175" i="10"/>
  <c r="Y179" i="10"/>
  <c r="Y183" i="10"/>
  <c r="Y187" i="10"/>
  <c r="X15" i="10"/>
  <c r="X23" i="10"/>
  <c r="X31" i="10"/>
  <c r="X39" i="10"/>
  <c r="X47" i="10"/>
  <c r="X55" i="10"/>
  <c r="X63" i="10"/>
  <c r="X71" i="10"/>
  <c r="X79" i="10"/>
  <c r="X87" i="10"/>
  <c r="X95" i="10"/>
  <c r="X103" i="10"/>
  <c r="X111" i="10"/>
  <c r="X119" i="10"/>
  <c r="X127" i="10"/>
  <c r="X135" i="10"/>
  <c r="X143" i="10"/>
  <c r="X151" i="10"/>
  <c r="X159" i="10"/>
  <c r="X167" i="10"/>
  <c r="X175" i="10"/>
  <c r="X187" i="10"/>
  <c r="Y17" i="10"/>
  <c r="Y25" i="10"/>
  <c r="Y33" i="10"/>
  <c r="Y41" i="10"/>
  <c r="Y49" i="10"/>
  <c r="Y57" i="10"/>
  <c r="Y65" i="10"/>
  <c r="Y73" i="10"/>
  <c r="Y81" i="10"/>
  <c r="Y89" i="10"/>
  <c r="Y97" i="10"/>
  <c r="Y105" i="10"/>
  <c r="Y113" i="10"/>
  <c r="Y121" i="10"/>
  <c r="Y129" i="10"/>
  <c r="Y141" i="10"/>
  <c r="Y149" i="10"/>
  <c r="Y157" i="10"/>
  <c r="Y165" i="10"/>
  <c r="Y173" i="10"/>
  <c r="Y181" i="10"/>
  <c r="Y189" i="10"/>
  <c r="X10" i="10"/>
  <c r="X14" i="10"/>
  <c r="X18" i="10"/>
  <c r="X22" i="10"/>
  <c r="X26" i="10"/>
  <c r="X30" i="10"/>
  <c r="X34" i="10"/>
  <c r="X38" i="10"/>
  <c r="X42" i="10"/>
  <c r="X46" i="10"/>
  <c r="X50" i="10"/>
  <c r="X54" i="10"/>
  <c r="X58" i="10"/>
  <c r="X62" i="10"/>
  <c r="X66" i="10"/>
  <c r="X70" i="10"/>
  <c r="X74" i="10"/>
  <c r="X78" i="10"/>
  <c r="X82" i="10"/>
  <c r="X86" i="10"/>
  <c r="X90" i="10"/>
  <c r="X94" i="10"/>
  <c r="X98" i="10"/>
  <c r="X102" i="10"/>
  <c r="X106" i="10"/>
  <c r="X110" i="10"/>
  <c r="X114" i="10"/>
  <c r="X118" i="10"/>
  <c r="X122" i="10"/>
  <c r="X126" i="10"/>
  <c r="X130" i="10"/>
  <c r="X134" i="10"/>
  <c r="X138" i="10"/>
  <c r="X142" i="10"/>
  <c r="X146" i="10"/>
  <c r="X150" i="10"/>
  <c r="X154" i="10"/>
  <c r="X158" i="10"/>
  <c r="X162" i="10"/>
  <c r="X166" i="10"/>
  <c r="X170" i="10"/>
  <c r="X174" i="10"/>
  <c r="X178" i="10"/>
  <c r="X182" i="10"/>
  <c r="X186" i="10"/>
  <c r="Y9" i="10"/>
  <c r="Y16" i="10"/>
  <c r="Y20" i="10"/>
  <c r="Y24" i="10"/>
  <c r="Y28" i="10"/>
  <c r="Y32" i="10"/>
  <c r="Y36" i="10"/>
  <c r="Y40" i="10"/>
  <c r="Y44" i="10"/>
  <c r="Y48" i="10"/>
  <c r="Y52" i="10"/>
  <c r="Y56" i="10"/>
  <c r="Y60" i="10"/>
  <c r="Y64" i="10"/>
  <c r="Y68" i="10"/>
  <c r="Y72" i="10"/>
  <c r="Y76" i="10"/>
  <c r="Y80" i="10"/>
  <c r="Y84" i="10"/>
  <c r="Y88" i="10"/>
  <c r="Y92" i="10"/>
  <c r="Y96" i="10"/>
  <c r="Y100" i="10"/>
  <c r="Y104" i="10"/>
  <c r="Y108" i="10"/>
  <c r="Y112" i="10"/>
  <c r="Y116" i="10"/>
  <c r="Y120" i="10"/>
  <c r="Y124" i="10"/>
  <c r="Y128" i="10"/>
  <c r="Y132" i="10"/>
  <c r="Y136" i="10"/>
  <c r="Y140" i="10"/>
  <c r="Y144" i="10"/>
  <c r="Y148" i="10"/>
  <c r="Y152" i="10"/>
  <c r="Y156" i="10"/>
  <c r="Y160" i="10"/>
  <c r="Y164" i="10"/>
  <c r="Y168" i="10"/>
  <c r="Y172" i="10"/>
  <c r="Y176" i="10"/>
  <c r="Y180" i="10"/>
  <c r="Y184" i="10"/>
  <c r="Y188" i="10"/>
  <c r="X9" i="10"/>
  <c r="X19" i="10"/>
  <c r="X27" i="10"/>
  <c r="X35" i="10"/>
  <c r="X43" i="10"/>
  <c r="X51" i="10"/>
  <c r="X59" i="10"/>
  <c r="X67" i="10"/>
  <c r="X75" i="10"/>
  <c r="X83" i="10"/>
  <c r="X91" i="10"/>
  <c r="X99" i="10"/>
  <c r="X107" i="10"/>
  <c r="X115" i="10"/>
  <c r="X123" i="10"/>
  <c r="X131" i="10"/>
  <c r="X139" i="10"/>
  <c r="X147" i="10"/>
  <c r="X155" i="10"/>
  <c r="X163" i="10"/>
  <c r="X171" i="10"/>
  <c r="X179" i="10"/>
  <c r="Y10" i="10"/>
  <c r="Y21" i="10"/>
  <c r="Y29" i="10"/>
  <c r="Y37" i="10"/>
  <c r="Y45" i="10"/>
  <c r="Y53" i="10"/>
  <c r="Y61" i="10"/>
  <c r="Y69" i="10"/>
  <c r="Y77" i="10"/>
  <c r="Y85" i="10"/>
  <c r="Y93" i="10"/>
  <c r="Y101" i="10"/>
  <c r="Y109" i="10"/>
  <c r="Y117" i="10"/>
  <c r="Y125" i="10"/>
  <c r="Y137" i="10"/>
  <c r="Y145" i="10"/>
  <c r="Y153" i="10"/>
  <c r="Y161" i="10"/>
  <c r="Y169" i="10"/>
  <c r="Y177" i="10"/>
  <c r="Y185" i="10"/>
  <c r="Y13" i="10"/>
  <c r="X7" i="10"/>
  <c r="X12" i="10"/>
  <c r="Y8" i="10"/>
  <c r="Y11" i="10"/>
  <c r="Y7" i="10"/>
  <c r="Y5" i="10"/>
  <c r="Y6" i="10"/>
  <c r="Y4" i="10"/>
  <c r="X6" i="10"/>
  <c r="X4" i="10"/>
  <c r="X5" i="10"/>
  <c r="AM24" i="10"/>
  <c r="AN24" i="10" s="1"/>
  <c r="AL26" i="10"/>
  <c r="H26" i="224" l="1"/>
  <c r="E27" i="224"/>
  <c r="G26" i="224"/>
  <c r="H26" i="225"/>
  <c r="E27" i="225"/>
  <c r="G26" i="225"/>
  <c r="S51" i="10"/>
  <c r="G26" i="221"/>
  <c r="H26" i="221"/>
  <c r="E27" i="221"/>
  <c r="H26" i="222"/>
  <c r="E27" i="222"/>
  <c r="G26" i="222"/>
  <c r="H26" i="223"/>
  <c r="G26" i="223"/>
  <c r="E27" i="223"/>
  <c r="E27" i="220"/>
  <c r="G26" i="220"/>
  <c r="H26" i="220"/>
  <c r="E27" i="216"/>
  <c r="G26" i="216"/>
  <c r="H26" i="216"/>
  <c r="H26" i="215"/>
  <c r="E27" i="215"/>
  <c r="G26" i="215"/>
  <c r="G26" i="218"/>
  <c r="H26" i="218"/>
  <c r="E27" i="218"/>
  <c r="E27" i="217"/>
  <c r="G26" i="217"/>
  <c r="H26" i="217"/>
  <c r="G26" i="219"/>
  <c r="E27" i="219"/>
  <c r="H26" i="219"/>
  <c r="G26" i="208"/>
  <c r="H26" i="208"/>
  <c r="E27" i="208"/>
  <c r="AK208" i="10"/>
  <c r="H26" i="187"/>
  <c r="G26" i="187"/>
  <c r="E27" i="187"/>
  <c r="AM25" i="10"/>
  <c r="AN25" i="10" s="1"/>
  <c r="AJ26" i="10"/>
  <c r="AL27" i="10"/>
  <c r="S52" i="10" l="1"/>
  <c r="AK220" i="10"/>
  <c r="AJ27" i="10"/>
  <c r="AM26" i="10"/>
  <c r="AN26" i="10" s="1"/>
  <c r="AL28" i="10"/>
  <c r="S53" i="10" l="1"/>
  <c r="AK232" i="10"/>
  <c r="AJ28" i="10"/>
  <c r="AM27" i="10"/>
  <c r="AN27" i="10" s="1"/>
  <c r="AL29" i="10"/>
  <c r="S54" i="10" l="1"/>
  <c r="AK244" i="10"/>
  <c r="AJ29" i="10"/>
  <c r="AM28" i="10"/>
  <c r="AN28" i="10" s="1"/>
  <c r="AL30" i="10"/>
  <c r="S55" i="10" l="1"/>
  <c r="AK256" i="10"/>
  <c r="AM29" i="10"/>
  <c r="AN29" i="10" s="1"/>
  <c r="AJ30" i="10"/>
  <c r="AL31" i="10"/>
  <c r="S56" i="10" l="1"/>
  <c r="AK268" i="10"/>
  <c r="AM30" i="10"/>
  <c r="AN30" i="10" s="1"/>
  <c r="AJ31" i="10"/>
  <c r="AL32" i="10"/>
  <c r="S57" i="10" l="1"/>
  <c r="AK280" i="10"/>
  <c r="AJ32" i="10"/>
  <c r="AM31" i="10"/>
  <c r="AN31" i="10" s="1"/>
  <c r="AL33" i="10"/>
  <c r="S58" i="10" l="1"/>
  <c r="AK292" i="10"/>
  <c r="AJ33" i="10"/>
  <c r="AM32" i="10"/>
  <c r="AN32" i="10" s="1"/>
  <c r="AL34" i="10"/>
  <c r="S59" i="10" l="1"/>
  <c r="AK304" i="10"/>
  <c r="AK316" i="10" s="1"/>
  <c r="AK328" i="10" s="1"/>
  <c r="AM33" i="10"/>
  <c r="AN33" i="10" s="1"/>
  <c r="AJ34" i="10"/>
  <c r="AL35" i="10"/>
  <c r="S60" i="10" l="1"/>
  <c r="AJ35" i="10"/>
  <c r="AM34" i="10"/>
  <c r="AN34" i="10" s="1"/>
  <c r="AL36" i="10"/>
  <c r="S61" i="10" l="1"/>
  <c r="AJ36" i="10"/>
  <c r="AM35" i="10"/>
  <c r="AN35" i="10" s="1"/>
  <c r="AL37" i="10"/>
  <c r="S62" i="10" l="1"/>
  <c r="AJ37" i="10"/>
  <c r="AM36" i="10"/>
  <c r="AN36" i="10" s="1"/>
  <c r="AL38" i="10"/>
  <c r="S63" i="10" l="1"/>
  <c r="AM37" i="10"/>
  <c r="AN37" i="10" s="1"/>
  <c r="AJ38" i="10"/>
  <c r="AM38" i="10" s="1"/>
  <c r="AN38" i="10" s="1"/>
  <c r="AL39" i="10"/>
  <c r="S64" i="10" l="1"/>
  <c r="AJ39" i="10"/>
  <c r="AL40" i="10"/>
  <c r="S65" i="10" l="1"/>
  <c r="AM39" i="10"/>
  <c r="AN39" i="10" s="1"/>
  <c r="AJ40" i="10"/>
  <c r="AL41" i="10"/>
  <c r="S66" i="10" l="1"/>
  <c r="AJ41" i="10"/>
  <c r="AM40" i="10"/>
  <c r="AN40" i="10" s="1"/>
  <c r="AL42" i="10"/>
  <c r="S67" i="10" l="1"/>
  <c r="AJ42" i="10"/>
  <c r="AM41" i="10"/>
  <c r="AN41" i="10" s="1"/>
  <c r="AL43" i="10"/>
  <c r="S68" i="10" l="1"/>
  <c r="AJ43" i="10"/>
  <c r="AM42" i="10"/>
  <c r="AN42" i="10" s="1"/>
  <c r="AL44" i="10"/>
  <c r="S69" i="10" l="1"/>
  <c r="AJ44" i="10"/>
  <c r="AM43" i="10"/>
  <c r="AN43" i="10" s="1"/>
  <c r="AL45" i="10"/>
  <c r="S70" i="10" l="1"/>
  <c r="AJ45" i="10"/>
  <c r="AM44" i="10"/>
  <c r="AN44" i="10" s="1"/>
  <c r="AL46" i="10"/>
  <c r="S71" i="10" l="1"/>
  <c r="AJ46" i="10"/>
  <c r="AM45" i="10"/>
  <c r="AN45" i="10" s="1"/>
  <c r="AL47" i="10"/>
  <c r="S72" i="10" l="1"/>
  <c r="AJ47" i="10"/>
  <c r="AM46" i="10"/>
  <c r="AN46" i="10" s="1"/>
  <c r="AL48" i="10"/>
  <c r="S73" i="10" l="1"/>
  <c r="AJ48" i="10"/>
  <c r="AM47" i="10"/>
  <c r="AN47" i="10" s="1"/>
  <c r="AL49" i="10"/>
  <c r="S74" i="10" l="1"/>
  <c r="AJ49" i="10"/>
  <c r="AM48" i="10"/>
  <c r="AN48" i="10" s="1"/>
  <c r="AL50" i="10"/>
  <c r="S75" i="10" l="1"/>
  <c r="AJ50" i="10"/>
  <c r="AM49" i="10"/>
  <c r="AN49" i="10" s="1"/>
  <c r="AL51" i="10"/>
  <c r="S76" i="10" l="1"/>
  <c r="AJ51" i="10"/>
  <c r="AM50" i="10"/>
  <c r="AN50" i="10" s="1"/>
  <c r="AL52" i="10"/>
  <c r="S77" i="10" l="1"/>
  <c r="AJ52" i="10"/>
  <c r="AM51" i="10"/>
  <c r="AN51" i="10" s="1"/>
  <c r="AL53" i="10"/>
  <c r="S78" i="10" l="1"/>
  <c r="AJ53" i="10"/>
  <c r="AM52" i="10"/>
  <c r="AN52" i="10" s="1"/>
  <c r="AL54" i="10"/>
  <c r="S79" i="10" l="1"/>
  <c r="AJ54" i="10"/>
  <c r="AM53" i="10"/>
  <c r="AN53" i="10" s="1"/>
  <c r="AL55" i="10"/>
  <c r="S80" i="10" l="1"/>
  <c r="AJ55" i="10"/>
  <c r="AM54" i="10"/>
  <c r="AN54" i="10" s="1"/>
  <c r="AL56" i="10"/>
  <c r="S81" i="10" l="1"/>
  <c r="AJ56" i="10"/>
  <c r="AM55" i="10"/>
  <c r="AN55" i="10" s="1"/>
  <c r="AL57" i="10"/>
  <c r="S82" i="10" l="1"/>
  <c r="AJ57" i="10"/>
  <c r="AM56" i="10"/>
  <c r="AN56" i="10" s="1"/>
  <c r="AL58" i="10"/>
  <c r="S83" i="10" l="1"/>
  <c r="AJ58" i="10"/>
  <c r="AM57" i="10"/>
  <c r="AN57" i="10" s="1"/>
  <c r="AL59" i="10"/>
  <c r="S84" i="10" l="1"/>
  <c r="AJ59" i="10"/>
  <c r="AM58" i="10"/>
  <c r="AN58" i="10" s="1"/>
  <c r="AL60" i="10"/>
  <c r="S85" i="10" l="1"/>
  <c r="AJ60" i="10"/>
  <c r="AM59" i="10"/>
  <c r="AN59" i="10" s="1"/>
  <c r="AL61" i="10"/>
  <c r="S86" i="10" l="1"/>
  <c r="AJ61" i="10"/>
  <c r="AM60" i="10"/>
  <c r="AN60" i="10" s="1"/>
  <c r="AL62" i="10"/>
  <c r="S87" i="10" l="1"/>
  <c r="AJ62" i="10"/>
  <c r="AM61" i="10"/>
  <c r="AN61" i="10" s="1"/>
  <c r="AL63" i="10"/>
  <c r="S88" i="10" l="1"/>
  <c r="AJ63" i="10"/>
  <c r="AM62" i="10"/>
  <c r="AN62" i="10" s="1"/>
  <c r="AL64" i="10"/>
  <c r="S89" i="10" l="1"/>
  <c r="AJ64" i="10"/>
  <c r="AM63" i="10"/>
  <c r="AN63" i="10" s="1"/>
  <c r="AL65" i="10"/>
  <c r="S90" i="10" l="1"/>
  <c r="AJ65" i="10"/>
  <c r="AM64" i="10"/>
  <c r="AN64" i="10" s="1"/>
  <c r="AL66" i="10"/>
  <c r="S91" i="10" l="1"/>
  <c r="AJ66" i="10"/>
  <c r="AM65" i="10"/>
  <c r="AN65" i="10" s="1"/>
  <c r="AL67" i="10"/>
  <c r="S92" i="10" l="1"/>
  <c r="AJ67" i="10"/>
  <c r="AM66" i="10"/>
  <c r="AN66" i="10" s="1"/>
  <c r="AL68" i="10"/>
  <c r="S93" i="10" l="1"/>
  <c r="AJ68" i="10"/>
  <c r="AM67" i="10"/>
  <c r="AN67" i="10" s="1"/>
  <c r="AL69" i="10"/>
  <c r="S94" i="10" l="1"/>
  <c r="AJ69" i="10"/>
  <c r="AM68" i="10"/>
  <c r="AN68" i="10" s="1"/>
  <c r="AL70" i="10"/>
  <c r="S95" i="10" l="1"/>
  <c r="AJ70" i="10"/>
  <c r="AM69" i="10"/>
  <c r="AN69" i="10" s="1"/>
  <c r="AL71" i="10"/>
  <c r="S96" i="10" l="1"/>
  <c r="AJ71" i="10"/>
  <c r="AM70" i="10"/>
  <c r="AN70" i="10" s="1"/>
  <c r="AL72" i="10"/>
  <c r="S97" i="10" l="1"/>
  <c r="AJ72" i="10"/>
  <c r="AM71" i="10"/>
  <c r="AN71" i="10" s="1"/>
  <c r="AL73" i="10"/>
  <c r="S98" i="10" l="1"/>
  <c r="AJ73" i="10"/>
  <c r="AM72" i="10"/>
  <c r="AN72" i="10" s="1"/>
  <c r="AL74" i="10"/>
  <c r="S99" i="10" l="1"/>
  <c r="AJ74" i="10"/>
  <c r="AM73" i="10"/>
  <c r="AN73" i="10" s="1"/>
  <c r="AL75" i="10"/>
  <c r="S100" i="10" l="1"/>
  <c r="AJ75" i="10"/>
  <c r="AM74" i="10"/>
  <c r="AN74" i="10" s="1"/>
  <c r="AL76" i="10"/>
  <c r="S101" i="10" l="1"/>
  <c r="AJ76" i="10"/>
  <c r="AM75" i="10"/>
  <c r="AN75" i="10" s="1"/>
  <c r="AL77" i="10"/>
  <c r="S102" i="10" l="1"/>
  <c r="AJ77" i="10"/>
  <c r="AM76" i="10"/>
  <c r="AN76" i="10" s="1"/>
  <c r="AL78" i="10"/>
  <c r="S103" i="10" l="1"/>
  <c r="AJ78" i="10"/>
  <c r="AM77" i="10"/>
  <c r="AN77" i="10" s="1"/>
  <c r="AL79" i="10"/>
  <c r="S104" i="10" l="1"/>
  <c r="AJ79" i="10"/>
  <c r="AM78" i="10"/>
  <c r="AN78" i="10" s="1"/>
  <c r="AL80" i="10"/>
  <c r="S105" i="10" l="1"/>
  <c r="AJ80" i="10"/>
  <c r="AM79" i="10"/>
  <c r="AN79" i="10" s="1"/>
  <c r="AL81" i="10"/>
  <c r="S106" i="10" l="1"/>
  <c r="AJ81" i="10"/>
  <c r="AM80" i="10"/>
  <c r="AN80" i="10" s="1"/>
  <c r="AL82" i="10"/>
  <c r="S107" i="10" l="1"/>
  <c r="AJ82" i="10"/>
  <c r="AM81" i="10"/>
  <c r="AN81" i="10" s="1"/>
  <c r="AL83" i="10"/>
  <c r="S108" i="10" l="1"/>
  <c r="AJ83" i="10"/>
  <c r="AM82" i="10"/>
  <c r="AN82" i="10" s="1"/>
  <c r="AL84" i="10"/>
  <c r="S109" i="10" l="1"/>
  <c r="AJ84" i="10"/>
  <c r="AM83" i="10"/>
  <c r="AN83" i="10" s="1"/>
  <c r="AL85" i="10"/>
  <c r="S110" i="10" l="1"/>
  <c r="AJ85" i="10"/>
  <c r="AM84" i="10"/>
  <c r="AN84" i="10" s="1"/>
  <c r="AL86" i="10"/>
  <c r="S111" i="10" l="1"/>
  <c r="AJ86" i="10"/>
  <c r="AM85" i="10"/>
  <c r="AN85" i="10" s="1"/>
  <c r="AL87" i="10"/>
  <c r="S112" i="10" l="1"/>
  <c r="AJ87" i="10"/>
  <c r="AM86" i="10"/>
  <c r="AN86" i="10" s="1"/>
  <c r="AL88" i="10"/>
  <c r="S113" i="10" l="1"/>
  <c r="AJ88" i="10"/>
  <c r="AM87" i="10"/>
  <c r="AN87" i="10" s="1"/>
  <c r="AL89" i="10"/>
  <c r="S114" i="10" l="1"/>
  <c r="AJ89" i="10"/>
  <c r="AM88" i="10"/>
  <c r="AN88" i="10" s="1"/>
  <c r="AL90" i="10"/>
  <c r="S115" i="10" l="1"/>
  <c r="AJ90" i="10"/>
  <c r="AM89" i="10"/>
  <c r="AN89" i="10" s="1"/>
  <c r="AL91" i="10"/>
  <c r="S116" i="10" l="1"/>
  <c r="AJ91" i="10"/>
  <c r="AM90" i="10"/>
  <c r="AN90" i="10" s="1"/>
  <c r="AL92" i="10"/>
  <c r="S117" i="10" l="1"/>
  <c r="AJ92" i="10"/>
  <c r="AM91" i="10"/>
  <c r="AN91" i="10" s="1"/>
  <c r="AL93" i="10"/>
  <c r="S118" i="10" l="1"/>
  <c r="AJ93" i="10"/>
  <c r="AM92" i="10"/>
  <c r="AN92" i="10" s="1"/>
  <c r="AL94" i="10"/>
  <c r="S119" i="10" l="1"/>
  <c r="AJ94" i="10"/>
  <c r="AM93" i="10"/>
  <c r="AN93" i="10" s="1"/>
  <c r="AL95" i="10"/>
  <c r="S120" i="10" l="1"/>
  <c r="AJ95" i="10"/>
  <c r="AM94" i="10"/>
  <c r="AN94" i="10" s="1"/>
  <c r="AL96" i="10"/>
  <c r="S121" i="10" l="1"/>
  <c r="AJ96" i="10"/>
  <c r="AM95" i="10"/>
  <c r="AN95" i="10" s="1"/>
  <c r="AL97" i="10"/>
  <c r="S122" i="10" l="1"/>
  <c r="AJ97" i="10"/>
  <c r="AM96" i="10"/>
  <c r="AN96" i="10" s="1"/>
  <c r="AL98" i="10"/>
  <c r="S123" i="10" l="1"/>
  <c r="AJ98" i="10"/>
  <c r="AM97" i="10"/>
  <c r="AN97" i="10" s="1"/>
  <c r="AL99" i="10"/>
  <c r="S124" i="10" l="1"/>
  <c r="AJ99" i="10"/>
  <c r="AM98" i="10"/>
  <c r="AN98" i="10" s="1"/>
  <c r="AL100" i="10"/>
  <c r="S125" i="10" l="1"/>
  <c r="AJ100" i="10"/>
  <c r="AM99" i="10"/>
  <c r="AN99" i="10" s="1"/>
  <c r="AL101" i="10"/>
  <c r="S126" i="10" l="1"/>
  <c r="AJ101" i="10"/>
  <c r="AM100" i="10"/>
  <c r="AN100" i="10" s="1"/>
  <c r="AL102" i="10"/>
  <c r="S127" i="10" l="1"/>
  <c r="AJ102" i="10"/>
  <c r="AM101" i="10"/>
  <c r="AN101" i="10" s="1"/>
  <c r="AL103" i="10"/>
  <c r="S128" i="10" l="1"/>
  <c r="AJ103" i="10"/>
  <c r="AM102" i="10"/>
  <c r="AN102" i="10" s="1"/>
  <c r="AL104" i="10"/>
  <c r="S129" i="10" l="1"/>
  <c r="AJ104" i="10"/>
  <c r="AM103" i="10"/>
  <c r="AN103" i="10" s="1"/>
  <c r="AL105" i="10"/>
  <c r="S130" i="10" l="1"/>
  <c r="AJ105" i="10"/>
  <c r="AM104" i="10"/>
  <c r="AN104" i="10" s="1"/>
  <c r="AL106" i="10"/>
  <c r="S131" i="10" l="1"/>
  <c r="AJ106" i="10"/>
  <c r="AM105" i="10"/>
  <c r="AN105" i="10" s="1"/>
  <c r="AL107" i="10"/>
  <c r="S132" i="10" l="1"/>
  <c r="AJ107" i="10"/>
  <c r="AM106" i="10"/>
  <c r="AN106" i="10" s="1"/>
  <c r="AL108" i="10"/>
  <c r="S133" i="10" l="1"/>
  <c r="AJ108" i="10"/>
  <c r="AM107" i="10"/>
  <c r="AN107" i="10" s="1"/>
  <c r="AL109" i="10"/>
  <c r="S134" i="10" l="1"/>
  <c r="AJ109" i="10"/>
  <c r="AM108" i="10"/>
  <c r="AN108" i="10" s="1"/>
  <c r="AL110" i="10"/>
  <c r="S135" i="10" l="1"/>
  <c r="AJ110" i="10"/>
  <c r="AM109" i="10"/>
  <c r="AN109" i="10" s="1"/>
  <c r="AL111" i="10"/>
  <c r="S136" i="10" l="1"/>
  <c r="AJ111" i="10"/>
  <c r="AM110" i="10"/>
  <c r="AN110" i="10" s="1"/>
  <c r="AL112" i="10"/>
  <c r="S137" i="10" l="1"/>
  <c r="AJ112" i="10"/>
  <c r="AM111" i="10"/>
  <c r="AN111" i="10" s="1"/>
  <c r="AL113" i="10"/>
  <c r="S138" i="10" l="1"/>
  <c r="AJ113" i="10"/>
  <c r="AM112" i="10"/>
  <c r="AN112" i="10" s="1"/>
  <c r="AL114" i="10"/>
  <c r="S139" i="10" l="1"/>
  <c r="AJ114" i="10"/>
  <c r="AM113" i="10"/>
  <c r="AN113" i="10" s="1"/>
  <c r="AL115" i="10"/>
  <c r="S140" i="10" l="1"/>
  <c r="AJ115" i="10"/>
  <c r="AM114" i="10"/>
  <c r="AN114" i="10" s="1"/>
  <c r="AL116" i="10"/>
  <c r="S141" i="10" l="1"/>
  <c r="AJ116" i="10"/>
  <c r="AM115" i="10"/>
  <c r="AN115" i="10" s="1"/>
  <c r="AL117" i="10"/>
  <c r="S142" i="10" l="1"/>
  <c r="AJ117" i="10"/>
  <c r="AM116" i="10"/>
  <c r="AN116" i="10" s="1"/>
  <c r="AL118" i="10"/>
  <c r="S143" i="10" l="1"/>
  <c r="AJ118" i="10"/>
  <c r="AM117" i="10"/>
  <c r="AN117" i="10" s="1"/>
  <c r="AL119" i="10"/>
  <c r="S144" i="10" l="1"/>
  <c r="AJ119" i="10"/>
  <c r="AM118" i="10"/>
  <c r="AN118" i="10" s="1"/>
  <c r="AL120" i="10"/>
  <c r="S145" i="10" l="1"/>
  <c r="AJ120" i="10"/>
  <c r="AM119" i="10"/>
  <c r="AN119" i="10" s="1"/>
  <c r="AL121" i="10"/>
  <c r="S146" i="10" l="1"/>
  <c r="AJ121" i="10"/>
  <c r="AM120" i="10"/>
  <c r="AN120" i="10" s="1"/>
  <c r="AL122" i="10"/>
  <c r="S147" i="10" l="1"/>
  <c r="AJ122" i="10"/>
  <c r="AM121" i="10"/>
  <c r="AN121" i="10" s="1"/>
  <c r="AL123" i="10"/>
  <c r="S148" i="10" l="1"/>
  <c r="AJ123" i="10"/>
  <c r="AM122" i="10"/>
  <c r="AN122" i="10" s="1"/>
  <c r="AL124" i="10"/>
  <c r="S149" i="10" l="1"/>
  <c r="AJ124" i="10"/>
  <c r="AM123" i="10"/>
  <c r="AN123" i="10" s="1"/>
  <c r="AL125" i="10"/>
  <c r="S150" i="10" l="1"/>
  <c r="AJ125" i="10"/>
  <c r="AM124" i="10"/>
  <c r="AN124" i="10" s="1"/>
  <c r="AL126" i="10"/>
  <c r="S151" i="10" l="1"/>
  <c r="AJ126" i="10"/>
  <c r="AM125" i="10"/>
  <c r="AN125" i="10" s="1"/>
  <c r="AL127" i="10"/>
  <c r="S152" i="10" l="1"/>
  <c r="AJ127" i="10"/>
  <c r="AM126" i="10"/>
  <c r="AN126" i="10" s="1"/>
  <c r="AL128" i="10"/>
  <c r="S153" i="10" l="1"/>
  <c r="AJ128" i="10"/>
  <c r="AM127" i="10"/>
  <c r="AN127" i="10" s="1"/>
  <c r="AL129" i="10"/>
  <c r="S154" i="10" l="1"/>
  <c r="AJ129" i="10"/>
  <c r="AM128" i="10"/>
  <c r="AN128" i="10" s="1"/>
  <c r="AL130" i="10"/>
  <c r="S155" i="10" l="1"/>
  <c r="AJ130" i="10"/>
  <c r="AM129" i="10"/>
  <c r="AN129" i="10" s="1"/>
  <c r="AL131" i="10"/>
  <c r="S156" i="10" l="1"/>
  <c r="AJ131" i="10"/>
  <c r="AM130" i="10"/>
  <c r="AN130" i="10" s="1"/>
  <c r="AL132" i="10"/>
  <c r="S157" i="10" l="1"/>
  <c r="AJ132" i="10"/>
  <c r="AM131" i="10"/>
  <c r="AN131" i="10" s="1"/>
  <c r="AL133" i="10"/>
  <c r="S158" i="10" l="1"/>
  <c r="AJ133" i="10"/>
  <c r="AM132" i="10"/>
  <c r="AN132" i="10" s="1"/>
  <c r="AL134" i="10"/>
  <c r="S159" i="10" l="1"/>
  <c r="AJ134" i="10"/>
  <c r="AM133" i="10"/>
  <c r="AN133" i="10" s="1"/>
  <c r="AL135" i="10"/>
  <c r="S160" i="10" l="1"/>
  <c r="AJ135" i="10"/>
  <c r="AM134" i="10"/>
  <c r="AN134" i="10" s="1"/>
  <c r="AL136" i="10"/>
  <c r="S161" i="10" l="1"/>
  <c r="AJ136" i="10"/>
  <c r="AM135" i="10"/>
  <c r="AN135" i="10" s="1"/>
  <c r="AL137" i="10"/>
  <c r="S162" i="10" l="1"/>
  <c r="AJ137" i="10"/>
  <c r="AM136" i="10"/>
  <c r="AN136" i="10" s="1"/>
  <c r="AL138" i="10"/>
  <c r="S163" i="10" l="1"/>
  <c r="AJ138" i="10"/>
  <c r="AM137" i="10"/>
  <c r="AN137" i="10" s="1"/>
  <c r="AL139" i="10"/>
  <c r="S164" i="10" l="1"/>
  <c r="AJ139" i="10"/>
  <c r="AM138" i="10"/>
  <c r="AN138" i="10" s="1"/>
  <c r="AL140" i="10"/>
  <c r="S165" i="10" l="1"/>
  <c r="AJ140" i="10"/>
  <c r="AM139" i="10"/>
  <c r="AN139" i="10" s="1"/>
  <c r="AL141" i="10"/>
  <c r="S166" i="10" l="1"/>
  <c r="AJ141" i="10"/>
  <c r="AM140" i="10"/>
  <c r="AN140" i="10" s="1"/>
  <c r="AL142" i="10"/>
  <c r="S167" i="10" l="1"/>
  <c r="AJ142" i="10"/>
  <c r="AM141" i="10"/>
  <c r="AN141" i="10" s="1"/>
  <c r="AL143" i="10"/>
  <c r="S168" i="10" l="1"/>
  <c r="AJ143" i="10"/>
  <c r="AM142" i="10"/>
  <c r="AN142" i="10" s="1"/>
  <c r="AL144" i="10"/>
  <c r="S169" i="10" l="1"/>
  <c r="AJ144" i="10"/>
  <c r="AM143" i="10"/>
  <c r="AN143" i="10" s="1"/>
  <c r="AL145" i="10"/>
  <c r="S170" i="10" l="1"/>
  <c r="AJ145" i="10"/>
  <c r="AM144" i="10"/>
  <c r="AN144" i="10" s="1"/>
  <c r="AL146" i="10"/>
  <c r="S171" i="10" l="1"/>
  <c r="AJ146" i="10"/>
  <c r="AM145" i="10"/>
  <c r="AN145" i="10" s="1"/>
  <c r="AL147" i="10"/>
  <c r="S172" i="10" l="1"/>
  <c r="AJ147" i="10"/>
  <c r="AM146" i="10"/>
  <c r="AN146" i="10" s="1"/>
  <c r="AL148" i="10"/>
  <c r="S173" i="10" l="1"/>
  <c r="AJ148" i="10"/>
  <c r="AM147" i="10"/>
  <c r="AN147" i="10" s="1"/>
  <c r="AL149" i="10"/>
  <c r="S174" i="10" l="1"/>
  <c r="AJ149" i="10"/>
  <c r="AM148" i="10"/>
  <c r="AN148" i="10" s="1"/>
  <c r="AL150" i="10"/>
  <c r="S175" i="10" l="1"/>
  <c r="AJ150" i="10"/>
  <c r="AM149" i="10"/>
  <c r="AN149" i="10" s="1"/>
  <c r="AL151" i="10"/>
  <c r="S176" i="10" l="1"/>
  <c r="AJ151" i="10"/>
  <c r="AM150" i="10"/>
  <c r="AN150" i="10" s="1"/>
  <c r="AL152" i="10"/>
  <c r="S177" i="10" l="1"/>
  <c r="AJ152" i="10"/>
  <c r="AM151" i="10"/>
  <c r="AN151" i="10" s="1"/>
  <c r="AL153" i="10"/>
  <c r="S178" i="10" l="1"/>
  <c r="AJ153" i="10"/>
  <c r="AM152" i="10"/>
  <c r="AN152" i="10" s="1"/>
  <c r="AL154" i="10"/>
  <c r="S179" i="10" l="1"/>
  <c r="AJ154" i="10"/>
  <c r="AM153" i="10"/>
  <c r="AN153" i="10" s="1"/>
  <c r="AL155" i="10"/>
  <c r="S180" i="10" l="1"/>
  <c r="AJ155" i="10"/>
  <c r="AM154" i="10"/>
  <c r="AN154" i="10" s="1"/>
  <c r="AL156" i="10"/>
  <c r="S181" i="10" l="1"/>
  <c r="AJ156" i="10"/>
  <c r="AM155" i="10"/>
  <c r="AN155" i="10" s="1"/>
  <c r="AL157" i="10"/>
  <c r="S182" i="10" l="1"/>
  <c r="AJ157" i="10"/>
  <c r="AM156" i="10"/>
  <c r="AN156" i="10" s="1"/>
  <c r="AL158" i="10"/>
  <c r="S183" i="10" l="1"/>
  <c r="AJ158" i="10"/>
  <c r="AM157" i="10"/>
  <c r="AN157" i="10" s="1"/>
  <c r="AL159" i="10"/>
  <c r="S184" i="10" l="1"/>
  <c r="AJ159" i="10"/>
  <c r="AM158" i="10"/>
  <c r="AN158" i="10" s="1"/>
  <c r="AL160" i="10"/>
  <c r="S185" i="10" l="1"/>
  <c r="AJ160" i="10"/>
  <c r="AM159" i="10"/>
  <c r="AN159" i="10" s="1"/>
  <c r="AL161" i="10"/>
  <c r="S186" i="10" l="1"/>
  <c r="AJ161" i="10"/>
  <c r="AM160" i="10"/>
  <c r="AN160" i="10" s="1"/>
  <c r="AL162" i="10"/>
  <c r="S187" i="10" l="1"/>
  <c r="AJ162" i="10"/>
  <c r="AM161" i="10"/>
  <c r="AN161" i="10" s="1"/>
  <c r="AL163" i="10"/>
  <c r="S188" i="10" l="1"/>
  <c r="AJ163" i="10"/>
  <c r="AM162" i="10"/>
  <c r="AN162" i="10" s="1"/>
  <c r="AL164" i="10"/>
  <c r="S189" i="10" l="1"/>
  <c r="AJ164" i="10"/>
  <c r="AM163" i="10"/>
  <c r="AN163" i="10" s="1"/>
  <c r="AL165" i="10"/>
  <c r="S190" i="10" l="1"/>
  <c r="AJ165" i="10"/>
  <c r="AM164" i="10"/>
  <c r="AN164" i="10" s="1"/>
  <c r="AL166" i="10"/>
  <c r="S191" i="10" l="1"/>
  <c r="AJ166" i="10"/>
  <c r="AM165" i="10"/>
  <c r="AN165" i="10" s="1"/>
  <c r="AL167" i="10"/>
  <c r="S192" i="10" l="1"/>
  <c r="AJ167" i="10"/>
  <c r="AM166" i="10"/>
  <c r="AN166" i="10" s="1"/>
  <c r="AL168" i="10"/>
  <c r="S193" i="10" l="1"/>
  <c r="AJ168" i="10"/>
  <c r="AM167" i="10"/>
  <c r="AN167" i="10" s="1"/>
  <c r="AL169" i="10"/>
  <c r="S194" i="10" l="1"/>
  <c r="AJ169" i="10"/>
  <c r="AM168" i="10"/>
  <c r="AN168" i="10" s="1"/>
  <c r="AL170" i="10"/>
  <c r="S195" i="10" l="1"/>
  <c r="AJ170" i="10"/>
  <c r="AM169" i="10"/>
  <c r="AN169" i="10" s="1"/>
  <c r="AL171" i="10"/>
  <c r="S196" i="10" l="1"/>
  <c r="AJ171" i="10"/>
  <c r="AM170" i="10"/>
  <c r="AN170" i="10" s="1"/>
  <c r="AL172" i="10"/>
  <c r="S197" i="10" l="1"/>
  <c r="AJ172" i="10"/>
  <c r="AM171" i="10"/>
  <c r="AN171" i="10" s="1"/>
  <c r="AL173" i="10"/>
  <c r="S198" i="10" l="1"/>
  <c r="AJ173" i="10"/>
  <c r="AM172" i="10"/>
  <c r="AN172" i="10" s="1"/>
  <c r="AL174" i="10"/>
  <c r="S199" i="10" l="1"/>
  <c r="AJ174" i="10"/>
  <c r="AM173" i="10"/>
  <c r="AN173" i="10" s="1"/>
  <c r="AL175" i="10"/>
  <c r="S200" i="10" l="1"/>
  <c r="AJ175" i="10"/>
  <c r="AM174" i="10"/>
  <c r="AN174" i="10" s="1"/>
  <c r="AL176" i="10"/>
  <c r="S201" i="10" l="1"/>
  <c r="AJ176" i="10"/>
  <c r="AM175" i="10"/>
  <c r="AN175" i="10" s="1"/>
  <c r="AL177" i="10"/>
  <c r="S202" i="10" l="1"/>
  <c r="AJ177" i="10"/>
  <c r="AM176" i="10"/>
  <c r="AN176" i="10" s="1"/>
  <c r="AL178" i="10"/>
  <c r="S203" i="10" l="1"/>
  <c r="AJ178" i="10"/>
  <c r="AM177" i="10"/>
  <c r="AN177" i="10" s="1"/>
  <c r="AL179" i="10"/>
  <c r="S204" i="10" l="1"/>
  <c r="AJ179" i="10"/>
  <c r="AM178" i="10"/>
  <c r="AN178" i="10" s="1"/>
  <c r="AL180" i="10"/>
  <c r="S205" i="10" l="1"/>
  <c r="AJ180" i="10"/>
  <c r="AM179" i="10"/>
  <c r="AN179" i="10" s="1"/>
  <c r="AL181" i="10"/>
  <c r="S206" i="10" l="1"/>
  <c r="AJ181" i="10"/>
  <c r="AM180" i="10"/>
  <c r="AN180" i="10" s="1"/>
  <c r="AL182" i="10"/>
  <c r="S207" i="10" l="1"/>
  <c r="AJ182" i="10"/>
  <c r="AM181" i="10"/>
  <c r="AN181" i="10" s="1"/>
  <c r="AL183" i="10"/>
  <c r="S208" i="10" l="1"/>
  <c r="AJ183" i="10"/>
  <c r="AM182" i="10"/>
  <c r="AN182" i="10" s="1"/>
  <c r="AL184" i="10"/>
  <c r="S209" i="10" l="1"/>
  <c r="AJ184" i="10"/>
  <c r="AM183" i="10"/>
  <c r="AN183" i="10" s="1"/>
  <c r="AL185" i="10"/>
  <c r="S210" i="10" l="1"/>
  <c r="AJ185" i="10"/>
  <c r="AM184" i="10"/>
  <c r="AN184" i="10" s="1"/>
  <c r="AL186" i="10"/>
  <c r="S211" i="10" l="1"/>
  <c r="AJ186" i="10"/>
  <c r="AM185" i="10"/>
  <c r="AN185" i="10" s="1"/>
  <c r="AL187" i="10"/>
  <c r="S212" i="10" l="1"/>
  <c r="AJ187" i="10"/>
  <c r="AM186" i="10"/>
  <c r="AN186" i="10" s="1"/>
  <c r="AL188" i="10"/>
  <c r="S213" i="10" l="1"/>
  <c r="AJ188" i="10"/>
  <c r="AM187" i="10"/>
  <c r="AN187" i="10" s="1"/>
  <c r="AL189" i="10"/>
  <c r="S214" i="10" l="1"/>
  <c r="AJ189" i="10"/>
  <c r="AM188" i="10"/>
  <c r="AN188" i="10" s="1"/>
  <c r="AL190" i="10"/>
  <c r="S215" i="10" l="1"/>
  <c r="AJ190" i="10"/>
  <c r="AM189" i="10"/>
  <c r="AN189" i="10" s="1"/>
  <c r="AL191" i="10"/>
  <c r="S216" i="10" l="1"/>
  <c r="AJ191" i="10"/>
  <c r="AM190" i="10"/>
  <c r="AN190" i="10" s="1"/>
  <c r="AL192" i="10"/>
  <c r="S217" i="10" l="1"/>
  <c r="AJ192" i="10"/>
  <c r="AM191" i="10"/>
  <c r="AN191" i="10" s="1"/>
  <c r="AL193" i="10"/>
  <c r="S218" i="10" l="1"/>
  <c r="AJ193" i="10"/>
  <c r="AM192" i="10"/>
  <c r="AN192" i="10" s="1"/>
  <c r="AL194" i="10"/>
  <c r="S219" i="10" l="1"/>
  <c r="AJ194" i="10"/>
  <c r="AM193" i="10"/>
  <c r="AN193" i="10" s="1"/>
  <c r="AL195" i="10"/>
  <c r="S220" i="10" l="1"/>
  <c r="AJ195" i="10"/>
  <c r="AM194" i="10"/>
  <c r="AN194" i="10" s="1"/>
  <c r="AL196" i="10"/>
  <c r="S221" i="10" l="1"/>
  <c r="AJ196" i="10"/>
  <c r="AM195" i="10"/>
  <c r="AN195" i="10" s="1"/>
  <c r="AL197" i="10"/>
  <c r="S222" i="10" l="1"/>
  <c r="AJ197" i="10"/>
  <c r="AM196" i="10"/>
  <c r="AN196" i="10" s="1"/>
  <c r="AL198" i="10"/>
  <c r="S223" i="10" l="1"/>
  <c r="AJ198" i="10"/>
  <c r="AM197" i="10"/>
  <c r="AN197" i="10" s="1"/>
  <c r="AL199" i="10"/>
  <c r="S224" i="10" l="1"/>
  <c r="AJ199" i="10"/>
  <c r="AM198" i="10"/>
  <c r="AN198" i="10" s="1"/>
  <c r="AL200" i="10"/>
  <c r="S225" i="10" l="1"/>
  <c r="AJ200" i="10"/>
  <c r="AM199" i="10"/>
  <c r="AN199" i="10" s="1"/>
  <c r="AL201" i="10"/>
  <c r="S226" i="10" l="1"/>
  <c r="AJ201" i="10"/>
  <c r="AM200" i="10"/>
  <c r="AN200" i="10" s="1"/>
  <c r="AL202" i="10"/>
  <c r="S227" i="10" l="1"/>
  <c r="AJ202" i="10"/>
  <c r="AM201" i="10"/>
  <c r="AN201" i="10" s="1"/>
  <c r="AL203" i="10"/>
  <c r="S228" i="10" l="1"/>
  <c r="AJ203" i="10"/>
  <c r="AM202" i="10"/>
  <c r="AN202" i="10" s="1"/>
  <c r="AL204" i="10"/>
  <c r="S229" i="10" l="1"/>
  <c r="AJ204" i="10"/>
  <c r="AM203" i="10"/>
  <c r="AN203" i="10" s="1"/>
  <c r="AL205" i="10"/>
  <c r="S230" i="10" l="1"/>
  <c r="AJ205" i="10"/>
  <c r="AM204" i="10"/>
  <c r="AN204" i="10" s="1"/>
  <c r="AL206" i="10"/>
  <c r="S231" i="10" l="1"/>
  <c r="AJ206" i="10"/>
  <c r="AM205" i="10"/>
  <c r="AN205" i="10" s="1"/>
  <c r="AL207" i="10"/>
  <c r="S232" i="10" l="1"/>
  <c r="AJ207" i="10"/>
  <c r="AM206" i="10"/>
  <c r="AN206" i="10" s="1"/>
  <c r="AL208" i="10"/>
  <c r="S233" i="10" l="1"/>
  <c r="AJ208" i="10"/>
  <c r="AM207" i="10"/>
  <c r="AN207" i="10" s="1"/>
  <c r="AL209" i="10"/>
  <c r="S234" i="10" l="1"/>
  <c r="AJ209" i="10"/>
  <c r="AM208" i="10"/>
  <c r="AN208" i="10" s="1"/>
  <c r="AL210" i="10"/>
  <c r="S235" i="10" l="1"/>
  <c r="AJ210" i="10"/>
  <c r="AM209" i="10"/>
  <c r="AN209" i="10" s="1"/>
  <c r="AL211" i="10"/>
  <c r="S236" i="10" l="1"/>
  <c r="AJ211" i="10"/>
  <c r="AM210" i="10"/>
  <c r="AN210" i="10" s="1"/>
  <c r="AL212" i="10"/>
  <c r="S237" i="10" l="1"/>
  <c r="AJ212" i="10"/>
  <c r="AM211" i="10"/>
  <c r="AN211" i="10" s="1"/>
  <c r="AL213" i="10"/>
  <c r="S238" i="10" l="1"/>
  <c r="AJ213" i="10"/>
  <c r="AM212" i="10"/>
  <c r="AN212" i="10" s="1"/>
  <c r="AL214" i="10"/>
  <c r="S239" i="10" l="1"/>
  <c r="AJ214" i="10"/>
  <c r="AM213" i="10"/>
  <c r="AN213" i="10" s="1"/>
  <c r="AL215" i="10"/>
  <c r="S240" i="10" l="1"/>
  <c r="AJ215" i="10"/>
  <c r="AM214" i="10"/>
  <c r="AN214" i="10" s="1"/>
  <c r="AL216" i="10"/>
  <c r="S241" i="10" l="1"/>
  <c r="AJ216" i="10"/>
  <c r="AM215" i="10"/>
  <c r="AN215" i="10" s="1"/>
  <c r="AL217" i="10"/>
  <c r="S242" i="10" l="1"/>
  <c r="AJ217" i="10"/>
  <c r="AM216" i="10"/>
  <c r="AN216" i="10" s="1"/>
  <c r="AL218" i="10"/>
  <c r="S243" i="10" l="1"/>
  <c r="AJ218" i="10"/>
  <c r="AM217" i="10"/>
  <c r="AN217" i="10" s="1"/>
  <c r="AL219" i="10"/>
  <c r="S244" i="10" l="1"/>
  <c r="AJ219" i="10"/>
  <c r="AM218" i="10"/>
  <c r="AN218" i="10" s="1"/>
  <c r="AL220" i="10"/>
  <c r="S245" i="10" l="1"/>
  <c r="AJ220" i="10"/>
  <c r="AM219" i="10"/>
  <c r="AN219" i="10" s="1"/>
  <c r="AL221" i="10"/>
  <c r="S246" i="10" l="1"/>
  <c r="AJ221" i="10"/>
  <c r="AM220" i="10"/>
  <c r="AN220" i="10" s="1"/>
  <c r="AL222" i="10"/>
  <c r="S247" i="10" l="1"/>
  <c r="AJ222" i="10"/>
  <c r="AM221" i="10"/>
  <c r="AN221" i="10" s="1"/>
  <c r="AL223" i="10"/>
  <c r="S248" i="10" l="1"/>
  <c r="AJ223" i="10"/>
  <c r="AM222" i="10"/>
  <c r="AN222" i="10" s="1"/>
  <c r="AL224" i="10"/>
  <c r="S249" i="10" l="1"/>
  <c r="AJ224" i="10"/>
  <c r="AM223" i="10"/>
  <c r="AN223" i="10" s="1"/>
  <c r="AL225" i="10"/>
  <c r="S250" i="10" l="1"/>
  <c r="AJ225" i="10"/>
  <c r="AM224" i="10"/>
  <c r="AN224" i="10" s="1"/>
  <c r="AL226" i="10"/>
  <c r="S251" i="10" l="1"/>
  <c r="AJ226" i="10"/>
  <c r="AM225" i="10"/>
  <c r="AN225" i="10" s="1"/>
  <c r="AL227" i="10"/>
  <c r="S252" i="10" l="1"/>
  <c r="AJ227" i="10"/>
  <c r="AM226" i="10"/>
  <c r="AN226" i="10" s="1"/>
  <c r="AL228" i="10"/>
  <c r="S253" i="10" l="1"/>
  <c r="AJ228" i="10"/>
  <c r="AM227" i="10"/>
  <c r="AN227" i="10" s="1"/>
  <c r="AL229" i="10"/>
  <c r="S254" i="10" l="1"/>
  <c r="AJ229" i="10"/>
  <c r="AM228" i="10"/>
  <c r="AN228" i="10" s="1"/>
  <c r="AL230" i="10"/>
  <c r="S255" i="10" l="1"/>
  <c r="AJ230" i="10"/>
  <c r="AM229" i="10"/>
  <c r="AN229" i="10" s="1"/>
  <c r="AL231" i="10"/>
  <c r="S256" i="10" l="1"/>
  <c r="AJ231" i="10"/>
  <c r="AM230" i="10"/>
  <c r="AN230" i="10" s="1"/>
  <c r="AL232" i="10"/>
  <c r="S257" i="10" l="1"/>
  <c r="AJ232" i="10"/>
  <c r="AM231" i="10"/>
  <c r="AN231" i="10" s="1"/>
  <c r="AL233" i="10"/>
  <c r="S258" i="10" l="1"/>
  <c r="AJ233" i="10"/>
  <c r="AM232" i="10"/>
  <c r="AN232" i="10" s="1"/>
  <c r="AL234" i="10"/>
  <c r="S259" i="10" l="1"/>
  <c r="AJ234" i="10"/>
  <c r="AM233" i="10"/>
  <c r="AN233" i="10" s="1"/>
  <c r="AL235" i="10"/>
  <c r="S260" i="10" l="1"/>
  <c r="AJ235" i="10"/>
  <c r="AM234" i="10"/>
  <c r="AN234" i="10" s="1"/>
  <c r="AL236" i="10"/>
  <c r="S261" i="10" l="1"/>
  <c r="AJ236" i="10"/>
  <c r="AM235" i="10"/>
  <c r="AN235" i="10" s="1"/>
  <c r="AL237" i="10"/>
  <c r="S262" i="10" l="1"/>
  <c r="AJ237" i="10"/>
  <c r="AM236" i="10"/>
  <c r="AN236" i="10" s="1"/>
  <c r="AL238" i="10"/>
  <c r="S263" i="10" l="1"/>
  <c r="AJ238" i="10"/>
  <c r="AM237" i="10"/>
  <c r="AN237" i="10" s="1"/>
  <c r="AL239" i="10"/>
  <c r="S264" i="10" l="1"/>
  <c r="AJ239" i="10"/>
  <c r="AM238" i="10"/>
  <c r="AN238" i="10" s="1"/>
  <c r="AL240" i="10"/>
  <c r="S265" i="10" l="1"/>
  <c r="AJ240" i="10"/>
  <c r="AM239" i="10"/>
  <c r="AN239" i="10" s="1"/>
  <c r="AL241" i="10"/>
  <c r="S266" i="10" l="1"/>
  <c r="AJ241" i="10"/>
  <c r="AM240" i="10"/>
  <c r="AN240" i="10" s="1"/>
  <c r="AL242" i="10"/>
  <c r="S267" i="10" l="1"/>
  <c r="AJ242" i="10"/>
  <c r="AM241" i="10"/>
  <c r="AN241" i="10" s="1"/>
  <c r="AL243" i="10"/>
  <c r="S268" i="10" l="1"/>
  <c r="AJ243" i="10"/>
  <c r="AM242" i="10"/>
  <c r="AN242" i="10" s="1"/>
  <c r="AL244" i="10"/>
  <c r="S269" i="10" l="1"/>
  <c r="AJ244" i="10"/>
  <c r="AM243" i="10"/>
  <c r="AN243" i="10" s="1"/>
  <c r="AL245" i="10"/>
  <c r="S270" i="10" l="1"/>
  <c r="AJ245" i="10"/>
  <c r="AM244" i="10"/>
  <c r="AN244" i="10" s="1"/>
  <c r="AL246" i="10"/>
  <c r="S271" i="10" l="1"/>
  <c r="AJ246" i="10"/>
  <c r="AM245" i="10"/>
  <c r="AN245" i="10" s="1"/>
  <c r="AL247" i="10"/>
  <c r="S272" i="10" l="1"/>
  <c r="AJ247" i="10"/>
  <c r="AM246" i="10"/>
  <c r="AN246" i="10" s="1"/>
  <c r="AL248" i="10"/>
  <c r="S273" i="10" l="1"/>
  <c r="AJ248" i="10"/>
  <c r="AM247" i="10"/>
  <c r="AN247" i="10" s="1"/>
  <c r="AL249" i="10"/>
  <c r="S274" i="10" l="1"/>
  <c r="AJ249" i="10"/>
  <c r="AM248" i="10"/>
  <c r="AN248" i="10" s="1"/>
  <c r="AL250" i="10"/>
  <c r="S275" i="10" l="1"/>
  <c r="AJ250" i="10"/>
  <c r="AM249" i="10"/>
  <c r="AN249" i="10" s="1"/>
  <c r="AL251" i="10"/>
  <c r="S276" i="10" l="1"/>
  <c r="AJ251" i="10"/>
  <c r="AM250" i="10"/>
  <c r="AN250" i="10" s="1"/>
  <c r="AL252" i="10"/>
  <c r="S277" i="10" l="1"/>
  <c r="AJ252" i="10"/>
  <c r="AM251" i="10"/>
  <c r="AN251" i="10" s="1"/>
  <c r="AL253" i="10"/>
  <c r="S278" i="10" l="1"/>
  <c r="AJ253" i="10"/>
  <c r="AM252" i="10"/>
  <c r="AN252" i="10" s="1"/>
  <c r="AL254" i="10"/>
  <c r="S279" i="10" l="1"/>
  <c r="AJ254" i="10"/>
  <c r="AM253" i="10"/>
  <c r="AN253" i="10" s="1"/>
  <c r="AL255" i="10"/>
  <c r="S280" i="10" l="1"/>
  <c r="AJ255" i="10"/>
  <c r="AM254" i="10"/>
  <c r="AN254" i="10" s="1"/>
  <c r="AL256" i="10"/>
  <c r="S281" i="10" l="1"/>
  <c r="AJ256" i="10"/>
  <c r="AM255" i="10"/>
  <c r="AN255" i="10" s="1"/>
  <c r="AL257" i="10"/>
  <c r="S282" i="10" l="1"/>
  <c r="AJ257" i="10"/>
  <c r="AM256" i="10"/>
  <c r="AN256" i="10" s="1"/>
  <c r="AL258" i="10"/>
  <c r="S283" i="10" l="1"/>
  <c r="AJ258" i="10"/>
  <c r="AM257" i="10"/>
  <c r="AN257" i="10" s="1"/>
  <c r="AL259" i="10"/>
  <c r="S284" i="10" l="1"/>
  <c r="AJ259" i="10"/>
  <c r="AM258" i="10"/>
  <c r="AN258" i="10" s="1"/>
  <c r="AL260" i="10"/>
  <c r="S285" i="10" l="1"/>
  <c r="AJ260" i="10"/>
  <c r="AM259" i="10"/>
  <c r="AN259" i="10" s="1"/>
  <c r="AL261" i="10"/>
  <c r="S286" i="10" l="1"/>
  <c r="AJ261" i="10"/>
  <c r="AM260" i="10"/>
  <c r="AN260" i="10" s="1"/>
  <c r="AL262" i="10"/>
  <c r="S287" i="10" l="1"/>
  <c r="AJ262" i="10"/>
  <c r="AM261" i="10"/>
  <c r="AN261" i="10" s="1"/>
  <c r="AL263" i="10"/>
  <c r="S288" i="10" l="1"/>
  <c r="AJ263" i="10"/>
  <c r="AM262" i="10"/>
  <c r="AN262" i="10" s="1"/>
  <c r="AL264" i="10"/>
  <c r="S289" i="10" l="1"/>
  <c r="AJ264" i="10"/>
  <c r="AM263" i="10"/>
  <c r="AN263" i="10" s="1"/>
  <c r="AL265" i="10"/>
  <c r="S290" i="10" l="1"/>
  <c r="AJ265" i="10"/>
  <c r="AM264" i="10"/>
  <c r="AN264" i="10" s="1"/>
  <c r="AL266" i="10"/>
  <c r="S292" i="10" l="1"/>
  <c r="S291" i="10"/>
  <c r="AJ266" i="10"/>
  <c r="AM265" i="10"/>
  <c r="AN265" i="10" s="1"/>
  <c r="AL267" i="10"/>
  <c r="AJ267" i="10" l="1"/>
  <c r="AM266" i="10"/>
  <c r="AN266" i="10" s="1"/>
  <c r="AL268" i="10"/>
  <c r="AJ268" i="10" l="1"/>
  <c r="AM267" i="10"/>
  <c r="AN267" i="10" s="1"/>
  <c r="AL269" i="10"/>
  <c r="AJ269" i="10" l="1"/>
  <c r="AM268" i="10"/>
  <c r="AN268" i="10" s="1"/>
  <c r="AL270" i="10"/>
  <c r="AJ270" i="10" l="1"/>
  <c r="AM269" i="10"/>
  <c r="AN269" i="10" s="1"/>
  <c r="AL271" i="10"/>
  <c r="AJ271" i="10" l="1"/>
  <c r="AM270" i="10"/>
  <c r="AN270" i="10" s="1"/>
  <c r="AL272" i="10"/>
  <c r="AJ272" i="10" l="1"/>
  <c r="AM271" i="10"/>
  <c r="AN271" i="10" s="1"/>
  <c r="AL273" i="10"/>
  <c r="AJ273" i="10" l="1"/>
  <c r="AM272" i="10"/>
  <c r="AN272" i="10" s="1"/>
  <c r="AL274" i="10"/>
  <c r="AJ274" i="10" l="1"/>
  <c r="AM273" i="10"/>
  <c r="AN273" i="10" s="1"/>
  <c r="AL275" i="10"/>
  <c r="AJ275" i="10" l="1"/>
  <c r="AM274" i="10"/>
  <c r="AN274" i="10" s="1"/>
  <c r="AL276" i="10"/>
  <c r="AJ276" i="10" l="1"/>
  <c r="AM275" i="10"/>
  <c r="AN275" i="10" s="1"/>
  <c r="AL277" i="10"/>
  <c r="AJ277" i="10" l="1"/>
  <c r="AM276" i="10"/>
  <c r="AN276" i="10" s="1"/>
  <c r="AL278" i="10"/>
  <c r="AJ278" i="10" l="1"/>
  <c r="AM277" i="10"/>
  <c r="AN277" i="10" s="1"/>
  <c r="AL279" i="10"/>
  <c r="AJ279" i="10" l="1"/>
  <c r="AM278" i="10"/>
  <c r="AN278" i="10" s="1"/>
  <c r="AL280" i="10"/>
  <c r="AJ280" i="10" l="1"/>
  <c r="AM279" i="10"/>
  <c r="AN279" i="10" s="1"/>
  <c r="AL281" i="10"/>
  <c r="AJ281" i="10" l="1"/>
  <c r="AM280" i="10"/>
  <c r="AN280" i="10" s="1"/>
  <c r="AL282" i="10"/>
  <c r="AJ282" i="10" l="1"/>
  <c r="AM281" i="10"/>
  <c r="AN281" i="10" s="1"/>
  <c r="AL283" i="10"/>
  <c r="AJ283" i="10" l="1"/>
  <c r="AM282" i="10"/>
  <c r="AN282" i="10" s="1"/>
  <c r="AL284" i="10"/>
  <c r="AJ284" i="10" l="1"/>
  <c r="AM283" i="10"/>
  <c r="AN283" i="10" s="1"/>
  <c r="AL285" i="10"/>
  <c r="AJ285" i="10" l="1"/>
  <c r="AM284" i="10"/>
  <c r="AN284" i="10" s="1"/>
  <c r="AL286" i="10"/>
  <c r="AJ286" i="10" l="1"/>
  <c r="AM285" i="10"/>
  <c r="AN285" i="10" s="1"/>
  <c r="AL287" i="10"/>
  <c r="AJ287" i="10" l="1"/>
  <c r="AM286" i="10"/>
  <c r="AN286" i="10" s="1"/>
  <c r="AL288" i="10"/>
  <c r="AJ288" i="10" l="1"/>
  <c r="AM287" i="10"/>
  <c r="AN287" i="10" s="1"/>
  <c r="AL289" i="10"/>
  <c r="AJ289" i="10" l="1"/>
  <c r="AM288" i="10"/>
  <c r="AN288" i="10" s="1"/>
  <c r="AL290" i="10"/>
  <c r="AJ290" i="10" l="1"/>
  <c r="AM289" i="10"/>
  <c r="AN289" i="10" s="1"/>
  <c r="AL291" i="10"/>
  <c r="AJ291" i="10" l="1"/>
  <c r="AM290" i="10"/>
  <c r="AN290" i="10" s="1"/>
  <c r="AL292" i="10"/>
  <c r="AJ292" i="10" l="1"/>
  <c r="AM291" i="10"/>
  <c r="AN291" i="10" s="1"/>
  <c r="AL293" i="10"/>
  <c r="AJ293" i="10" l="1"/>
  <c r="AM292" i="10"/>
  <c r="AN292" i="10" s="1"/>
  <c r="AL294" i="10"/>
  <c r="AJ294" i="10" l="1"/>
  <c r="AM293" i="10"/>
  <c r="AN293" i="10" s="1"/>
  <c r="AL295" i="10"/>
  <c r="AJ295" i="10" l="1"/>
  <c r="AM294" i="10"/>
  <c r="AN294" i="10" s="1"/>
  <c r="AL296" i="10"/>
  <c r="AJ296" i="10" l="1"/>
  <c r="AM295" i="10"/>
  <c r="AN295" i="10" s="1"/>
  <c r="AL297" i="10"/>
  <c r="AJ297" i="10" l="1"/>
  <c r="AM296" i="10"/>
  <c r="AN296" i="10" s="1"/>
  <c r="AL298" i="10"/>
  <c r="AJ298" i="10" l="1"/>
  <c r="AM297" i="10"/>
  <c r="AN297" i="10" s="1"/>
  <c r="AL299" i="10"/>
  <c r="AJ299" i="10" l="1"/>
  <c r="AM298" i="10"/>
  <c r="AN298" i="10" s="1"/>
  <c r="AL300" i="10"/>
  <c r="AJ300" i="10" l="1"/>
  <c r="AM299" i="10"/>
  <c r="AN299" i="10" s="1"/>
  <c r="AL301" i="10"/>
  <c r="AJ301" i="10" l="1"/>
  <c r="AM300" i="10"/>
  <c r="AN300" i="10" s="1"/>
  <c r="AL302" i="10"/>
  <c r="AJ302" i="10" l="1"/>
  <c r="AM301" i="10"/>
  <c r="AN301" i="10" s="1"/>
  <c r="AL303" i="10"/>
  <c r="AJ303" i="10" l="1"/>
  <c r="AM302" i="10"/>
  <c r="AN302" i="10" s="1"/>
  <c r="AL304" i="10"/>
  <c r="AJ304" i="10" s="1"/>
  <c r="AM303" i="10" l="1"/>
  <c r="AN303" i="10" s="1"/>
  <c r="AL305" i="10"/>
  <c r="AJ305" i="10" s="1"/>
  <c r="AL306" i="10" l="1"/>
  <c r="AJ306" i="10" s="1"/>
  <c r="AL307" i="10" l="1"/>
  <c r="AJ307" i="10" s="1"/>
  <c r="AL308" i="10" l="1"/>
  <c r="AJ308" i="10" s="1"/>
  <c r="AL309" i="10" l="1"/>
  <c r="AJ309" i="10" s="1"/>
  <c r="AL310" i="10" l="1"/>
  <c r="AJ310" i="10" s="1"/>
  <c r="AL311" i="10" l="1"/>
  <c r="AJ311" i="10" s="1"/>
  <c r="AL312" i="10" l="1"/>
  <c r="AJ312" i="10" s="1"/>
  <c r="AL313" i="10" l="1"/>
  <c r="AJ313" i="10" s="1"/>
  <c r="AL314" i="10" l="1"/>
  <c r="AJ314" i="10" s="1"/>
  <c r="AL315" i="10" l="1"/>
  <c r="AJ315" i="10" s="1"/>
  <c r="AL316" i="10" l="1"/>
  <c r="AJ316" i="10" s="1"/>
  <c r="AL317" i="10" l="1"/>
  <c r="AJ317" i="10" s="1"/>
  <c r="AL318" i="10" l="1"/>
  <c r="AJ318" i="10" s="1"/>
  <c r="AL319" i="10" l="1"/>
  <c r="AJ319" i="10" s="1"/>
  <c r="AL320" i="10" l="1"/>
  <c r="AJ320" i="10" s="1"/>
  <c r="AL321" i="10" l="1"/>
  <c r="AJ321" i="10" s="1"/>
  <c r="AL322" i="10" l="1"/>
  <c r="AJ322" i="10" s="1"/>
  <c r="AL323" i="10" l="1"/>
  <c r="AJ323" i="10" s="1"/>
  <c r="AL324" i="10" l="1"/>
  <c r="AJ324" i="10" s="1"/>
  <c r="AL325" i="10" l="1"/>
  <c r="AJ325" i="10" s="1"/>
  <c r="AL326" i="10" l="1"/>
  <c r="AJ326" i="10" s="1"/>
  <c r="AL327" i="10" l="1"/>
  <c r="AJ327" i="10" s="1"/>
  <c r="AL328" i="10" l="1"/>
  <c r="AJ328" i="10" s="1"/>
  <c r="AL329" i="10" l="1"/>
  <c r="AL330" i="10" s="1"/>
  <c r="AJ330" i="10"/>
  <c r="AK330" i="10"/>
  <c r="AI330" i="10"/>
  <c r="AJ329" i="10" l="1"/>
  <c r="AG5" i="10"/>
</calcChain>
</file>

<file path=xl/sharedStrings.xml><?xml version="1.0" encoding="utf-8"?>
<sst xmlns="http://schemas.openxmlformats.org/spreadsheetml/2006/main" count="10658" uniqueCount="5585">
  <si>
    <t>CSN</t>
  </si>
  <si>
    <t>Lön</t>
  </si>
  <si>
    <t>Hyra</t>
  </si>
  <si>
    <t>Sparande</t>
  </si>
  <si>
    <t>Studiematerial</t>
  </si>
  <si>
    <t>Kläder och accessoarer</t>
  </si>
  <si>
    <t>Total inkomst</t>
  </si>
  <si>
    <t>Totala utgifter</t>
  </si>
  <si>
    <t>Inkomst</t>
  </si>
  <si>
    <t>Utgifter</t>
  </si>
  <si>
    <t>Budgetmål</t>
  </si>
  <si>
    <t>Utfall</t>
  </si>
  <si>
    <t>Bra</t>
  </si>
  <si>
    <t>Dåligt</t>
  </si>
  <si>
    <t>Övrig inkomst</t>
  </si>
  <si>
    <t>Övriga utgifter</t>
  </si>
  <si>
    <t>Mat/förbrukningsvaror</t>
  </si>
  <si>
    <t>Hushållsartiklar</t>
  </si>
  <si>
    <t>Utemat/snacks</t>
  </si>
  <si>
    <t>Transport</t>
  </si>
  <si>
    <t>Sport och gym</t>
  </si>
  <si>
    <t>Dricka och aktiviteter</t>
  </si>
  <si>
    <t>Teknik och prylar</t>
  </si>
  <si>
    <t>Date night</t>
  </si>
  <si>
    <t>Januari</t>
  </si>
  <si>
    <t>Februari</t>
  </si>
  <si>
    <t>September</t>
  </si>
  <si>
    <t>Oktober</t>
  </si>
  <si>
    <t>November</t>
  </si>
  <si>
    <t>December</t>
  </si>
  <si>
    <t>Mars</t>
  </si>
  <si>
    <t>April</t>
  </si>
  <si>
    <t>Maj</t>
  </si>
  <si>
    <t>Månad</t>
  </si>
  <si>
    <t>Säkerhetsmarginal</t>
  </si>
  <si>
    <t>Andel</t>
  </si>
  <si>
    <t>Utgift</t>
  </si>
  <si>
    <t>Utfall i procent</t>
  </si>
  <si>
    <t>Kommentar</t>
  </si>
  <si>
    <t>Juni</t>
  </si>
  <si>
    <t>Juli</t>
  </si>
  <si>
    <t>Augusti</t>
  </si>
  <si>
    <t>VBA-data</t>
  </si>
  <si>
    <t>Antal sheets</t>
  </si>
  <si>
    <t>Vilken är innevarande månad</t>
  </si>
  <si>
    <t>Antal sheets -1</t>
  </si>
  <si>
    <t>Data</t>
  </si>
  <si>
    <t>Antal månader att ta fram</t>
  </si>
  <si>
    <t>Start date</t>
  </si>
  <si>
    <t>End date</t>
  </si>
  <si>
    <t>Kolumn1</t>
  </si>
  <si>
    <t>Kolumn2</t>
  </si>
  <si>
    <t>C6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</si>
  <si>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</si>
  <si>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</si>
  <si>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</si>
  <si>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</si>
  <si>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</si>
  <si>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</si>
  <si>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</si>
  <si>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</si>
  <si>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</si>
  <si>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</si>
  <si>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</si>
  <si>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</si>
  <si>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='Augusti 18'!C6</t>
  </si>
  <si>
    <t>='November 18'!C6</t>
  </si>
  <si>
    <t>='December 18'!C6</t>
  </si>
  <si>
    <t>='Januari 19'!C6</t>
  </si>
  <si>
    <t>='Februari 19'!C6</t>
  </si>
  <si>
    <t>='Mars 19'!C6</t>
  </si>
  <si>
    <t>='April 19'!C6</t>
  </si>
  <si>
    <t>='Maj 19'!C6</t>
  </si>
  <si>
    <t>='Juni 19'!C6</t>
  </si>
  <si>
    <t>='Juli 19'!C6</t>
  </si>
  <si>
    <t>='Augusti 19'!C6</t>
  </si>
  <si>
    <t>='September 19'!C6</t>
  </si>
  <si>
    <t>='Oktober 19'!C6</t>
  </si>
  <si>
    <t>='November 19'!C6</t>
  </si>
  <si>
    <t>='December 19'!C6</t>
  </si>
  <si>
    <t>='Januari 20'!C6</t>
  </si>
  <si>
    <t>='Februari 20'!C6</t>
  </si>
  <si>
    <t>='Mars 20'!C6</t>
  </si>
  <si>
    <t>='April 20'!C6</t>
  </si>
  <si>
    <t>='Maj 20'!C6</t>
  </si>
  <si>
    <t>='Juni 20'!C6</t>
  </si>
  <si>
    <t>='Juli 20'!C6</t>
  </si>
  <si>
    <t>='Augusti 20'!C6</t>
  </si>
  <si>
    <t>='September 20'!C6</t>
  </si>
  <si>
    <t>='Oktober 20'!C6</t>
  </si>
  <si>
    <t>='November 20'!C6</t>
  </si>
  <si>
    <t>='December 20'!C6</t>
  </si>
  <si>
    <t>='Januari 21'!C6</t>
  </si>
  <si>
    <t>='Februari 21'!C6</t>
  </si>
  <si>
    <t>='Mars 21'!C6</t>
  </si>
  <si>
    <t>='April 21'!C6</t>
  </si>
  <si>
    <t>='Maj 21'!C6</t>
  </si>
  <si>
    <t>='Juni 21'!C6</t>
  </si>
  <si>
    <t>='Juli 21'!C6</t>
  </si>
  <si>
    <t>='Augusti 21'!C6</t>
  </si>
  <si>
    <t>='September 21'!C6</t>
  </si>
  <si>
    <t>='Oktober 21'!C6</t>
  </si>
  <si>
    <t>='November 21'!C6</t>
  </si>
  <si>
    <t>='December 21'!C6</t>
  </si>
  <si>
    <t>='Januari 22'!C6</t>
  </si>
  <si>
    <t>='Februari 22'!C6</t>
  </si>
  <si>
    <t>='Mars 22'!C6</t>
  </si>
  <si>
    <t>='April 22'!C6</t>
  </si>
  <si>
    <t>='Maj 22'!C6</t>
  </si>
  <si>
    <t>='Juni 22'!C6</t>
  </si>
  <si>
    <t>='Juli 22'!C6</t>
  </si>
  <si>
    <t>='Augusti 22'!C6</t>
  </si>
  <si>
    <t>='September 22'!C6</t>
  </si>
  <si>
    <t>='Oktober 22'!C6</t>
  </si>
  <si>
    <t>='November 22'!C6</t>
  </si>
  <si>
    <t>='December 22'!C6</t>
  </si>
  <si>
    <t>='Januari 23'!C6</t>
  </si>
  <si>
    <t>='Februari 23'!C6</t>
  </si>
  <si>
    <t>='Mars 23'!C6</t>
  </si>
  <si>
    <t>='April 23'!C6</t>
  </si>
  <si>
    <t>='Maj 23'!C6</t>
  </si>
  <si>
    <t>='Juni 23'!C6</t>
  </si>
  <si>
    <t>='Juli 23'!C6</t>
  </si>
  <si>
    <t>='Augusti 23'!C6</t>
  </si>
  <si>
    <t>='September 23'!C6</t>
  </si>
  <si>
    <t>='Oktober 23'!C6</t>
  </si>
  <si>
    <t>='November 23'!C6</t>
  </si>
  <si>
    <t>='December 23'!C6</t>
  </si>
  <si>
    <t>='Januari 24'!C6</t>
  </si>
  <si>
    <t>='Februari 24'!C6</t>
  </si>
  <si>
    <t>='Mars 24'!C6</t>
  </si>
  <si>
    <t>='April 24'!C6</t>
  </si>
  <si>
    <t>='Maj 24'!C6</t>
  </si>
  <si>
    <t>='Juni 24'!C6</t>
  </si>
  <si>
    <t>='Juli 24'!C6</t>
  </si>
  <si>
    <t>='Augusti 24'!C6</t>
  </si>
  <si>
    <t>='September 24'!C6</t>
  </si>
  <si>
    <t>='Oktober 24'!C6</t>
  </si>
  <si>
    <t>='November 24'!C6</t>
  </si>
  <si>
    <t>='December 24'!C6</t>
  </si>
  <si>
    <t>='Januari 25'!C6</t>
  </si>
  <si>
    <t>='Februari 25'!C6</t>
  </si>
  <si>
    <t>='Mars 25'!C6</t>
  </si>
  <si>
    <t>='April 25'!C6</t>
  </si>
  <si>
    <t>='Maj 25'!C6</t>
  </si>
  <si>
    <t>='Juni 25'!C6</t>
  </si>
  <si>
    <t>='Juli 25'!C6</t>
  </si>
  <si>
    <t>='Augusti 25'!C6</t>
  </si>
  <si>
    <t>='September 25'!C6</t>
  </si>
  <si>
    <t>='Oktober 25'!C6</t>
  </si>
  <si>
    <t>='November 25'!C6</t>
  </si>
  <si>
    <t>='December 25'!C6</t>
  </si>
  <si>
    <t>='Januari 26'!C6</t>
  </si>
  <si>
    <t>='Februari 26'!C6</t>
  </si>
  <si>
    <t>='Mars 26'!C6</t>
  </si>
  <si>
    <t>='April 26'!C6</t>
  </si>
  <si>
    <t>='Maj 26'!C6</t>
  </si>
  <si>
    <t>='Juni 26'!C6</t>
  </si>
  <si>
    <t>='Juli 26'!C6</t>
  </si>
  <si>
    <t>='Augusti 26'!C6</t>
  </si>
  <si>
    <t>='September 26'!C6</t>
  </si>
  <si>
    <t>='Oktober 26'!C6</t>
  </si>
  <si>
    <t>='November 26'!C6</t>
  </si>
  <si>
    <t>='December 26'!C6</t>
  </si>
  <si>
    <t>='Januari 27'!C6</t>
  </si>
  <si>
    <t>='Februari 27'!C6</t>
  </si>
  <si>
    <t>='Mars 27'!C6</t>
  </si>
  <si>
    <t>='April 27'!C6</t>
  </si>
  <si>
    <t>='Maj 27'!C6</t>
  </si>
  <si>
    <t>='Juni 27'!C6</t>
  </si>
  <si>
    <t>='Juli 27'!C6</t>
  </si>
  <si>
    <t>='Augusti 27'!C6</t>
  </si>
  <si>
    <t>='September 27'!C6</t>
  </si>
  <si>
    <t>='Oktober 27'!C6</t>
  </si>
  <si>
    <t>='November 27'!C6</t>
  </si>
  <si>
    <t>='December 27'!C6</t>
  </si>
  <si>
    <t>='Januari 28'!C6</t>
  </si>
  <si>
    <t>='Februari 28'!C6</t>
  </si>
  <si>
    <t>='Mars 28'!C6</t>
  </si>
  <si>
    <t>='April 28'!C6</t>
  </si>
  <si>
    <t>='Maj 28'!C6</t>
  </si>
  <si>
    <t>='Juni 28'!C6</t>
  </si>
  <si>
    <t>='Juli 28'!C6</t>
  </si>
  <si>
    <t>='Augusti 28'!C6</t>
  </si>
  <si>
    <t>='September 28'!C6</t>
  </si>
  <si>
    <t>='Oktober 28'!C6</t>
  </si>
  <si>
    <t>='November 28'!C6</t>
  </si>
  <si>
    <t>='December 28'!C6</t>
  </si>
  <si>
    <t>='Januari 29'!C6</t>
  </si>
  <si>
    <t>='Februari 29'!C6</t>
  </si>
  <si>
    <t>='Mars 29'!C6</t>
  </si>
  <si>
    <t>='April 29'!C6</t>
  </si>
  <si>
    <t>='Maj 29'!C6</t>
  </si>
  <si>
    <t>='Juni 29'!C6</t>
  </si>
  <si>
    <t>='Juli 29'!C6</t>
  </si>
  <si>
    <t>='Augusti 29'!C6</t>
  </si>
  <si>
    <t>='September 29'!C6</t>
  </si>
  <si>
    <t>='Oktober 29'!C6</t>
  </si>
  <si>
    <t>='November 29'!C6</t>
  </si>
  <si>
    <t>='December 29'!C6</t>
  </si>
  <si>
    <t>='Januari 30'!C6</t>
  </si>
  <si>
    <t>='Februari 30'!C6</t>
  </si>
  <si>
    <t>='Mars 30'!C6</t>
  </si>
  <si>
    <t>='April 30'!C6</t>
  </si>
  <si>
    <t>='Maj 30'!C6</t>
  </si>
  <si>
    <t>='Juni 30'!C6</t>
  </si>
  <si>
    <t>='Juli 30'!C6</t>
  </si>
  <si>
    <t>='Augusti 30'!C6</t>
  </si>
  <si>
    <t>='September 30'!C6</t>
  </si>
  <si>
    <t>='Oktober 30'!C6</t>
  </si>
  <si>
    <t>='November 30'!C6</t>
  </si>
  <si>
    <t>='December 30'!C6</t>
  </si>
  <si>
    <t>='Januari 31'!C6</t>
  </si>
  <si>
    <t>='Februari 31'!C6</t>
  </si>
  <si>
    <t>='Mars 31'!C6</t>
  </si>
  <si>
    <t>='April 31'!C6</t>
  </si>
  <si>
    <t>='Maj 31'!C6</t>
  </si>
  <si>
    <t>='Juni 31'!C6</t>
  </si>
  <si>
    <t>='Juli 31'!C6</t>
  </si>
  <si>
    <t>='Augusti 31'!C6</t>
  </si>
  <si>
    <t>='September 31'!C6</t>
  </si>
  <si>
    <t>='Oktober 31'!C6</t>
  </si>
  <si>
    <t>='November 31'!C6</t>
  </si>
  <si>
    <t>='December 31'!C6</t>
  </si>
  <si>
    <t>='Januari 32'!C6</t>
  </si>
  <si>
    <t>='Februari 32'!C6</t>
  </si>
  <si>
    <t>='Mars 32'!C6</t>
  </si>
  <si>
    <t>='April 32'!C6</t>
  </si>
  <si>
    <t>='Maj 32'!C6</t>
  </si>
  <si>
    <t>='Juni 32'!C6</t>
  </si>
  <si>
    <t>='Juli 32'!C6</t>
  </si>
  <si>
    <t>='Augusti 32'!C6</t>
  </si>
  <si>
    <t>='September 32'!C6</t>
  </si>
  <si>
    <t>='Oktober 32'!C6</t>
  </si>
  <si>
    <t>='November 32'!C6</t>
  </si>
  <si>
    <t>='December 32'!C6</t>
  </si>
  <si>
    <t>='Januari 33'!C6</t>
  </si>
  <si>
    <t>='Februari 33'!C6</t>
  </si>
  <si>
    <t>='Mars 33'!C6</t>
  </si>
  <si>
    <t>='April 33'!C6</t>
  </si>
  <si>
    <t>='Maj 33'!C6</t>
  </si>
  <si>
    <t>='Juni 33'!C6</t>
  </si>
  <si>
    <t>='Juli 33'!C6</t>
  </si>
  <si>
    <t>='Augusti 33'!C6</t>
  </si>
  <si>
    <t>='September 33'!C6</t>
  </si>
  <si>
    <t>='Oktober 33'!C6</t>
  </si>
  <si>
    <t>='November 33'!C6</t>
  </si>
  <si>
    <t>='December 33'!C6</t>
  </si>
  <si>
    <t>='Januari 34'!C6</t>
  </si>
  <si>
    <t>='Februari 34'!C6</t>
  </si>
  <si>
    <t>='Mars 34'!C6</t>
  </si>
  <si>
    <t>='April 34'!C6</t>
  </si>
  <si>
    <t>='Maj 34'!C6</t>
  </si>
  <si>
    <t>='Juni 34'!C6</t>
  </si>
  <si>
    <t>='Juli 34'!C6</t>
  </si>
  <si>
    <t>='Augusti 34'!C6</t>
  </si>
  <si>
    <t>='September 34'!C6</t>
  </si>
  <si>
    <t>='Oktober 34'!C6</t>
  </si>
  <si>
    <t>='November 34'!C6</t>
  </si>
  <si>
    <t>='December 34'!C6</t>
  </si>
  <si>
    <t>='Januari 35'!C6</t>
  </si>
  <si>
    <t>='Februari 35'!C6</t>
  </si>
  <si>
    <t>='Mars 35'!C6</t>
  </si>
  <si>
    <t>='April 35'!C6</t>
  </si>
  <si>
    <t>='Maj 35'!C6</t>
  </si>
  <si>
    <t>='Juni 35'!C6</t>
  </si>
  <si>
    <t>='Juli 35'!C6</t>
  </si>
  <si>
    <t>='Augusti 35'!C6</t>
  </si>
  <si>
    <t>='September 35'!C6</t>
  </si>
  <si>
    <t>='Oktober 35'!C6</t>
  </si>
  <si>
    <t>='November 35'!C6</t>
  </si>
  <si>
    <t>='December 35'!C6</t>
  </si>
  <si>
    <t>='Januari 36'!C6</t>
  </si>
  <si>
    <t>='Februari 36'!C6</t>
  </si>
  <si>
    <t>='Mars 36'!C6</t>
  </si>
  <si>
    <t>='April 36'!C6</t>
  </si>
  <si>
    <t>='Maj 36'!C6</t>
  </si>
  <si>
    <t>='Juni 36'!C6</t>
  </si>
  <si>
    <t>='Juli 36'!C6</t>
  </si>
  <si>
    <t>='Augusti 36'!C6</t>
  </si>
  <si>
    <t>='September 36'!C6</t>
  </si>
  <si>
    <t>='Oktober 36'!C6</t>
  </si>
  <si>
    <t>='November 36'!C6</t>
  </si>
  <si>
    <t>='December 36'!C6</t>
  </si>
  <si>
    <t>='Januari 37'!C6</t>
  </si>
  <si>
    <t>='Februari 37'!C6</t>
  </si>
  <si>
    <t>='Mars 37'!C6</t>
  </si>
  <si>
    <t>='April 37'!C6</t>
  </si>
  <si>
    <t>='Maj 37'!C6</t>
  </si>
  <si>
    <t>='Juni 37'!C6</t>
  </si>
  <si>
    <t>='Juli 37'!C6</t>
  </si>
  <si>
    <t>='Augusti 37'!C6</t>
  </si>
  <si>
    <t>='September 37'!C6</t>
  </si>
  <si>
    <t>='Oktober 37'!C6</t>
  </si>
  <si>
    <t>='November 37'!C6</t>
  </si>
  <si>
    <t>='December 37'!C6</t>
  </si>
  <si>
    <t>='Januari 38'!C6</t>
  </si>
  <si>
    <t>='Februari 38'!C6</t>
  </si>
  <si>
    <t>='Mars 38'!C6</t>
  </si>
  <si>
    <t>='April 38'!C6</t>
  </si>
  <si>
    <t>='Maj 38'!C6</t>
  </si>
  <si>
    <t>='Juni 38'!C6</t>
  </si>
  <si>
    <t>='Juli 38'!C6</t>
  </si>
  <si>
    <t>='Augusti 38'!C6</t>
  </si>
  <si>
    <t>='September 38'!C6</t>
  </si>
  <si>
    <t>='Oktober 38'!C6</t>
  </si>
  <si>
    <t>='November 38'!C6</t>
  </si>
  <si>
    <t>='December 38'!C6</t>
  </si>
  <si>
    <t>='Januari 39'!C6</t>
  </si>
  <si>
    <t>='Februari 39'!C6</t>
  </si>
  <si>
    <t>='Mars 39'!C6</t>
  </si>
  <si>
    <t>='April 39'!C6</t>
  </si>
  <si>
    <t>='Maj 39'!C6</t>
  </si>
  <si>
    <t>='Juni 39'!C6</t>
  </si>
  <si>
    <t>='Juli 39'!C6</t>
  </si>
  <si>
    <t>='Augusti 39'!C6</t>
  </si>
  <si>
    <t>='September 39'!C6</t>
  </si>
  <si>
    <t>='Oktober 39'!C6</t>
  </si>
  <si>
    <t>='November 39'!C6</t>
  </si>
  <si>
    <t>='December 39'!C6</t>
  </si>
  <si>
    <t>='Januari 40'!C6</t>
  </si>
  <si>
    <t>='Februari 40'!C6</t>
  </si>
  <si>
    <t>='Mars 40'!C6</t>
  </si>
  <si>
    <t>='April 40'!C6</t>
  </si>
  <si>
    <t>='Maj 40'!C6</t>
  </si>
  <si>
    <t>='Juni 40'!C6</t>
  </si>
  <si>
    <t>='Juli 40'!C6</t>
  </si>
  <si>
    <t>='Augusti 40'!C6</t>
  </si>
  <si>
    <t>='September 40'!C6</t>
  </si>
  <si>
    <t>='Oktober 40'!C6</t>
  </si>
  <si>
    <t>='November 40'!C6</t>
  </si>
  <si>
    <t>='December 40'!C6</t>
  </si>
  <si>
    <t>='Januari 41'!C6</t>
  </si>
  <si>
    <t>='Februari 41'!C6</t>
  </si>
  <si>
    <t>='Mars 41'!C6</t>
  </si>
  <si>
    <t>='April 41'!C6</t>
  </si>
  <si>
    <t>='Maj 41'!C6</t>
  </si>
  <si>
    <t>='Juni 41'!C6</t>
  </si>
  <si>
    <t>='Juli 41'!C6</t>
  </si>
  <si>
    <t>='Augusti 41'!C6</t>
  </si>
  <si>
    <t>='September 41'!C6</t>
  </si>
  <si>
    <t>='Oktober 41'!C6</t>
  </si>
  <si>
    <t>='November 41'!C6</t>
  </si>
  <si>
    <t>='December 41'!C6</t>
  </si>
  <si>
    <t>='Januari 42'!C6</t>
  </si>
  <si>
    <t>='Februari 42'!C6</t>
  </si>
  <si>
    <t>='Mars 42'!C6</t>
  </si>
  <si>
    <t>='April 42'!C6</t>
  </si>
  <si>
    <t>='Maj 42'!C6</t>
  </si>
  <si>
    <t>='Juni 42'!C6</t>
  </si>
  <si>
    <t>='Juli 42'!C6</t>
  </si>
  <si>
    <t>='Augusti 42'!C6</t>
  </si>
  <si>
    <t>='September 42'!C6</t>
  </si>
  <si>
    <t>='Oktober 42'!C6</t>
  </si>
  <si>
    <t>='November 42'!C6</t>
  </si>
  <si>
    <t>='December 42'!C6</t>
  </si>
  <si>
    <t>='Januari 43'!C6</t>
  </si>
  <si>
    <t>='Februari 43'!C6</t>
  </si>
  <si>
    <t>='Mars 43'!C6</t>
  </si>
  <si>
    <t>='April 43'!C6</t>
  </si>
  <si>
    <t>='Maj 43'!C6</t>
  </si>
  <si>
    <t>='Juni 43'!C6</t>
  </si>
  <si>
    <t>='Juli 43'!C6</t>
  </si>
  <si>
    <t>='Augusti 43'!C6</t>
  </si>
  <si>
    <t>='Augusti 18'!C12</t>
  </si>
  <si>
    <t>='September 18'!C12</t>
  </si>
  <si>
    <t>='Oktober 18'!C12</t>
  </si>
  <si>
    <t>='November 18'!C12</t>
  </si>
  <si>
    <t>='December 18'!C12</t>
  </si>
  <si>
    <t>='Januari 19'!C12</t>
  </si>
  <si>
    <t>='Februari 19'!C12</t>
  </si>
  <si>
    <t>='Mars 19'!C12</t>
  </si>
  <si>
    <t>='April 19'!C12</t>
  </si>
  <si>
    <t>='Maj 19'!C12</t>
  </si>
  <si>
    <t>='Juni 19'!C12</t>
  </si>
  <si>
    <t>='Juli 19'!C12</t>
  </si>
  <si>
    <t>='Augusti 19'!C12</t>
  </si>
  <si>
    <t>='September 19'!C12</t>
  </si>
  <si>
    <t>='Oktober 19'!C12</t>
  </si>
  <si>
    <t>='November 19'!C12</t>
  </si>
  <si>
    <t>='December 19'!C12</t>
  </si>
  <si>
    <t>='Januari 20'!C12</t>
  </si>
  <si>
    <t>='Februari 20'!C12</t>
  </si>
  <si>
    <t>='Mars 20'!C12</t>
  </si>
  <si>
    <t>='April 20'!C12</t>
  </si>
  <si>
    <t>='Maj 20'!C12</t>
  </si>
  <si>
    <t>='Juni 20'!C12</t>
  </si>
  <si>
    <t>='Juli 20'!C12</t>
  </si>
  <si>
    <t>='Augusti 20'!C12</t>
  </si>
  <si>
    <t>='September 20'!C12</t>
  </si>
  <si>
    <t>='Oktober 20'!C12</t>
  </si>
  <si>
    <t>='November 20'!C12</t>
  </si>
  <si>
    <t>='December 20'!C12</t>
  </si>
  <si>
    <t>='Januari 21'!C12</t>
  </si>
  <si>
    <t>='Februari 21'!C12</t>
  </si>
  <si>
    <t>='Mars 21'!C12</t>
  </si>
  <si>
    <t>='April 21'!C12</t>
  </si>
  <si>
    <t>='Maj 21'!C12</t>
  </si>
  <si>
    <t>='Juni 21'!C12</t>
  </si>
  <si>
    <t>='Juli 21'!C12</t>
  </si>
  <si>
    <t>='Augusti 21'!C12</t>
  </si>
  <si>
    <t>='September 21'!C12</t>
  </si>
  <si>
    <t>='Oktober 21'!C12</t>
  </si>
  <si>
    <t>='November 21'!C12</t>
  </si>
  <si>
    <t>='December 21'!C12</t>
  </si>
  <si>
    <t>='Januari 22'!C12</t>
  </si>
  <si>
    <t>='Februari 22'!C12</t>
  </si>
  <si>
    <t>='Mars 22'!C12</t>
  </si>
  <si>
    <t>='April 22'!C12</t>
  </si>
  <si>
    <t>='Maj 22'!C12</t>
  </si>
  <si>
    <t>='Juni 22'!C12</t>
  </si>
  <si>
    <t>='Juli 22'!C12</t>
  </si>
  <si>
    <t>='Augusti 22'!C12</t>
  </si>
  <si>
    <t>='September 22'!C12</t>
  </si>
  <si>
    <t>='Oktober 22'!C12</t>
  </si>
  <si>
    <t>='November 22'!C12</t>
  </si>
  <si>
    <t>='December 22'!C12</t>
  </si>
  <si>
    <t>='Januari 23'!C12</t>
  </si>
  <si>
    <t>='Februari 23'!C12</t>
  </si>
  <si>
    <t>='Mars 23'!C12</t>
  </si>
  <si>
    <t>='April 23'!C12</t>
  </si>
  <si>
    <t>='Maj 23'!C12</t>
  </si>
  <si>
    <t>='Juni 23'!C12</t>
  </si>
  <si>
    <t>='Juli 23'!C12</t>
  </si>
  <si>
    <t>='Augusti 23'!C12</t>
  </si>
  <si>
    <t>='September 23'!C12</t>
  </si>
  <si>
    <t>='Oktober 23'!C12</t>
  </si>
  <si>
    <t>='November 23'!C12</t>
  </si>
  <si>
    <t>='December 23'!C12</t>
  </si>
  <si>
    <t>='Januari 24'!C12</t>
  </si>
  <si>
    <t>='Februari 24'!C12</t>
  </si>
  <si>
    <t>='Mars 24'!C12</t>
  </si>
  <si>
    <t>='April 24'!C12</t>
  </si>
  <si>
    <t>='Maj 24'!C12</t>
  </si>
  <si>
    <t>='Juni 24'!C12</t>
  </si>
  <si>
    <t>='Juli 24'!C12</t>
  </si>
  <si>
    <t>='Augusti 24'!C12</t>
  </si>
  <si>
    <t>='September 24'!C12</t>
  </si>
  <si>
    <t>='Oktober 24'!C12</t>
  </si>
  <si>
    <t>='November 24'!C12</t>
  </si>
  <si>
    <t>='December 24'!C12</t>
  </si>
  <si>
    <t>='Januari 25'!C12</t>
  </si>
  <si>
    <t>='Februari 25'!C12</t>
  </si>
  <si>
    <t>='Mars 25'!C12</t>
  </si>
  <si>
    <t>='April 25'!C12</t>
  </si>
  <si>
    <t>='Maj 25'!C12</t>
  </si>
  <si>
    <t>='Juni 25'!C12</t>
  </si>
  <si>
    <t>='Juli 25'!C12</t>
  </si>
  <si>
    <t>='Augusti 25'!C12</t>
  </si>
  <si>
    <t>='September 25'!C12</t>
  </si>
  <si>
    <t>='Oktober 25'!C12</t>
  </si>
  <si>
    <t>='November 25'!C12</t>
  </si>
  <si>
    <t>='December 25'!C12</t>
  </si>
  <si>
    <t>='Januari 26'!C12</t>
  </si>
  <si>
    <t>='Februari 26'!C12</t>
  </si>
  <si>
    <t>='Mars 26'!C12</t>
  </si>
  <si>
    <t>='April 26'!C12</t>
  </si>
  <si>
    <t>='Maj 26'!C12</t>
  </si>
  <si>
    <t>='Juni 26'!C12</t>
  </si>
  <si>
    <t>='Juli 26'!C12</t>
  </si>
  <si>
    <t>='Augusti 26'!C12</t>
  </si>
  <si>
    <t>='September 26'!C12</t>
  </si>
  <si>
    <t>='Oktober 26'!C12</t>
  </si>
  <si>
    <t>='November 26'!C12</t>
  </si>
  <si>
    <t>='December 26'!C12</t>
  </si>
  <si>
    <t>='Januari 27'!C12</t>
  </si>
  <si>
    <t>='Februari 27'!C12</t>
  </si>
  <si>
    <t>='Mars 27'!C12</t>
  </si>
  <si>
    <t>='April 27'!C12</t>
  </si>
  <si>
    <t>='Maj 27'!C12</t>
  </si>
  <si>
    <t>='Juni 27'!C12</t>
  </si>
  <si>
    <t>='Juli 27'!C12</t>
  </si>
  <si>
    <t>='Augusti 27'!C12</t>
  </si>
  <si>
    <t>='September 27'!C12</t>
  </si>
  <si>
    <t>='Oktober 27'!C12</t>
  </si>
  <si>
    <t>='November 27'!C12</t>
  </si>
  <si>
    <t>='December 27'!C12</t>
  </si>
  <si>
    <t>='Januari 28'!C12</t>
  </si>
  <si>
    <t>='Februari 28'!C12</t>
  </si>
  <si>
    <t>='Mars 28'!C12</t>
  </si>
  <si>
    <t>='April 28'!C12</t>
  </si>
  <si>
    <t>='Maj 28'!C12</t>
  </si>
  <si>
    <t>='Juni 28'!C12</t>
  </si>
  <si>
    <t>='Juli 28'!C12</t>
  </si>
  <si>
    <t>='Augusti 28'!C12</t>
  </si>
  <si>
    <t>='September 28'!C12</t>
  </si>
  <si>
    <t>='Oktober 28'!C12</t>
  </si>
  <si>
    <t>='November 28'!C12</t>
  </si>
  <si>
    <t>='December 28'!C12</t>
  </si>
  <si>
    <t>='Januari 29'!C12</t>
  </si>
  <si>
    <t>='Februari 29'!C12</t>
  </si>
  <si>
    <t>='Mars 29'!C12</t>
  </si>
  <si>
    <t>='April 29'!C12</t>
  </si>
  <si>
    <t>='Maj 29'!C12</t>
  </si>
  <si>
    <t>='Juni 29'!C12</t>
  </si>
  <si>
    <t>='Juli 29'!C12</t>
  </si>
  <si>
    <t>='Augusti 29'!C12</t>
  </si>
  <si>
    <t>='September 29'!C12</t>
  </si>
  <si>
    <t>='Oktober 29'!C12</t>
  </si>
  <si>
    <t>='November 29'!C12</t>
  </si>
  <si>
    <t>='December 29'!C12</t>
  </si>
  <si>
    <t>='Januari 30'!C12</t>
  </si>
  <si>
    <t>='Februari 30'!C12</t>
  </si>
  <si>
    <t>='Mars 30'!C12</t>
  </si>
  <si>
    <t>='April 30'!C12</t>
  </si>
  <si>
    <t>='Maj 30'!C12</t>
  </si>
  <si>
    <t>='Juni 30'!C12</t>
  </si>
  <si>
    <t>='Juli 30'!C12</t>
  </si>
  <si>
    <t>='Augusti 30'!C12</t>
  </si>
  <si>
    <t>='September 30'!C12</t>
  </si>
  <si>
    <t>='Oktober 30'!C12</t>
  </si>
  <si>
    <t>='November 30'!C12</t>
  </si>
  <si>
    <t>='December 30'!C12</t>
  </si>
  <si>
    <t>='Januari 31'!C12</t>
  </si>
  <si>
    <t>='Februari 31'!C12</t>
  </si>
  <si>
    <t>='Mars 31'!C12</t>
  </si>
  <si>
    <t>='April 31'!C12</t>
  </si>
  <si>
    <t>='Maj 31'!C12</t>
  </si>
  <si>
    <t>='Juni 31'!C12</t>
  </si>
  <si>
    <t>='Juli 31'!C12</t>
  </si>
  <si>
    <t>='Augusti 31'!C12</t>
  </si>
  <si>
    <t>='September 31'!C12</t>
  </si>
  <si>
    <t>='Oktober 31'!C12</t>
  </si>
  <si>
    <t>='November 31'!C12</t>
  </si>
  <si>
    <t>='December 31'!C12</t>
  </si>
  <si>
    <t>='Januari 32'!C12</t>
  </si>
  <si>
    <t>='Februari 32'!C12</t>
  </si>
  <si>
    <t>='Mars 32'!C12</t>
  </si>
  <si>
    <t>='April 32'!C12</t>
  </si>
  <si>
    <t>='Maj 32'!C12</t>
  </si>
  <si>
    <t>='Juni 32'!C12</t>
  </si>
  <si>
    <t>='Juli 32'!C12</t>
  </si>
  <si>
    <t>='Augusti 32'!C12</t>
  </si>
  <si>
    <t>='September 32'!C12</t>
  </si>
  <si>
    <t>='Oktober 32'!C12</t>
  </si>
  <si>
    <t>='November 32'!C12</t>
  </si>
  <si>
    <t>='December 32'!C12</t>
  </si>
  <si>
    <t>='Januari 33'!C12</t>
  </si>
  <si>
    <t>='Februari 33'!C12</t>
  </si>
  <si>
    <t>='Mars 33'!C12</t>
  </si>
  <si>
    <t>='April 33'!C12</t>
  </si>
  <si>
    <t>='Maj 33'!C12</t>
  </si>
  <si>
    <t>='Juni 33'!C12</t>
  </si>
  <si>
    <t>='Juli 33'!C12</t>
  </si>
  <si>
    <t>='Augusti 33'!C12</t>
  </si>
  <si>
    <t>='September 33'!C12</t>
  </si>
  <si>
    <t>='Oktober 33'!C12</t>
  </si>
  <si>
    <t>='November 33'!C12</t>
  </si>
  <si>
    <t>='December 33'!C12</t>
  </si>
  <si>
    <t>='Januari 34'!C12</t>
  </si>
  <si>
    <t>='Februari 34'!C12</t>
  </si>
  <si>
    <t>='Mars 34'!C12</t>
  </si>
  <si>
    <t>='April 34'!C12</t>
  </si>
  <si>
    <t>='Maj 34'!C12</t>
  </si>
  <si>
    <t>='Juni 34'!C12</t>
  </si>
  <si>
    <t>='Juli 34'!C12</t>
  </si>
  <si>
    <t>='Augusti 34'!C12</t>
  </si>
  <si>
    <t>='September 34'!C12</t>
  </si>
  <si>
    <t>='Oktober 34'!C12</t>
  </si>
  <si>
    <t>='November 34'!C12</t>
  </si>
  <si>
    <t>='December 34'!C12</t>
  </si>
  <si>
    <t>='Januari 35'!C12</t>
  </si>
  <si>
    <t>='Februari 35'!C12</t>
  </si>
  <si>
    <t>='Mars 35'!C12</t>
  </si>
  <si>
    <t>='April 35'!C12</t>
  </si>
  <si>
    <t>='Maj 35'!C12</t>
  </si>
  <si>
    <t>='Juni 35'!C12</t>
  </si>
  <si>
    <t>='Juli 35'!C12</t>
  </si>
  <si>
    <t>='Augusti 35'!C12</t>
  </si>
  <si>
    <t>='September 35'!C12</t>
  </si>
  <si>
    <t>='Oktober 35'!C12</t>
  </si>
  <si>
    <t>='November 35'!C12</t>
  </si>
  <si>
    <t>='December 35'!C12</t>
  </si>
  <si>
    <t>='Januari 36'!C12</t>
  </si>
  <si>
    <t>='Februari 36'!C12</t>
  </si>
  <si>
    <t>='Mars 36'!C12</t>
  </si>
  <si>
    <t>='April 36'!C12</t>
  </si>
  <si>
    <t>='Maj 36'!C12</t>
  </si>
  <si>
    <t>='Juni 36'!C12</t>
  </si>
  <si>
    <t>='Juli 36'!C12</t>
  </si>
  <si>
    <t>='Augusti 36'!C12</t>
  </si>
  <si>
    <t>='September 36'!C12</t>
  </si>
  <si>
    <t>='Oktober 36'!C12</t>
  </si>
  <si>
    <t>='November 36'!C12</t>
  </si>
  <si>
    <t>='December 36'!C12</t>
  </si>
  <si>
    <t>='Januari 37'!C12</t>
  </si>
  <si>
    <t>='Februari 37'!C12</t>
  </si>
  <si>
    <t>='Mars 37'!C12</t>
  </si>
  <si>
    <t>='April 37'!C12</t>
  </si>
  <si>
    <t>='Maj 37'!C12</t>
  </si>
  <si>
    <t>='Juni 37'!C12</t>
  </si>
  <si>
    <t>='Juli 37'!C12</t>
  </si>
  <si>
    <t>='Augusti 37'!C12</t>
  </si>
  <si>
    <t>='September 37'!C12</t>
  </si>
  <si>
    <t>='Oktober 37'!C12</t>
  </si>
  <si>
    <t>='November 37'!C12</t>
  </si>
  <si>
    <t>='December 37'!C12</t>
  </si>
  <si>
    <t>='Januari 38'!C12</t>
  </si>
  <si>
    <t>='Februari 38'!C12</t>
  </si>
  <si>
    <t>='Mars 38'!C12</t>
  </si>
  <si>
    <t>='April 38'!C12</t>
  </si>
  <si>
    <t>='Maj 38'!C12</t>
  </si>
  <si>
    <t>='Juni 38'!C12</t>
  </si>
  <si>
    <t>='Juli 38'!C12</t>
  </si>
  <si>
    <t>='Augusti 38'!C12</t>
  </si>
  <si>
    <t>='September 38'!C12</t>
  </si>
  <si>
    <t>='Oktober 38'!C12</t>
  </si>
  <si>
    <t>='November 38'!C12</t>
  </si>
  <si>
    <t>='December 38'!C12</t>
  </si>
  <si>
    <t>='Januari 39'!C12</t>
  </si>
  <si>
    <t>='Februari 39'!C12</t>
  </si>
  <si>
    <t>='Mars 39'!C12</t>
  </si>
  <si>
    <t>='April 39'!C12</t>
  </si>
  <si>
    <t>='Maj 39'!C12</t>
  </si>
  <si>
    <t>='Juni 39'!C12</t>
  </si>
  <si>
    <t>='Juli 39'!C12</t>
  </si>
  <si>
    <t>='Augusti 39'!C12</t>
  </si>
  <si>
    <t>='September 39'!C12</t>
  </si>
  <si>
    <t>='Oktober 39'!C12</t>
  </si>
  <si>
    <t>='November 39'!C12</t>
  </si>
  <si>
    <t>='December 39'!C12</t>
  </si>
  <si>
    <t>='Januari 40'!C12</t>
  </si>
  <si>
    <t>='Februari 40'!C12</t>
  </si>
  <si>
    <t>='Mars 40'!C12</t>
  </si>
  <si>
    <t>='April 40'!C12</t>
  </si>
  <si>
    <t>='Maj 40'!C12</t>
  </si>
  <si>
    <t>='Juni 40'!C12</t>
  </si>
  <si>
    <t>='Juli 40'!C12</t>
  </si>
  <si>
    <t>='Augusti 40'!C12</t>
  </si>
  <si>
    <t>='September 40'!C12</t>
  </si>
  <si>
    <t>='Oktober 40'!C12</t>
  </si>
  <si>
    <t>='November 40'!C12</t>
  </si>
  <si>
    <t>='December 40'!C12</t>
  </si>
  <si>
    <t>='Januari 41'!C12</t>
  </si>
  <si>
    <t>='Februari 41'!C12</t>
  </si>
  <si>
    <t>='Mars 41'!C12</t>
  </si>
  <si>
    <t>='April 41'!C12</t>
  </si>
  <si>
    <t>='Maj 41'!C12</t>
  </si>
  <si>
    <t>='Juni 41'!C12</t>
  </si>
  <si>
    <t>='Juli 41'!C12</t>
  </si>
  <si>
    <t>='Augusti 41'!C12</t>
  </si>
  <si>
    <t>='September 41'!C12</t>
  </si>
  <si>
    <t>='Oktober 41'!C12</t>
  </si>
  <si>
    <t>='November 41'!C12</t>
  </si>
  <si>
    <t>='December 41'!C12</t>
  </si>
  <si>
    <t>='Januari 42'!C12</t>
  </si>
  <si>
    <t>='Februari 42'!C12</t>
  </si>
  <si>
    <t>='Mars 42'!C12</t>
  </si>
  <si>
    <t>='April 42'!C12</t>
  </si>
  <si>
    <t>='Maj 42'!C12</t>
  </si>
  <si>
    <t>='Juni 42'!C12</t>
  </si>
  <si>
    <t>='Juli 42'!C12</t>
  </si>
  <si>
    <t>='Augusti 42'!C12</t>
  </si>
  <si>
    <t>='September 42'!C12</t>
  </si>
  <si>
    <t>='Oktober 42'!C12</t>
  </si>
  <si>
    <t>='November 42'!C12</t>
  </si>
  <si>
    <t>='December 42'!C12</t>
  </si>
  <si>
    <t>='Januari 43'!C12</t>
  </si>
  <si>
    <t>='Februari 43'!C12</t>
  </si>
  <si>
    <t>='Mars 43'!C12</t>
  </si>
  <si>
    <t>='April 43'!C12</t>
  </si>
  <si>
    <t>='Maj 43'!C12</t>
  </si>
  <si>
    <t>='Juni 43'!C12</t>
  </si>
  <si>
    <t>='Juli 43'!C12</t>
  </si>
  <si>
    <t>='Augusti 43'!C12</t>
  </si>
  <si>
    <t/>
  </si>
  <si>
    <t>innan stog det AG5</t>
  </si>
  <si>
    <t>Augusti 18</t>
  </si>
  <si>
    <t>September 18</t>
  </si>
  <si>
    <t>Oktober 18</t>
  </si>
  <si>
    <t>November 18</t>
  </si>
  <si>
    <t>December 18</t>
  </si>
  <si>
    <t>Januari 19</t>
  </si>
  <si>
    <t>Februari 19</t>
  </si>
  <si>
    <t>Mars 19</t>
  </si>
  <si>
    <t>April 19</t>
  </si>
  <si>
    <t>Maj 19</t>
  </si>
  <si>
    <t>Juni 19</t>
  </si>
  <si>
    <t>Juli 19</t>
  </si>
  <si>
    <t>Augusti 19</t>
  </si>
  <si>
    <t>September 19</t>
  </si>
  <si>
    <t>Oktober 19</t>
  </si>
  <si>
    <t>November 19</t>
  </si>
  <si>
    <t>December 19</t>
  </si>
  <si>
    <t>Januari 20</t>
  </si>
  <si>
    <t>Februari 20</t>
  </si>
  <si>
    <t>Mars 20</t>
  </si>
  <si>
    <t>April 20</t>
  </si>
  <si>
    <t>Maj 20</t>
  </si>
  <si>
    <t>Juni 20</t>
  </si>
  <si>
    <t>Juli 20</t>
  </si>
  <si>
    <t>Augusti 20</t>
  </si>
  <si>
    <t>September 20</t>
  </si>
  <si>
    <t>Oktober 20</t>
  </si>
  <si>
    <t>November 20</t>
  </si>
  <si>
    <t>December 20</t>
  </si>
  <si>
    <t>Januari 21</t>
  </si>
  <si>
    <t>Februari 21</t>
  </si>
  <si>
    <t>Mars 21</t>
  </si>
  <si>
    <t>April 21</t>
  </si>
  <si>
    <t>Maj 21</t>
  </si>
  <si>
    <t>Juni 21</t>
  </si>
  <si>
    <t>Juli 21</t>
  </si>
  <si>
    <t>Augusti 21</t>
  </si>
  <si>
    <t>September 21</t>
  </si>
  <si>
    <t>Oktober 21</t>
  </si>
  <si>
    <t>November 21</t>
  </si>
  <si>
    <t>December 21</t>
  </si>
  <si>
    <t>Januari 22</t>
  </si>
  <si>
    <t>Februari 22</t>
  </si>
  <si>
    <t>Mars 22</t>
  </si>
  <si>
    <t>April 22</t>
  </si>
  <si>
    <t>Maj 22</t>
  </si>
  <si>
    <t>Juni 22</t>
  </si>
  <si>
    <t>Juli 22</t>
  </si>
  <si>
    <t>Augusti 22</t>
  </si>
  <si>
    <t>September 22</t>
  </si>
  <si>
    <t>Oktober 22</t>
  </si>
  <si>
    <t>November 22</t>
  </si>
  <si>
    <t>December 22</t>
  </si>
  <si>
    <t>Januari 23</t>
  </si>
  <si>
    <t>Februari 23</t>
  </si>
  <si>
    <t>Mars 23</t>
  </si>
  <si>
    <t>April 23</t>
  </si>
  <si>
    <t>Maj 23</t>
  </si>
  <si>
    <t>Juni 23</t>
  </si>
  <si>
    <t>Juli 23</t>
  </si>
  <si>
    <t>Augusti 23</t>
  </si>
  <si>
    <t>September 23</t>
  </si>
  <si>
    <t>Oktober 23</t>
  </si>
  <si>
    <t>November 23</t>
  </si>
  <si>
    <t>December 23</t>
  </si>
  <si>
    <t>Januari 24</t>
  </si>
  <si>
    <t>Februari 24</t>
  </si>
  <si>
    <t>Mars 24</t>
  </si>
  <si>
    <t>April 24</t>
  </si>
  <si>
    <t>Maj 24</t>
  </si>
  <si>
    <t>Juni 24</t>
  </si>
  <si>
    <t>Juli 24</t>
  </si>
  <si>
    <t>Augusti 24</t>
  </si>
  <si>
    <t>September 24</t>
  </si>
  <si>
    <t>Oktober 24</t>
  </si>
  <si>
    <t>November 24</t>
  </si>
  <si>
    <t>December 24</t>
  </si>
  <si>
    <t>Januari 25</t>
  </si>
  <si>
    <t>Februari 25</t>
  </si>
  <si>
    <t>Mars 25</t>
  </si>
  <si>
    <t>April 25</t>
  </si>
  <si>
    <t>Maj 25</t>
  </si>
  <si>
    <t>Juni 25</t>
  </si>
  <si>
    <t>Juli 25</t>
  </si>
  <si>
    <t>Augusti 25</t>
  </si>
  <si>
    <t>September 25</t>
  </si>
  <si>
    <t>Oktober 25</t>
  </si>
  <si>
    <t>November 25</t>
  </si>
  <si>
    <t>December 25</t>
  </si>
  <si>
    <t>Januari 26</t>
  </si>
  <si>
    <t>Februari 26</t>
  </si>
  <si>
    <t>Mars 26</t>
  </si>
  <si>
    <t>April 26</t>
  </si>
  <si>
    <t>Maj 26</t>
  </si>
  <si>
    <t>Juni 26</t>
  </si>
  <si>
    <t>Juli 26</t>
  </si>
  <si>
    <t>Augusti 26</t>
  </si>
  <si>
    <t>September 26</t>
  </si>
  <si>
    <t>Oktober 26</t>
  </si>
  <si>
    <t>November 26</t>
  </si>
  <si>
    <t>December 26</t>
  </si>
  <si>
    <t>Januari 27</t>
  </si>
  <si>
    <t>Februari 27</t>
  </si>
  <si>
    <t>Mars 27</t>
  </si>
  <si>
    <t>April 27</t>
  </si>
  <si>
    <t>Maj 27</t>
  </si>
  <si>
    <t>Juni 27</t>
  </si>
  <si>
    <t>Juli 27</t>
  </si>
  <si>
    <t>Augusti 27</t>
  </si>
  <si>
    <t>September 27</t>
  </si>
  <si>
    <t>Oktober 27</t>
  </si>
  <si>
    <t>November 27</t>
  </si>
  <si>
    <t>December 27</t>
  </si>
  <si>
    <t>Januari 28</t>
  </si>
  <si>
    <t>Februari 28</t>
  </si>
  <si>
    <t>Mars 28</t>
  </si>
  <si>
    <t>April 28</t>
  </si>
  <si>
    <t>Maj 28</t>
  </si>
  <si>
    <t>Juni 28</t>
  </si>
  <si>
    <t>Juli 28</t>
  </si>
  <si>
    <t>Augusti 28</t>
  </si>
  <si>
    <t>September 28</t>
  </si>
  <si>
    <t>Oktober 28</t>
  </si>
  <si>
    <t>November 28</t>
  </si>
  <si>
    <t>December 28</t>
  </si>
  <si>
    <t>Januari 29</t>
  </si>
  <si>
    <t>Februari 29</t>
  </si>
  <si>
    <t>Mars 29</t>
  </si>
  <si>
    <t>April 29</t>
  </si>
  <si>
    <t>Maj 29</t>
  </si>
  <si>
    <t>Juni 29</t>
  </si>
  <si>
    <t>Juli 29</t>
  </si>
  <si>
    <t>Augusti 29</t>
  </si>
  <si>
    <t>September 29</t>
  </si>
  <si>
    <t>Oktober 29</t>
  </si>
  <si>
    <t>November 29</t>
  </si>
  <si>
    <t>December 29</t>
  </si>
  <si>
    <t>Januari 30</t>
  </si>
  <si>
    <t>Februari 30</t>
  </si>
  <si>
    <t>Mars 30</t>
  </si>
  <si>
    <t>April 30</t>
  </si>
  <si>
    <t>Maj 30</t>
  </si>
  <si>
    <t>Juni 30</t>
  </si>
  <si>
    <t>Juli 30</t>
  </si>
  <si>
    <t>Augusti 30</t>
  </si>
  <si>
    <t>September 30</t>
  </si>
  <si>
    <t>Oktober 30</t>
  </si>
  <si>
    <t>November 30</t>
  </si>
  <si>
    <t>December 30</t>
  </si>
  <si>
    <t>Januari 31</t>
  </si>
  <si>
    <t>Februari 31</t>
  </si>
  <si>
    <t>Mars 31</t>
  </si>
  <si>
    <t>April 31</t>
  </si>
  <si>
    <t>Maj 31</t>
  </si>
  <si>
    <t>Juni 31</t>
  </si>
  <si>
    <t>Juli 31</t>
  </si>
  <si>
    <t>Augusti 31</t>
  </si>
  <si>
    <t>September 31</t>
  </si>
  <si>
    <t>Oktober 31</t>
  </si>
  <si>
    <t>November 31</t>
  </si>
  <si>
    <t>December 31</t>
  </si>
  <si>
    <t>Januari 32</t>
  </si>
  <si>
    <t>Februari 32</t>
  </si>
  <si>
    <t>Mars 32</t>
  </si>
  <si>
    <t>April 32</t>
  </si>
  <si>
    <t>Maj 32</t>
  </si>
  <si>
    <t>Juni 32</t>
  </si>
  <si>
    <t>Juli 32</t>
  </si>
  <si>
    <t>Augusti 32</t>
  </si>
  <si>
    <t>September 32</t>
  </si>
  <si>
    <t>Oktober 32</t>
  </si>
  <si>
    <t>November 32</t>
  </si>
  <si>
    <t>December 32</t>
  </si>
  <si>
    <t>Januari 33</t>
  </si>
  <si>
    <t>Februari 33</t>
  </si>
  <si>
    <t>Mars 33</t>
  </si>
  <si>
    <t>April 33</t>
  </si>
  <si>
    <t>Maj 33</t>
  </si>
  <si>
    <t>Juni 33</t>
  </si>
  <si>
    <t>Juli 33</t>
  </si>
  <si>
    <t>Augusti 33</t>
  </si>
  <si>
    <t>September 33</t>
  </si>
  <si>
    <t>Oktober 33</t>
  </si>
  <si>
    <t>November 33</t>
  </si>
  <si>
    <t>December 33</t>
  </si>
  <si>
    <t>Januari 34</t>
  </si>
  <si>
    <t>Februari 34</t>
  </si>
  <si>
    <t>Mars 34</t>
  </si>
  <si>
    <t>April 34</t>
  </si>
  <si>
    <t>Maj 34</t>
  </si>
  <si>
    <t>Juni 34</t>
  </si>
  <si>
    <t>Juli 34</t>
  </si>
  <si>
    <t>Augusti 34</t>
  </si>
  <si>
    <t>September 34</t>
  </si>
  <si>
    <t>Oktober 34</t>
  </si>
  <si>
    <t>November 34</t>
  </si>
  <si>
    <t>December 34</t>
  </si>
  <si>
    <t>Januari 35</t>
  </si>
  <si>
    <t>Februari 35</t>
  </si>
  <si>
    <t>Mars 35</t>
  </si>
  <si>
    <t>April 35</t>
  </si>
  <si>
    <t>Maj 35</t>
  </si>
  <si>
    <t>Juni 35</t>
  </si>
  <si>
    <t>Juli 35</t>
  </si>
  <si>
    <t>Augusti 35</t>
  </si>
  <si>
    <t>September 35</t>
  </si>
  <si>
    <t>Oktober 35</t>
  </si>
  <si>
    <t>November 35</t>
  </si>
  <si>
    <t>December 35</t>
  </si>
  <si>
    <t>Januari 36</t>
  </si>
  <si>
    <t>Februari 36</t>
  </si>
  <si>
    <t>Mars 36</t>
  </si>
  <si>
    <t>April 36</t>
  </si>
  <si>
    <t>Maj 36</t>
  </si>
  <si>
    <t>Juni 36</t>
  </si>
  <si>
    <t>Juli 36</t>
  </si>
  <si>
    <t>Augusti 36</t>
  </si>
  <si>
    <t>September 36</t>
  </si>
  <si>
    <t>Oktober 36</t>
  </si>
  <si>
    <t>November 36</t>
  </si>
  <si>
    <t>December 36</t>
  </si>
  <si>
    <t>Januari 37</t>
  </si>
  <si>
    <t>Februari 37</t>
  </si>
  <si>
    <t>Mars 37</t>
  </si>
  <si>
    <t>April 37</t>
  </si>
  <si>
    <t>Maj 37</t>
  </si>
  <si>
    <t>Juni 37</t>
  </si>
  <si>
    <t>Juli 37</t>
  </si>
  <si>
    <t>Augusti 37</t>
  </si>
  <si>
    <t>September 37</t>
  </si>
  <si>
    <t>Oktober 37</t>
  </si>
  <si>
    <t>November 37</t>
  </si>
  <si>
    <t>December 37</t>
  </si>
  <si>
    <t>Januari 38</t>
  </si>
  <si>
    <t>Februari 38</t>
  </si>
  <si>
    <t>Mars 38</t>
  </si>
  <si>
    <t>April 38</t>
  </si>
  <si>
    <t>Maj 38</t>
  </si>
  <si>
    <t>Juni 38</t>
  </si>
  <si>
    <t>Juli 38</t>
  </si>
  <si>
    <t>Augusti 38</t>
  </si>
  <si>
    <t>September 38</t>
  </si>
  <si>
    <t>Oktober 38</t>
  </si>
  <si>
    <t>November 38</t>
  </si>
  <si>
    <t>December 38</t>
  </si>
  <si>
    <t>Januari 39</t>
  </si>
  <si>
    <t>Februari 39</t>
  </si>
  <si>
    <t>Mars 39</t>
  </si>
  <si>
    <t>April 39</t>
  </si>
  <si>
    <t>Maj 39</t>
  </si>
  <si>
    <t>Juni 39</t>
  </si>
  <si>
    <t>Juli 39</t>
  </si>
  <si>
    <t>Augusti 39</t>
  </si>
  <si>
    <t>September 39</t>
  </si>
  <si>
    <t>Oktober 39</t>
  </si>
  <si>
    <t>November 39</t>
  </si>
  <si>
    <t>December 39</t>
  </si>
  <si>
    <t>Januari 40</t>
  </si>
  <si>
    <t>Februari 40</t>
  </si>
  <si>
    <t>Mars 40</t>
  </si>
  <si>
    <t>April 40</t>
  </si>
  <si>
    <t>Maj 40</t>
  </si>
  <si>
    <t>Juni 40</t>
  </si>
  <si>
    <t>Juli 40</t>
  </si>
  <si>
    <t>Augusti 40</t>
  </si>
  <si>
    <t>September 40</t>
  </si>
  <si>
    <t>Oktober 40</t>
  </si>
  <si>
    <t>November 40</t>
  </si>
  <si>
    <t>December 40</t>
  </si>
  <si>
    <t>Januari 41</t>
  </si>
  <si>
    <t>Februari 41</t>
  </si>
  <si>
    <t>Mars 41</t>
  </si>
  <si>
    <t>April 41</t>
  </si>
  <si>
    <t>Maj 41</t>
  </si>
  <si>
    <t>Juni 41</t>
  </si>
  <si>
    <t>Juli 41</t>
  </si>
  <si>
    <t>Augusti 41</t>
  </si>
  <si>
    <t>September 41</t>
  </si>
  <si>
    <t>Oktober 41</t>
  </si>
  <si>
    <t>November 41</t>
  </si>
  <si>
    <t>December 41</t>
  </si>
  <si>
    <t>Januari 42</t>
  </si>
  <si>
    <t>Februari 42</t>
  </si>
  <si>
    <t>Mars 42</t>
  </si>
  <si>
    <t>April 42</t>
  </si>
  <si>
    <t>Maj 42</t>
  </si>
  <si>
    <t>Juni 42</t>
  </si>
  <si>
    <t>Juli 42</t>
  </si>
  <si>
    <t>Augusti 42</t>
  </si>
  <si>
    <t>September 42</t>
  </si>
  <si>
    <t>Oktober 42</t>
  </si>
  <si>
    <t>November 42</t>
  </si>
  <si>
    <t>December 42</t>
  </si>
  <si>
    <t>Januari 43</t>
  </si>
  <si>
    <t>Februari 43</t>
  </si>
  <si>
    <t>Mars 43</t>
  </si>
  <si>
    <t>April 43</t>
  </si>
  <si>
    <t>Maj 43</t>
  </si>
  <si>
    <t>Juni 43</t>
  </si>
  <si>
    <t>Juli 43</t>
  </si>
  <si>
    <t>Augusti 43</t>
  </si>
  <si>
    <t>September 43</t>
  </si>
  <si>
    <t>Oktober 43</t>
  </si>
  <si>
    <t>November 43</t>
  </si>
  <si>
    <t>December 43</t>
  </si>
  <si>
    <t>Januari 44</t>
  </si>
  <si>
    <t>Februari 44</t>
  </si>
  <si>
    <t>Mars 44</t>
  </si>
  <si>
    <t>April 44</t>
  </si>
  <si>
    <t>Maj 44</t>
  </si>
  <si>
    <t>Juni 44</t>
  </si>
  <si>
    <t>Juli 44</t>
  </si>
  <si>
    <t>Augusti 44</t>
  </si>
  <si>
    <t>September 44</t>
  </si>
  <si>
    <t>Oktober 44</t>
  </si>
  <si>
    <t>November 44</t>
  </si>
  <si>
    <t>December 44</t>
  </si>
  <si>
    <t>Januari 45</t>
  </si>
  <si>
    <t>Februari 45</t>
  </si>
  <si>
    <t>Mars 45</t>
  </si>
  <si>
    <t>April 45</t>
  </si>
  <si>
    <t>Maj 45</t>
  </si>
  <si>
    <t>Juni 45</t>
  </si>
  <si>
    <t>Juli 45</t>
  </si>
  <si>
    <t>Augusti 45</t>
  </si>
  <si>
    <t>September 45</t>
  </si>
  <si>
    <t>Oktober 45</t>
  </si>
  <si>
    <t xml:space="preserve"> </t>
  </si>
  <si>
    <t>makeSheetsHiddenData</t>
  </si>
  <si>
    <t>nr. På startsheet</t>
  </si>
  <si>
    <t>:)</t>
  </si>
  <si>
    <t>Hushåll</t>
  </si>
  <si>
    <t>Infoknappar</t>
  </si>
  <si>
    <t>totala sparande</t>
  </si>
  <si>
    <t>Övriga utgifter2</t>
  </si>
  <si>
    <t>september 18</t>
  </si>
  <si>
    <t>='Augusti 18'!C27</t>
  </si>
  <si>
    <t>='September 18'!C27</t>
  </si>
  <si>
    <t>='Oktober 18'!C27</t>
  </si>
  <si>
    <t>='November 18'!C27</t>
  </si>
  <si>
    <t>='December 18'!C27</t>
  </si>
  <si>
    <t>='Januari 19'!C27</t>
  </si>
  <si>
    <t>='Februari 19'!C27</t>
  </si>
  <si>
    <t>='Mars 19'!C27</t>
  </si>
  <si>
    <t>='April 19'!C27</t>
  </si>
  <si>
    <t>='Maj 19'!C27</t>
  </si>
  <si>
    <t>='Juni 19'!C27</t>
  </si>
  <si>
    <t>='Juli 19'!C27</t>
  </si>
  <si>
    <t>='Augusti 19'!C27</t>
  </si>
  <si>
    <t>='September 19'!C27</t>
  </si>
  <si>
    <t>='Oktober 19'!C27</t>
  </si>
  <si>
    <t>='November 19'!C27</t>
  </si>
  <si>
    <t>='December 19'!C27</t>
  </si>
  <si>
    <t>='Januari 20'!C27</t>
  </si>
  <si>
    <t>='Februari 20'!C27</t>
  </si>
  <si>
    <t>='Mars 20'!C27</t>
  </si>
  <si>
    <t>='April 20'!C27</t>
  </si>
  <si>
    <t>='Maj 20'!C27</t>
  </si>
  <si>
    <t>='Juni 20'!C27</t>
  </si>
  <si>
    <t>='Juli 20'!C27</t>
  </si>
  <si>
    <t>='Augusti 20'!C27</t>
  </si>
  <si>
    <t>='September 20'!C27</t>
  </si>
  <si>
    <t>='Oktober 20'!C27</t>
  </si>
  <si>
    <t>='November 20'!C27</t>
  </si>
  <si>
    <t>='December 20'!C27</t>
  </si>
  <si>
    <t>='Januari 21'!C27</t>
  </si>
  <si>
    <t>='Februari 21'!C27</t>
  </si>
  <si>
    <t>='Mars 21'!C27</t>
  </si>
  <si>
    <t>='April 21'!C27</t>
  </si>
  <si>
    <t>='Maj 21'!C27</t>
  </si>
  <si>
    <t>='Juni 21'!C27</t>
  </si>
  <si>
    <t>='Juli 21'!C27</t>
  </si>
  <si>
    <t>='Augusti 21'!C27</t>
  </si>
  <si>
    <t>='September 21'!C27</t>
  </si>
  <si>
    <t>='Oktober 21'!C27</t>
  </si>
  <si>
    <t>='November 21'!C27</t>
  </si>
  <si>
    <t>='December 21'!C27</t>
  </si>
  <si>
    <t>='Januari 22'!C27</t>
  </si>
  <si>
    <t>='Februari 22'!C27</t>
  </si>
  <si>
    <t>='Mars 22'!C27</t>
  </si>
  <si>
    <t>='April 22'!C27</t>
  </si>
  <si>
    <t>='Maj 22'!C27</t>
  </si>
  <si>
    <t>='Juni 22'!C27</t>
  </si>
  <si>
    <t>='Juli 22'!C27</t>
  </si>
  <si>
    <t>='Augusti 22'!C27</t>
  </si>
  <si>
    <t>='September 22'!C27</t>
  </si>
  <si>
    <t>='Oktober 22'!C27</t>
  </si>
  <si>
    <t>='November 22'!C27</t>
  </si>
  <si>
    <t>='December 22'!C27</t>
  </si>
  <si>
    <t>='Januari 23'!C27</t>
  </si>
  <si>
    <t>='Februari 23'!C27</t>
  </si>
  <si>
    <t>='Mars 23'!C27</t>
  </si>
  <si>
    <t>='April 23'!C27</t>
  </si>
  <si>
    <t>='Maj 23'!C27</t>
  </si>
  <si>
    <t>='Juni 23'!C27</t>
  </si>
  <si>
    <t>='Juli 23'!C27</t>
  </si>
  <si>
    <t>='Augusti 23'!C27</t>
  </si>
  <si>
    <t>='September 23'!C27</t>
  </si>
  <si>
    <t>='Oktober 23'!C27</t>
  </si>
  <si>
    <t>='November 23'!C27</t>
  </si>
  <si>
    <t>='December 23'!C27</t>
  </si>
  <si>
    <t>='Januari 24'!C27</t>
  </si>
  <si>
    <t>='Februari 24'!C27</t>
  </si>
  <si>
    <t>='Mars 24'!C27</t>
  </si>
  <si>
    <t>='April 24'!C27</t>
  </si>
  <si>
    <t>='Maj 24'!C27</t>
  </si>
  <si>
    <t>='Juni 24'!C27</t>
  </si>
  <si>
    <t>='Juli 24'!C27</t>
  </si>
  <si>
    <t>='Augusti 24'!C27</t>
  </si>
  <si>
    <t>='September 24'!C27</t>
  </si>
  <si>
    <t>='Oktober 24'!C27</t>
  </si>
  <si>
    <t>='November 24'!C27</t>
  </si>
  <si>
    <t>='December 24'!C27</t>
  </si>
  <si>
    <t>='Januari 25'!C27</t>
  </si>
  <si>
    <t>='Februari 25'!C27</t>
  </si>
  <si>
    <t>='Mars 25'!C27</t>
  </si>
  <si>
    <t>='April 25'!C27</t>
  </si>
  <si>
    <t>='Maj 25'!C27</t>
  </si>
  <si>
    <t>='Juni 25'!C27</t>
  </si>
  <si>
    <t>='Juli 25'!C27</t>
  </si>
  <si>
    <t>='Augusti 25'!C27</t>
  </si>
  <si>
    <t>='September 25'!C27</t>
  </si>
  <si>
    <t>='Oktober 25'!C27</t>
  </si>
  <si>
    <t>='November 25'!C27</t>
  </si>
  <si>
    <t>='December 25'!C27</t>
  </si>
  <si>
    <t>='Januari 26'!C27</t>
  </si>
  <si>
    <t>='Februari 26'!C27</t>
  </si>
  <si>
    <t>='Mars 26'!C27</t>
  </si>
  <si>
    <t>='April 26'!C27</t>
  </si>
  <si>
    <t>='Maj 26'!C27</t>
  </si>
  <si>
    <t>='Juni 26'!C27</t>
  </si>
  <si>
    <t>='Juli 26'!C27</t>
  </si>
  <si>
    <t>='Augusti 26'!C27</t>
  </si>
  <si>
    <t>='September 26'!C27</t>
  </si>
  <si>
    <t>='Oktober 26'!C27</t>
  </si>
  <si>
    <t>='November 26'!C27</t>
  </si>
  <si>
    <t>='December 26'!C27</t>
  </si>
  <si>
    <t>='Januari 27'!C27</t>
  </si>
  <si>
    <t>='Februari 27'!C27</t>
  </si>
  <si>
    <t>='Mars 27'!C27</t>
  </si>
  <si>
    <t>='April 27'!C27</t>
  </si>
  <si>
    <t>='Maj 27'!C27</t>
  </si>
  <si>
    <t>='Juni 27'!C27</t>
  </si>
  <si>
    <t>='Juli 27'!C27</t>
  </si>
  <si>
    <t>='Augusti 27'!C27</t>
  </si>
  <si>
    <t>='September 27'!C27</t>
  </si>
  <si>
    <t>='Oktober 27'!C27</t>
  </si>
  <si>
    <t>='November 27'!C27</t>
  </si>
  <si>
    <t>='December 27'!C27</t>
  </si>
  <si>
    <t>='Januari 28'!C27</t>
  </si>
  <si>
    <t>='Februari 28'!C27</t>
  </si>
  <si>
    <t>='Mars 28'!C27</t>
  </si>
  <si>
    <t>='April 28'!C27</t>
  </si>
  <si>
    <t>='Maj 28'!C27</t>
  </si>
  <si>
    <t>='Juni 28'!C27</t>
  </si>
  <si>
    <t>='Juli 28'!C27</t>
  </si>
  <si>
    <t>='Augusti 28'!C27</t>
  </si>
  <si>
    <t>='September 28'!C27</t>
  </si>
  <si>
    <t>='Oktober 28'!C27</t>
  </si>
  <si>
    <t>='November 28'!C27</t>
  </si>
  <si>
    <t>='December 28'!C27</t>
  </si>
  <si>
    <t>='Januari 29'!C27</t>
  </si>
  <si>
    <t>='Februari 29'!C27</t>
  </si>
  <si>
    <t>='Mars 29'!C27</t>
  </si>
  <si>
    <t>='April 29'!C27</t>
  </si>
  <si>
    <t>='Maj 29'!C27</t>
  </si>
  <si>
    <t>='Juni 29'!C27</t>
  </si>
  <si>
    <t>='Juli 29'!C27</t>
  </si>
  <si>
    <t>='Augusti 29'!C27</t>
  </si>
  <si>
    <t>='September 29'!C27</t>
  </si>
  <si>
    <t>='Oktober 29'!C27</t>
  </si>
  <si>
    <t>='November 29'!C27</t>
  </si>
  <si>
    <t>='December 29'!C27</t>
  </si>
  <si>
    <t>='Januari 30'!C27</t>
  </si>
  <si>
    <t>='Februari 30'!C27</t>
  </si>
  <si>
    <t>='Mars 30'!C27</t>
  </si>
  <si>
    <t>='April 30'!C27</t>
  </si>
  <si>
    <t>='Maj 30'!C27</t>
  </si>
  <si>
    <t>='Juni 30'!C27</t>
  </si>
  <si>
    <t>='Juli 30'!C27</t>
  </si>
  <si>
    <t>='Augusti 30'!C27</t>
  </si>
  <si>
    <t>='September 30'!C27</t>
  </si>
  <si>
    <t>='Oktober 30'!C27</t>
  </si>
  <si>
    <t>='November 30'!C27</t>
  </si>
  <si>
    <t>='December 30'!C27</t>
  </si>
  <si>
    <t>='Januari 31'!C27</t>
  </si>
  <si>
    <t>='Februari 31'!C27</t>
  </si>
  <si>
    <t>='Mars 31'!C27</t>
  </si>
  <si>
    <t>='April 31'!C27</t>
  </si>
  <si>
    <t>='Maj 31'!C27</t>
  </si>
  <si>
    <t>='Juni 31'!C27</t>
  </si>
  <si>
    <t>='Juli 31'!C27</t>
  </si>
  <si>
    <t>='Augusti 31'!C27</t>
  </si>
  <si>
    <t>='September 31'!C27</t>
  </si>
  <si>
    <t>='Oktober 31'!C27</t>
  </si>
  <si>
    <t>='November 31'!C27</t>
  </si>
  <si>
    <t>='December 31'!C27</t>
  </si>
  <si>
    <t>='Januari 32'!C27</t>
  </si>
  <si>
    <t>='Februari 32'!C27</t>
  </si>
  <si>
    <t>='Mars 32'!C27</t>
  </si>
  <si>
    <t>='April 32'!C27</t>
  </si>
  <si>
    <t>='Maj 32'!C27</t>
  </si>
  <si>
    <t>='Juni 32'!C27</t>
  </si>
  <si>
    <t>='Juli 32'!C27</t>
  </si>
  <si>
    <t>='Augusti 32'!C27</t>
  </si>
  <si>
    <t>='September 32'!C27</t>
  </si>
  <si>
    <t>='Oktober 32'!C27</t>
  </si>
  <si>
    <t>='November 32'!C27</t>
  </si>
  <si>
    <t>='December 32'!C27</t>
  </si>
  <si>
    <t>='Januari 33'!C27</t>
  </si>
  <si>
    <t>='Februari 33'!C27</t>
  </si>
  <si>
    <t>='Mars 33'!C27</t>
  </si>
  <si>
    <t>='April 33'!C27</t>
  </si>
  <si>
    <t>='Maj 33'!C27</t>
  </si>
  <si>
    <t>='Juni 33'!C27</t>
  </si>
  <si>
    <t>='Juli 33'!C27</t>
  </si>
  <si>
    <t>='Augusti 33'!C27</t>
  </si>
  <si>
    <t>='September 33'!C27</t>
  </si>
  <si>
    <t>='Oktober 33'!C27</t>
  </si>
  <si>
    <t>='November 33'!C27</t>
  </si>
  <si>
    <t>='December 33'!C27</t>
  </si>
  <si>
    <t>='Januari 34'!C27</t>
  </si>
  <si>
    <t>='Februari 34'!C27</t>
  </si>
  <si>
    <t>='Mars 34'!C27</t>
  </si>
  <si>
    <t>='April 34'!C27</t>
  </si>
  <si>
    <t>='Maj 34'!C27</t>
  </si>
  <si>
    <t>='Juni 34'!C27</t>
  </si>
  <si>
    <t>='Juli 34'!C27</t>
  </si>
  <si>
    <t>='Augusti 34'!C27</t>
  </si>
  <si>
    <t>='September 34'!C27</t>
  </si>
  <si>
    <t>='Oktober 34'!C27</t>
  </si>
  <si>
    <t>='November 34'!C27</t>
  </si>
  <si>
    <t>='December 34'!C27</t>
  </si>
  <si>
    <t>='Januari 35'!C27</t>
  </si>
  <si>
    <t>='Februari 35'!C27</t>
  </si>
  <si>
    <t>='Mars 35'!C27</t>
  </si>
  <si>
    <t>='April 35'!C27</t>
  </si>
  <si>
    <t>='Maj 35'!C27</t>
  </si>
  <si>
    <t>='Juni 35'!C27</t>
  </si>
  <si>
    <t>='Juli 35'!C27</t>
  </si>
  <si>
    <t>='Augusti 35'!C27</t>
  </si>
  <si>
    <t>='September 35'!C27</t>
  </si>
  <si>
    <t>='Oktober 35'!C27</t>
  </si>
  <si>
    <t>='November 35'!C27</t>
  </si>
  <si>
    <t>='December 35'!C27</t>
  </si>
  <si>
    <t>='Januari 36'!C27</t>
  </si>
  <si>
    <t>='Februari 36'!C27</t>
  </si>
  <si>
    <t>='Mars 36'!C27</t>
  </si>
  <si>
    <t>='April 36'!C27</t>
  </si>
  <si>
    <t>='Maj 36'!C27</t>
  </si>
  <si>
    <t>='Juni 36'!C27</t>
  </si>
  <si>
    <t>='Juli 36'!C27</t>
  </si>
  <si>
    <t>='Augusti 36'!C27</t>
  </si>
  <si>
    <t>='September 36'!C27</t>
  </si>
  <si>
    <t>='Oktober 36'!C27</t>
  </si>
  <si>
    <t>='November 36'!C27</t>
  </si>
  <si>
    <t>='December 36'!C27</t>
  </si>
  <si>
    <t>='Januari 37'!C27</t>
  </si>
  <si>
    <t>='Februari 37'!C27</t>
  </si>
  <si>
    <t>='Mars 37'!C27</t>
  </si>
  <si>
    <t>='April 37'!C27</t>
  </si>
  <si>
    <t>='Maj 37'!C27</t>
  </si>
  <si>
    <t>='Juni 37'!C27</t>
  </si>
  <si>
    <t>='Juli 37'!C27</t>
  </si>
  <si>
    <t>='Augusti 37'!C27</t>
  </si>
  <si>
    <t>='September 37'!C27</t>
  </si>
  <si>
    <t>='Oktober 37'!C27</t>
  </si>
  <si>
    <t>='November 37'!C27</t>
  </si>
  <si>
    <t>='December 37'!C27</t>
  </si>
  <si>
    <t>='Januari 38'!C27</t>
  </si>
  <si>
    <t>='Februari 38'!C27</t>
  </si>
  <si>
    <t>='Mars 38'!C27</t>
  </si>
  <si>
    <t>='April 38'!C27</t>
  </si>
  <si>
    <t>='Maj 38'!C27</t>
  </si>
  <si>
    <t>='Juni 38'!C27</t>
  </si>
  <si>
    <t>='Juli 38'!C27</t>
  </si>
  <si>
    <t>='Augusti 38'!C27</t>
  </si>
  <si>
    <t>='September 38'!C27</t>
  </si>
  <si>
    <t>='Oktober 38'!C27</t>
  </si>
  <si>
    <t>='November 38'!C27</t>
  </si>
  <si>
    <t>='December 38'!C27</t>
  </si>
  <si>
    <t>='Januari 39'!C27</t>
  </si>
  <si>
    <t>='Februari 39'!C27</t>
  </si>
  <si>
    <t>='Mars 39'!C27</t>
  </si>
  <si>
    <t>='April 39'!C27</t>
  </si>
  <si>
    <t>='Maj 39'!C27</t>
  </si>
  <si>
    <t>='Juni 39'!C27</t>
  </si>
  <si>
    <t>='Juli 39'!C27</t>
  </si>
  <si>
    <t>='Augusti 39'!C27</t>
  </si>
  <si>
    <t>='September 39'!C27</t>
  </si>
  <si>
    <t>='Oktober 39'!C27</t>
  </si>
  <si>
    <t>='November 39'!C27</t>
  </si>
  <si>
    <t>='December 39'!C27</t>
  </si>
  <si>
    <t>='Januari 40'!C27</t>
  </si>
  <si>
    <t>='Februari 40'!C27</t>
  </si>
  <si>
    <t>='Mars 40'!C27</t>
  </si>
  <si>
    <t>='April 40'!C27</t>
  </si>
  <si>
    <t>='Maj 40'!C27</t>
  </si>
  <si>
    <t>='Juni 40'!C27</t>
  </si>
  <si>
    <t>='Juli 40'!C27</t>
  </si>
  <si>
    <t>='Augusti 40'!C27</t>
  </si>
  <si>
    <t>='September 40'!C27</t>
  </si>
  <si>
    <t>='Oktober 40'!C27</t>
  </si>
  <si>
    <t>='November 40'!C27</t>
  </si>
  <si>
    <t>='December 40'!C27</t>
  </si>
  <si>
    <t>='Januari 41'!C27</t>
  </si>
  <si>
    <t>='Februari 41'!C27</t>
  </si>
  <si>
    <t>='Mars 41'!C27</t>
  </si>
  <si>
    <t>='April 41'!C27</t>
  </si>
  <si>
    <t>='Maj 41'!C27</t>
  </si>
  <si>
    <t>='Juni 41'!C27</t>
  </si>
  <si>
    <t>='Juli 41'!C27</t>
  </si>
  <si>
    <t>='Augusti 41'!C27</t>
  </si>
  <si>
    <t>='September 41'!C27</t>
  </si>
  <si>
    <t>='Oktober 41'!C27</t>
  </si>
  <si>
    <t>='November 41'!C27</t>
  </si>
  <si>
    <t>='December 41'!C27</t>
  </si>
  <si>
    <t>='Januari 42'!C27</t>
  </si>
  <si>
    <t>='Februari 42'!C27</t>
  </si>
  <si>
    <t>='Mars 42'!C27</t>
  </si>
  <si>
    <t>='April 42'!C27</t>
  </si>
  <si>
    <t>='Maj 42'!C27</t>
  </si>
  <si>
    <t>='Juni 42'!C27</t>
  </si>
  <si>
    <t>='Juli 42'!C27</t>
  </si>
  <si>
    <t>='Augusti 42'!C27</t>
  </si>
  <si>
    <t>='September 42'!C27</t>
  </si>
  <si>
    <t>='Oktober 42'!C27</t>
  </si>
  <si>
    <t>='November 42'!C27</t>
  </si>
  <si>
    <t>='December 42'!C27</t>
  </si>
  <si>
    <t>='Januari 43'!C27</t>
  </si>
  <si>
    <t>='Februari 43'!C27</t>
  </si>
  <si>
    <t>='Mars 43'!C27</t>
  </si>
  <si>
    <t>='April 43'!C27</t>
  </si>
  <si>
    <t>='Maj 43'!C27</t>
  </si>
  <si>
    <t>='Juni 43'!C27</t>
  </si>
  <si>
    <t>='Juli 43'!C27</t>
  </si>
  <si>
    <t>='Augusti 43'!C27</t>
  </si>
  <si>
    <t>Hyra1</t>
  </si>
  <si>
    <t>Hyra2</t>
  </si>
  <si>
    <t>HyraM</t>
  </si>
  <si>
    <t>='Augusti 18'!C13</t>
  </si>
  <si>
    <t>='Augusti 18'!C14</t>
  </si>
  <si>
    <t>='Augusti 18'!C15</t>
  </si>
  <si>
    <t>='Augusti 18'!C16</t>
  </si>
  <si>
    <t>='Augusti 18'!C17</t>
  </si>
  <si>
    <t>='Augusti 18'!C18</t>
  </si>
  <si>
    <t>='Augusti 18'!C19</t>
  </si>
  <si>
    <t>='Augusti 18'!C20</t>
  </si>
  <si>
    <t>='Augusti 18'!C21</t>
  </si>
  <si>
    <t>='Augusti 18'!C22</t>
  </si>
  <si>
    <t>='Augusti 18'!C23</t>
  </si>
  <si>
    <t>='September 18'!C13</t>
  </si>
  <si>
    <t>='September 18'!C14</t>
  </si>
  <si>
    <t>='September 18'!C15</t>
  </si>
  <si>
    <t>='September 18'!C16</t>
  </si>
  <si>
    <t>='September 18'!C17</t>
  </si>
  <si>
    <t>='September 18'!C18</t>
  </si>
  <si>
    <t>='September 18'!C19</t>
  </si>
  <si>
    <t>='September 18'!C20</t>
  </si>
  <si>
    <t>='September 18'!C21</t>
  </si>
  <si>
    <t>='September 18'!C22</t>
  </si>
  <si>
    <t>='September 18'!C23</t>
  </si>
  <si>
    <t>='Oktober 18'!C13</t>
  </si>
  <si>
    <t>='Oktober 18'!C14</t>
  </si>
  <si>
    <t>='Oktober 18'!C15</t>
  </si>
  <si>
    <t>='Oktober 18'!C16</t>
  </si>
  <si>
    <t>='Oktober 18'!C17</t>
  </si>
  <si>
    <t>='Oktober 18'!C18</t>
  </si>
  <si>
    <t>='Oktober 18'!C19</t>
  </si>
  <si>
    <t>='Oktober 18'!C20</t>
  </si>
  <si>
    <t>='Oktober 18'!C21</t>
  </si>
  <si>
    <t>='Oktober 18'!C22</t>
  </si>
  <si>
    <t>='Oktober 18'!C23</t>
  </si>
  <si>
    <t>='November 18'!C13</t>
  </si>
  <si>
    <t>='November 18'!C14</t>
  </si>
  <si>
    <t>='November 18'!C15</t>
  </si>
  <si>
    <t>='November 18'!C16</t>
  </si>
  <si>
    <t>='November 18'!C17</t>
  </si>
  <si>
    <t>='November 18'!C18</t>
  </si>
  <si>
    <t>='November 18'!C19</t>
  </si>
  <si>
    <t>='November 18'!C20</t>
  </si>
  <si>
    <t>='November 18'!C21</t>
  </si>
  <si>
    <t>='November 18'!C22</t>
  </si>
  <si>
    <t>='November 18'!C23</t>
  </si>
  <si>
    <t>='December 18'!C13</t>
  </si>
  <si>
    <t>='December 18'!C14</t>
  </si>
  <si>
    <t>='December 18'!C15</t>
  </si>
  <si>
    <t>='December 18'!C16</t>
  </si>
  <si>
    <t>='December 18'!C17</t>
  </si>
  <si>
    <t>='December 18'!C18</t>
  </si>
  <si>
    <t>='December 18'!C19</t>
  </si>
  <si>
    <t>='December 18'!C20</t>
  </si>
  <si>
    <t>='December 18'!C21</t>
  </si>
  <si>
    <t>='December 18'!C22</t>
  </si>
  <si>
    <t>='December 18'!C23</t>
  </si>
  <si>
    <t>='Januari 19'!C13</t>
  </si>
  <si>
    <t>='Januari 19'!C14</t>
  </si>
  <si>
    <t>='Januari 19'!C15</t>
  </si>
  <si>
    <t>='Januari 19'!C16</t>
  </si>
  <si>
    <t>='Januari 19'!C17</t>
  </si>
  <si>
    <t>='Januari 19'!C18</t>
  </si>
  <si>
    <t>='Januari 19'!C19</t>
  </si>
  <si>
    <t>='Januari 19'!C20</t>
  </si>
  <si>
    <t>='Januari 19'!C21</t>
  </si>
  <si>
    <t>='Januari 19'!C22</t>
  </si>
  <si>
    <t>='Januari 19'!C23</t>
  </si>
  <si>
    <t>='Februari 19'!C13</t>
  </si>
  <si>
    <t>='Februari 19'!C14</t>
  </si>
  <si>
    <t>='Februari 19'!C15</t>
  </si>
  <si>
    <t>='Februari 19'!C16</t>
  </si>
  <si>
    <t>='Februari 19'!C17</t>
  </si>
  <si>
    <t>='Februari 19'!C18</t>
  </si>
  <si>
    <t>='Februari 19'!C19</t>
  </si>
  <si>
    <t>='Februari 19'!C20</t>
  </si>
  <si>
    <t>='Februari 19'!C21</t>
  </si>
  <si>
    <t>='Februari 19'!C22</t>
  </si>
  <si>
    <t>='Februari 19'!C23</t>
  </si>
  <si>
    <t>='Mars 19'!C13</t>
  </si>
  <si>
    <t>='Mars 19'!C14</t>
  </si>
  <si>
    <t>='Mars 19'!C15</t>
  </si>
  <si>
    <t>='Mars 19'!C16</t>
  </si>
  <si>
    <t>='Mars 19'!C17</t>
  </si>
  <si>
    <t>='Mars 19'!C18</t>
  </si>
  <si>
    <t>='Mars 19'!C19</t>
  </si>
  <si>
    <t>='Mars 19'!C20</t>
  </si>
  <si>
    <t>='Mars 19'!C21</t>
  </si>
  <si>
    <t>='Mars 19'!C22</t>
  </si>
  <si>
    <t>='Mars 19'!C23</t>
  </si>
  <si>
    <t>='April 19'!C13</t>
  </si>
  <si>
    <t>='April 19'!C14</t>
  </si>
  <si>
    <t>='April 19'!C15</t>
  </si>
  <si>
    <t>='April 19'!C16</t>
  </si>
  <si>
    <t>='April 19'!C17</t>
  </si>
  <si>
    <t>='April 19'!C18</t>
  </si>
  <si>
    <t>='April 19'!C19</t>
  </si>
  <si>
    <t>='April 19'!C20</t>
  </si>
  <si>
    <t>='April 19'!C21</t>
  </si>
  <si>
    <t>='April 19'!C22</t>
  </si>
  <si>
    <t>='April 19'!C23</t>
  </si>
  <si>
    <t>='Maj 19'!C13</t>
  </si>
  <si>
    <t>='Maj 19'!C14</t>
  </si>
  <si>
    <t>='Maj 19'!C15</t>
  </si>
  <si>
    <t>='Maj 19'!C16</t>
  </si>
  <si>
    <t>='Maj 19'!C17</t>
  </si>
  <si>
    <t>='Maj 19'!C18</t>
  </si>
  <si>
    <t>='Maj 19'!C19</t>
  </si>
  <si>
    <t>='Maj 19'!C20</t>
  </si>
  <si>
    <t>='Maj 19'!C21</t>
  </si>
  <si>
    <t>='Maj 19'!C22</t>
  </si>
  <si>
    <t>='Maj 19'!C23</t>
  </si>
  <si>
    <t>='Juni 19'!C13</t>
  </si>
  <si>
    <t>='Juni 19'!C14</t>
  </si>
  <si>
    <t>='Juni 19'!C15</t>
  </si>
  <si>
    <t>='Juni 19'!C16</t>
  </si>
  <si>
    <t>='Juni 19'!C17</t>
  </si>
  <si>
    <t>='Juni 19'!C18</t>
  </si>
  <si>
    <t>='Juni 19'!C19</t>
  </si>
  <si>
    <t>='Juni 19'!C20</t>
  </si>
  <si>
    <t>='Juni 19'!C21</t>
  </si>
  <si>
    <t>='Juni 19'!C22</t>
  </si>
  <si>
    <t>='Juni 19'!C23</t>
  </si>
  <si>
    <t>='Juli 19'!C13</t>
  </si>
  <si>
    <t>='Juli 19'!C14</t>
  </si>
  <si>
    <t>='Juli 19'!C15</t>
  </si>
  <si>
    <t>='Juli 19'!C16</t>
  </si>
  <si>
    <t>='Juli 19'!C17</t>
  </si>
  <si>
    <t>='Juli 19'!C18</t>
  </si>
  <si>
    <t>='Juli 19'!C19</t>
  </si>
  <si>
    <t>='Juli 19'!C20</t>
  </si>
  <si>
    <t>='Juli 19'!C21</t>
  </si>
  <si>
    <t>='Juli 19'!C22</t>
  </si>
  <si>
    <t>='Juli 19'!C23</t>
  </si>
  <si>
    <t>='Augusti 19'!C13</t>
  </si>
  <si>
    <t>='Augusti 19'!C14</t>
  </si>
  <si>
    <t>='Augusti 19'!C15</t>
  </si>
  <si>
    <t>='Augusti 19'!C16</t>
  </si>
  <si>
    <t>='Augusti 19'!C17</t>
  </si>
  <si>
    <t>='Augusti 19'!C18</t>
  </si>
  <si>
    <t>='Augusti 19'!C19</t>
  </si>
  <si>
    <t>='Augusti 19'!C20</t>
  </si>
  <si>
    <t>='Augusti 19'!C21</t>
  </si>
  <si>
    <t>='Augusti 19'!C22</t>
  </si>
  <si>
    <t>='Augusti 19'!C23</t>
  </si>
  <si>
    <t>='September 19'!C13</t>
  </si>
  <si>
    <t>='September 19'!C14</t>
  </si>
  <si>
    <t>='September 19'!C15</t>
  </si>
  <si>
    <t>='September 19'!C16</t>
  </si>
  <si>
    <t>='September 19'!C17</t>
  </si>
  <si>
    <t>='September 19'!C18</t>
  </si>
  <si>
    <t>='September 19'!C19</t>
  </si>
  <si>
    <t>='September 19'!C20</t>
  </si>
  <si>
    <t>='September 19'!C21</t>
  </si>
  <si>
    <t>='September 19'!C22</t>
  </si>
  <si>
    <t>='September 19'!C23</t>
  </si>
  <si>
    <t>='Oktober 19'!C13</t>
  </si>
  <si>
    <t>='Oktober 19'!C14</t>
  </si>
  <si>
    <t>='Oktober 19'!C15</t>
  </si>
  <si>
    <t>='Oktober 19'!C16</t>
  </si>
  <si>
    <t>='Oktober 19'!C17</t>
  </si>
  <si>
    <t>='Oktober 19'!C18</t>
  </si>
  <si>
    <t>='Oktober 19'!C19</t>
  </si>
  <si>
    <t>='Oktober 19'!C20</t>
  </si>
  <si>
    <t>='Oktober 19'!C21</t>
  </si>
  <si>
    <t>='Oktober 19'!C22</t>
  </si>
  <si>
    <t>='Oktober 19'!C23</t>
  </si>
  <si>
    <t>='November 19'!C13</t>
  </si>
  <si>
    <t>='November 19'!C14</t>
  </si>
  <si>
    <t>='November 19'!C15</t>
  </si>
  <si>
    <t>='November 19'!C16</t>
  </si>
  <si>
    <t>='November 19'!C17</t>
  </si>
  <si>
    <t>='November 19'!C18</t>
  </si>
  <si>
    <t>='November 19'!C19</t>
  </si>
  <si>
    <t>='November 19'!C20</t>
  </si>
  <si>
    <t>='November 19'!C21</t>
  </si>
  <si>
    <t>='November 19'!C22</t>
  </si>
  <si>
    <t>='November 19'!C23</t>
  </si>
  <si>
    <t>='December 19'!C13</t>
  </si>
  <si>
    <t>='December 19'!C14</t>
  </si>
  <si>
    <t>='December 19'!C15</t>
  </si>
  <si>
    <t>='December 19'!C16</t>
  </si>
  <si>
    <t>='December 19'!C17</t>
  </si>
  <si>
    <t>='December 19'!C18</t>
  </si>
  <si>
    <t>='December 19'!C19</t>
  </si>
  <si>
    <t>='December 19'!C20</t>
  </si>
  <si>
    <t>='December 19'!C21</t>
  </si>
  <si>
    <t>='December 19'!C22</t>
  </si>
  <si>
    <t>='December 19'!C23</t>
  </si>
  <si>
    <t>='Januari 20'!C13</t>
  </si>
  <si>
    <t>='Januari 20'!C14</t>
  </si>
  <si>
    <t>='Januari 20'!C15</t>
  </si>
  <si>
    <t>='Januari 20'!C16</t>
  </si>
  <si>
    <t>='Januari 20'!C17</t>
  </si>
  <si>
    <t>='Januari 20'!C18</t>
  </si>
  <si>
    <t>='Januari 20'!C19</t>
  </si>
  <si>
    <t>='Januari 20'!C20</t>
  </si>
  <si>
    <t>='Januari 20'!C21</t>
  </si>
  <si>
    <t>='Januari 20'!C22</t>
  </si>
  <si>
    <t>='Januari 20'!C23</t>
  </si>
  <si>
    <t>='Februari 20'!C13</t>
  </si>
  <si>
    <t>='Februari 20'!C14</t>
  </si>
  <si>
    <t>='Februari 20'!C15</t>
  </si>
  <si>
    <t>='Februari 20'!C16</t>
  </si>
  <si>
    <t>='Februari 20'!C17</t>
  </si>
  <si>
    <t>='Februari 20'!C18</t>
  </si>
  <si>
    <t>='Februari 20'!C19</t>
  </si>
  <si>
    <t>='Februari 20'!C20</t>
  </si>
  <si>
    <t>='Februari 20'!C21</t>
  </si>
  <si>
    <t>='Februari 20'!C22</t>
  </si>
  <si>
    <t>='Februari 20'!C23</t>
  </si>
  <si>
    <t>='Mars 20'!C13</t>
  </si>
  <si>
    <t>='Mars 20'!C14</t>
  </si>
  <si>
    <t>='Mars 20'!C15</t>
  </si>
  <si>
    <t>='Mars 20'!C16</t>
  </si>
  <si>
    <t>='Mars 20'!C17</t>
  </si>
  <si>
    <t>='Mars 20'!C18</t>
  </si>
  <si>
    <t>='Mars 20'!C19</t>
  </si>
  <si>
    <t>='Mars 20'!C20</t>
  </si>
  <si>
    <t>='Mars 20'!C21</t>
  </si>
  <si>
    <t>='Mars 20'!C22</t>
  </si>
  <si>
    <t>='Mars 20'!C23</t>
  </si>
  <si>
    <t>='April 20'!C13</t>
  </si>
  <si>
    <t>='April 20'!C14</t>
  </si>
  <si>
    <t>='April 20'!C15</t>
  </si>
  <si>
    <t>='April 20'!C16</t>
  </si>
  <si>
    <t>='April 20'!C17</t>
  </si>
  <si>
    <t>='April 20'!C18</t>
  </si>
  <si>
    <t>='April 20'!C19</t>
  </si>
  <si>
    <t>='April 20'!C20</t>
  </si>
  <si>
    <t>='April 20'!C21</t>
  </si>
  <si>
    <t>='April 20'!C22</t>
  </si>
  <si>
    <t>='April 20'!C23</t>
  </si>
  <si>
    <t>='Maj 20'!C13</t>
  </si>
  <si>
    <t>='Maj 20'!C14</t>
  </si>
  <si>
    <t>='Maj 20'!C15</t>
  </si>
  <si>
    <t>='Maj 20'!C16</t>
  </si>
  <si>
    <t>='Maj 20'!C17</t>
  </si>
  <si>
    <t>='Maj 20'!C18</t>
  </si>
  <si>
    <t>='Maj 20'!C19</t>
  </si>
  <si>
    <t>='Maj 20'!C20</t>
  </si>
  <si>
    <t>='Maj 20'!C21</t>
  </si>
  <si>
    <t>='Maj 20'!C22</t>
  </si>
  <si>
    <t>='Maj 20'!C23</t>
  </si>
  <si>
    <t>='Juni 20'!C13</t>
  </si>
  <si>
    <t>='Juni 20'!C14</t>
  </si>
  <si>
    <t>='Juni 20'!C15</t>
  </si>
  <si>
    <t>='Juni 20'!C16</t>
  </si>
  <si>
    <t>='Juni 20'!C17</t>
  </si>
  <si>
    <t>='Juni 20'!C18</t>
  </si>
  <si>
    <t>='Juni 20'!C19</t>
  </si>
  <si>
    <t>='Juni 20'!C20</t>
  </si>
  <si>
    <t>='Juni 20'!C21</t>
  </si>
  <si>
    <t>='Juni 20'!C22</t>
  </si>
  <si>
    <t>='Juni 20'!C23</t>
  </si>
  <si>
    <t>='Juli 20'!C13</t>
  </si>
  <si>
    <t>='Juli 20'!C14</t>
  </si>
  <si>
    <t>='Juli 20'!C15</t>
  </si>
  <si>
    <t>='Juli 20'!C16</t>
  </si>
  <si>
    <t>='Juli 20'!C17</t>
  </si>
  <si>
    <t>='Juli 20'!C18</t>
  </si>
  <si>
    <t>='Juli 20'!C19</t>
  </si>
  <si>
    <t>='Juli 20'!C20</t>
  </si>
  <si>
    <t>='Juli 20'!C21</t>
  </si>
  <si>
    <t>='Juli 20'!C22</t>
  </si>
  <si>
    <t>='Juli 20'!C23</t>
  </si>
  <si>
    <t>='Augusti 20'!C13</t>
  </si>
  <si>
    <t>='Augusti 20'!C14</t>
  </si>
  <si>
    <t>='Augusti 20'!C15</t>
  </si>
  <si>
    <t>='Augusti 20'!C16</t>
  </si>
  <si>
    <t>='Augusti 20'!C17</t>
  </si>
  <si>
    <t>='Augusti 20'!C18</t>
  </si>
  <si>
    <t>='Augusti 20'!C19</t>
  </si>
  <si>
    <t>='Augusti 20'!C20</t>
  </si>
  <si>
    <t>='Augusti 20'!C21</t>
  </si>
  <si>
    <t>='Augusti 20'!C22</t>
  </si>
  <si>
    <t>='Augusti 20'!C23</t>
  </si>
  <si>
    <t>='September 20'!C13</t>
  </si>
  <si>
    <t>='September 20'!C14</t>
  </si>
  <si>
    <t>='September 20'!C15</t>
  </si>
  <si>
    <t>='September 20'!C16</t>
  </si>
  <si>
    <t>='September 20'!C17</t>
  </si>
  <si>
    <t>='September 20'!C18</t>
  </si>
  <si>
    <t>='September 20'!C19</t>
  </si>
  <si>
    <t>='September 20'!C20</t>
  </si>
  <si>
    <t>='September 20'!C21</t>
  </si>
  <si>
    <t>='September 20'!C22</t>
  </si>
  <si>
    <t>='September 20'!C23</t>
  </si>
  <si>
    <t>='Oktober 20'!C13</t>
  </si>
  <si>
    <t>='Oktober 20'!C14</t>
  </si>
  <si>
    <t>='Oktober 20'!C15</t>
  </si>
  <si>
    <t>='Oktober 20'!C16</t>
  </si>
  <si>
    <t>='Oktober 20'!C17</t>
  </si>
  <si>
    <t>='Oktober 20'!C18</t>
  </si>
  <si>
    <t>='Oktober 20'!C19</t>
  </si>
  <si>
    <t>='Oktober 20'!C20</t>
  </si>
  <si>
    <t>='Oktober 20'!C21</t>
  </si>
  <si>
    <t>='Oktober 20'!C22</t>
  </si>
  <si>
    <t>='Oktober 20'!C23</t>
  </si>
  <si>
    <t>='November 20'!C13</t>
  </si>
  <si>
    <t>='November 20'!C14</t>
  </si>
  <si>
    <t>='November 20'!C15</t>
  </si>
  <si>
    <t>='November 20'!C16</t>
  </si>
  <si>
    <t>='November 20'!C17</t>
  </si>
  <si>
    <t>='November 20'!C18</t>
  </si>
  <si>
    <t>='November 20'!C19</t>
  </si>
  <si>
    <t>='November 20'!C20</t>
  </si>
  <si>
    <t>='November 20'!C21</t>
  </si>
  <si>
    <t>='November 20'!C22</t>
  </si>
  <si>
    <t>='November 20'!C23</t>
  </si>
  <si>
    <t>='December 20'!C13</t>
  </si>
  <si>
    <t>='December 20'!C14</t>
  </si>
  <si>
    <t>='December 20'!C15</t>
  </si>
  <si>
    <t>='December 20'!C16</t>
  </si>
  <si>
    <t>='December 20'!C17</t>
  </si>
  <si>
    <t>='December 20'!C18</t>
  </si>
  <si>
    <t>='December 20'!C19</t>
  </si>
  <si>
    <t>='December 20'!C20</t>
  </si>
  <si>
    <t>='December 20'!C21</t>
  </si>
  <si>
    <t>='December 20'!C22</t>
  </si>
  <si>
    <t>='December 20'!C23</t>
  </si>
  <si>
    <t>='Januari 21'!C13</t>
  </si>
  <si>
    <t>='Januari 21'!C14</t>
  </si>
  <si>
    <t>='Januari 21'!C15</t>
  </si>
  <si>
    <t>='Januari 21'!C16</t>
  </si>
  <si>
    <t>='Januari 21'!C17</t>
  </si>
  <si>
    <t>='Januari 21'!C18</t>
  </si>
  <si>
    <t>='Januari 21'!C19</t>
  </si>
  <si>
    <t>='Januari 21'!C20</t>
  </si>
  <si>
    <t>='Januari 21'!C21</t>
  </si>
  <si>
    <t>='Januari 21'!C22</t>
  </si>
  <si>
    <t>='Januari 21'!C23</t>
  </si>
  <si>
    <t>='Februari 21'!C13</t>
  </si>
  <si>
    <t>='Februari 21'!C14</t>
  </si>
  <si>
    <t>='Februari 21'!C15</t>
  </si>
  <si>
    <t>='Februari 21'!C16</t>
  </si>
  <si>
    <t>='Februari 21'!C17</t>
  </si>
  <si>
    <t>='Februari 21'!C18</t>
  </si>
  <si>
    <t>='Februari 21'!C19</t>
  </si>
  <si>
    <t>='Februari 21'!C20</t>
  </si>
  <si>
    <t>='Februari 21'!C21</t>
  </si>
  <si>
    <t>='Februari 21'!C22</t>
  </si>
  <si>
    <t>='Februari 21'!C23</t>
  </si>
  <si>
    <t>='Mars 21'!C13</t>
  </si>
  <si>
    <t>='Mars 21'!C14</t>
  </si>
  <si>
    <t>='Mars 21'!C15</t>
  </si>
  <si>
    <t>='Mars 21'!C16</t>
  </si>
  <si>
    <t>='Mars 21'!C17</t>
  </si>
  <si>
    <t>='Mars 21'!C18</t>
  </si>
  <si>
    <t>='Mars 21'!C19</t>
  </si>
  <si>
    <t>='Mars 21'!C20</t>
  </si>
  <si>
    <t>='Mars 21'!C21</t>
  </si>
  <si>
    <t>='Mars 21'!C22</t>
  </si>
  <si>
    <t>='Mars 21'!C23</t>
  </si>
  <si>
    <t>='April 21'!C13</t>
  </si>
  <si>
    <t>='April 21'!C14</t>
  </si>
  <si>
    <t>='April 21'!C15</t>
  </si>
  <si>
    <t>='April 21'!C16</t>
  </si>
  <si>
    <t>='April 21'!C17</t>
  </si>
  <si>
    <t>='April 21'!C18</t>
  </si>
  <si>
    <t>='April 21'!C19</t>
  </si>
  <si>
    <t>='April 21'!C20</t>
  </si>
  <si>
    <t>='April 21'!C21</t>
  </si>
  <si>
    <t>='April 21'!C22</t>
  </si>
  <si>
    <t>='April 21'!C23</t>
  </si>
  <si>
    <t>='Maj 21'!C13</t>
  </si>
  <si>
    <t>='Maj 21'!C14</t>
  </si>
  <si>
    <t>='Maj 21'!C15</t>
  </si>
  <si>
    <t>='Maj 21'!C16</t>
  </si>
  <si>
    <t>='Maj 21'!C17</t>
  </si>
  <si>
    <t>='Maj 21'!C18</t>
  </si>
  <si>
    <t>='Maj 21'!C19</t>
  </si>
  <si>
    <t>='Maj 21'!C20</t>
  </si>
  <si>
    <t>='Maj 21'!C21</t>
  </si>
  <si>
    <t>='Maj 21'!C22</t>
  </si>
  <si>
    <t>='Maj 21'!C23</t>
  </si>
  <si>
    <t>='Juni 21'!C13</t>
  </si>
  <si>
    <t>='Juni 21'!C14</t>
  </si>
  <si>
    <t>='Juni 21'!C15</t>
  </si>
  <si>
    <t>='Juni 21'!C16</t>
  </si>
  <si>
    <t>='Juni 21'!C17</t>
  </si>
  <si>
    <t>='Juni 21'!C18</t>
  </si>
  <si>
    <t>='Juni 21'!C19</t>
  </si>
  <si>
    <t>='Juni 21'!C20</t>
  </si>
  <si>
    <t>='Juni 21'!C21</t>
  </si>
  <si>
    <t>='Juni 21'!C22</t>
  </si>
  <si>
    <t>='Juni 21'!C23</t>
  </si>
  <si>
    <t>='Juli 21'!C13</t>
  </si>
  <si>
    <t>='Juli 21'!C14</t>
  </si>
  <si>
    <t>='Juli 21'!C15</t>
  </si>
  <si>
    <t>='Juli 21'!C16</t>
  </si>
  <si>
    <t>='Juli 21'!C17</t>
  </si>
  <si>
    <t>='Juli 21'!C18</t>
  </si>
  <si>
    <t>='Juli 21'!C19</t>
  </si>
  <si>
    <t>='Juli 21'!C20</t>
  </si>
  <si>
    <t>='Juli 21'!C21</t>
  </si>
  <si>
    <t>='Juli 21'!C22</t>
  </si>
  <si>
    <t>='Juli 21'!C23</t>
  </si>
  <si>
    <t>='Augusti 21'!C13</t>
  </si>
  <si>
    <t>='Augusti 21'!C14</t>
  </si>
  <si>
    <t>='Augusti 21'!C15</t>
  </si>
  <si>
    <t>='Augusti 21'!C16</t>
  </si>
  <si>
    <t>='Augusti 21'!C17</t>
  </si>
  <si>
    <t>='Augusti 21'!C18</t>
  </si>
  <si>
    <t>='Augusti 21'!C19</t>
  </si>
  <si>
    <t>='Augusti 21'!C20</t>
  </si>
  <si>
    <t>='Augusti 21'!C21</t>
  </si>
  <si>
    <t>='Augusti 21'!C22</t>
  </si>
  <si>
    <t>='Augusti 21'!C23</t>
  </si>
  <si>
    <t>='September 21'!C13</t>
  </si>
  <si>
    <t>='September 21'!C14</t>
  </si>
  <si>
    <t>='September 21'!C15</t>
  </si>
  <si>
    <t>='September 21'!C16</t>
  </si>
  <si>
    <t>='September 21'!C17</t>
  </si>
  <si>
    <t>='September 21'!C18</t>
  </si>
  <si>
    <t>='September 21'!C19</t>
  </si>
  <si>
    <t>='September 21'!C20</t>
  </si>
  <si>
    <t>='September 21'!C21</t>
  </si>
  <si>
    <t>='September 21'!C22</t>
  </si>
  <si>
    <t>='September 21'!C23</t>
  </si>
  <si>
    <t>='Oktober 21'!C13</t>
  </si>
  <si>
    <t>='Oktober 21'!C14</t>
  </si>
  <si>
    <t>='Oktober 21'!C15</t>
  </si>
  <si>
    <t>='Oktober 21'!C16</t>
  </si>
  <si>
    <t>='Oktober 21'!C17</t>
  </si>
  <si>
    <t>='Oktober 21'!C18</t>
  </si>
  <si>
    <t>='Oktober 21'!C19</t>
  </si>
  <si>
    <t>='Oktober 21'!C20</t>
  </si>
  <si>
    <t>='Oktober 21'!C21</t>
  </si>
  <si>
    <t>='Oktober 21'!C22</t>
  </si>
  <si>
    <t>='Oktober 21'!C23</t>
  </si>
  <si>
    <t>='November 21'!C13</t>
  </si>
  <si>
    <t>='November 21'!C14</t>
  </si>
  <si>
    <t>='November 21'!C15</t>
  </si>
  <si>
    <t>='November 21'!C16</t>
  </si>
  <si>
    <t>='November 21'!C17</t>
  </si>
  <si>
    <t>='November 21'!C18</t>
  </si>
  <si>
    <t>='November 21'!C19</t>
  </si>
  <si>
    <t>='November 21'!C20</t>
  </si>
  <si>
    <t>='November 21'!C21</t>
  </si>
  <si>
    <t>='November 21'!C22</t>
  </si>
  <si>
    <t>='November 21'!C23</t>
  </si>
  <si>
    <t>='December 21'!C13</t>
  </si>
  <si>
    <t>='December 21'!C14</t>
  </si>
  <si>
    <t>='December 21'!C15</t>
  </si>
  <si>
    <t>='December 21'!C16</t>
  </si>
  <si>
    <t>='December 21'!C17</t>
  </si>
  <si>
    <t>='December 21'!C18</t>
  </si>
  <si>
    <t>='December 21'!C19</t>
  </si>
  <si>
    <t>='December 21'!C20</t>
  </si>
  <si>
    <t>='December 21'!C21</t>
  </si>
  <si>
    <t>='December 21'!C22</t>
  </si>
  <si>
    <t>='December 21'!C23</t>
  </si>
  <si>
    <t>='Januari 22'!C13</t>
  </si>
  <si>
    <t>='Januari 22'!C14</t>
  </si>
  <si>
    <t>='Januari 22'!C15</t>
  </si>
  <si>
    <t>='Januari 22'!C16</t>
  </si>
  <si>
    <t>='Januari 22'!C17</t>
  </si>
  <si>
    <t>='Januari 22'!C18</t>
  </si>
  <si>
    <t>='Januari 22'!C19</t>
  </si>
  <si>
    <t>='Januari 22'!C20</t>
  </si>
  <si>
    <t>='Januari 22'!C21</t>
  </si>
  <si>
    <t>='Januari 22'!C22</t>
  </si>
  <si>
    <t>='Januari 22'!C23</t>
  </si>
  <si>
    <t>='Februari 22'!C13</t>
  </si>
  <si>
    <t>='Februari 22'!C14</t>
  </si>
  <si>
    <t>='Februari 22'!C15</t>
  </si>
  <si>
    <t>='Februari 22'!C16</t>
  </si>
  <si>
    <t>='Februari 22'!C17</t>
  </si>
  <si>
    <t>='Februari 22'!C18</t>
  </si>
  <si>
    <t>='Februari 22'!C19</t>
  </si>
  <si>
    <t>='Februari 22'!C20</t>
  </si>
  <si>
    <t>='Februari 22'!C21</t>
  </si>
  <si>
    <t>='Februari 22'!C22</t>
  </si>
  <si>
    <t>='Februari 22'!C23</t>
  </si>
  <si>
    <t>='Mars 22'!C13</t>
  </si>
  <si>
    <t>='Mars 22'!C14</t>
  </si>
  <si>
    <t>='Mars 22'!C15</t>
  </si>
  <si>
    <t>='Mars 22'!C16</t>
  </si>
  <si>
    <t>='Mars 22'!C17</t>
  </si>
  <si>
    <t>='Mars 22'!C18</t>
  </si>
  <si>
    <t>='Mars 22'!C19</t>
  </si>
  <si>
    <t>='Mars 22'!C20</t>
  </si>
  <si>
    <t>='Mars 22'!C21</t>
  </si>
  <si>
    <t>='Mars 22'!C22</t>
  </si>
  <si>
    <t>='Mars 22'!C23</t>
  </si>
  <si>
    <t>='April 22'!C13</t>
  </si>
  <si>
    <t>='April 22'!C14</t>
  </si>
  <si>
    <t>='April 22'!C15</t>
  </si>
  <si>
    <t>='April 22'!C16</t>
  </si>
  <si>
    <t>='April 22'!C17</t>
  </si>
  <si>
    <t>='April 22'!C18</t>
  </si>
  <si>
    <t>='April 22'!C19</t>
  </si>
  <si>
    <t>='April 22'!C20</t>
  </si>
  <si>
    <t>='April 22'!C21</t>
  </si>
  <si>
    <t>='April 22'!C22</t>
  </si>
  <si>
    <t>='April 22'!C23</t>
  </si>
  <si>
    <t>='Maj 22'!C13</t>
  </si>
  <si>
    <t>='Maj 22'!C14</t>
  </si>
  <si>
    <t>='Maj 22'!C15</t>
  </si>
  <si>
    <t>='Maj 22'!C16</t>
  </si>
  <si>
    <t>='Maj 22'!C17</t>
  </si>
  <si>
    <t>='Maj 22'!C18</t>
  </si>
  <si>
    <t>='Maj 22'!C19</t>
  </si>
  <si>
    <t>='Maj 22'!C20</t>
  </si>
  <si>
    <t>='Maj 22'!C21</t>
  </si>
  <si>
    <t>='Maj 22'!C22</t>
  </si>
  <si>
    <t>='Maj 22'!C23</t>
  </si>
  <si>
    <t>='Juni 22'!C13</t>
  </si>
  <si>
    <t>='Juni 22'!C14</t>
  </si>
  <si>
    <t>='Juni 22'!C15</t>
  </si>
  <si>
    <t>='Juni 22'!C16</t>
  </si>
  <si>
    <t>='Juni 22'!C17</t>
  </si>
  <si>
    <t>='Juni 22'!C18</t>
  </si>
  <si>
    <t>='Juni 22'!C19</t>
  </si>
  <si>
    <t>='Juni 22'!C20</t>
  </si>
  <si>
    <t>='Juni 22'!C21</t>
  </si>
  <si>
    <t>='Juni 22'!C22</t>
  </si>
  <si>
    <t>='Juni 22'!C23</t>
  </si>
  <si>
    <t>='Juli 22'!C13</t>
  </si>
  <si>
    <t>='Juli 22'!C14</t>
  </si>
  <si>
    <t>='Juli 22'!C15</t>
  </si>
  <si>
    <t>='Juli 22'!C16</t>
  </si>
  <si>
    <t>='Juli 22'!C17</t>
  </si>
  <si>
    <t>='Juli 22'!C18</t>
  </si>
  <si>
    <t>='Juli 22'!C19</t>
  </si>
  <si>
    <t>='Juli 22'!C20</t>
  </si>
  <si>
    <t>='Juli 22'!C21</t>
  </si>
  <si>
    <t>='Juli 22'!C22</t>
  </si>
  <si>
    <t>='Juli 22'!C23</t>
  </si>
  <si>
    <t>='Augusti 22'!C13</t>
  </si>
  <si>
    <t>='Augusti 22'!C14</t>
  </si>
  <si>
    <t>='Augusti 22'!C15</t>
  </si>
  <si>
    <t>='Augusti 22'!C16</t>
  </si>
  <si>
    <t>='Augusti 22'!C17</t>
  </si>
  <si>
    <t>='Augusti 22'!C18</t>
  </si>
  <si>
    <t>='Augusti 22'!C19</t>
  </si>
  <si>
    <t>='Augusti 22'!C20</t>
  </si>
  <si>
    <t>='Augusti 22'!C21</t>
  </si>
  <si>
    <t>='Augusti 22'!C22</t>
  </si>
  <si>
    <t>='Augusti 22'!C23</t>
  </si>
  <si>
    <t>='September 22'!C13</t>
  </si>
  <si>
    <t>='September 22'!C14</t>
  </si>
  <si>
    <t>='September 22'!C15</t>
  </si>
  <si>
    <t>='September 22'!C16</t>
  </si>
  <si>
    <t>='September 22'!C17</t>
  </si>
  <si>
    <t>='September 22'!C18</t>
  </si>
  <si>
    <t>='September 22'!C19</t>
  </si>
  <si>
    <t>='September 22'!C20</t>
  </si>
  <si>
    <t>='September 22'!C21</t>
  </si>
  <si>
    <t>='September 22'!C22</t>
  </si>
  <si>
    <t>='September 22'!C23</t>
  </si>
  <si>
    <t>='Oktober 22'!C13</t>
  </si>
  <si>
    <t>='Oktober 22'!C14</t>
  </si>
  <si>
    <t>='Oktober 22'!C15</t>
  </si>
  <si>
    <t>='Oktober 22'!C16</t>
  </si>
  <si>
    <t>='Oktober 22'!C17</t>
  </si>
  <si>
    <t>='Oktober 22'!C18</t>
  </si>
  <si>
    <t>='Oktober 22'!C19</t>
  </si>
  <si>
    <t>='Oktober 22'!C20</t>
  </si>
  <si>
    <t>='Oktober 22'!C21</t>
  </si>
  <si>
    <t>='Oktober 22'!C22</t>
  </si>
  <si>
    <t>='Oktober 22'!C23</t>
  </si>
  <si>
    <t>='November 22'!C13</t>
  </si>
  <si>
    <t>='November 22'!C14</t>
  </si>
  <si>
    <t>='November 22'!C15</t>
  </si>
  <si>
    <t>='November 22'!C16</t>
  </si>
  <si>
    <t>='November 22'!C17</t>
  </si>
  <si>
    <t>='November 22'!C18</t>
  </si>
  <si>
    <t>='November 22'!C19</t>
  </si>
  <si>
    <t>='November 22'!C20</t>
  </si>
  <si>
    <t>='November 22'!C21</t>
  </si>
  <si>
    <t>='November 22'!C22</t>
  </si>
  <si>
    <t>='November 22'!C23</t>
  </si>
  <si>
    <t>='December 22'!C13</t>
  </si>
  <si>
    <t>='December 22'!C14</t>
  </si>
  <si>
    <t>='December 22'!C15</t>
  </si>
  <si>
    <t>='December 22'!C16</t>
  </si>
  <si>
    <t>='December 22'!C17</t>
  </si>
  <si>
    <t>='December 22'!C18</t>
  </si>
  <si>
    <t>='December 22'!C19</t>
  </si>
  <si>
    <t>='December 22'!C20</t>
  </si>
  <si>
    <t>='December 22'!C21</t>
  </si>
  <si>
    <t>='December 22'!C22</t>
  </si>
  <si>
    <t>='December 22'!C23</t>
  </si>
  <si>
    <t>='Januari 23'!C13</t>
  </si>
  <si>
    <t>='Januari 23'!C14</t>
  </si>
  <si>
    <t>='Januari 23'!C15</t>
  </si>
  <si>
    <t>='Januari 23'!C16</t>
  </si>
  <si>
    <t>='Januari 23'!C17</t>
  </si>
  <si>
    <t>='Januari 23'!C18</t>
  </si>
  <si>
    <t>='Januari 23'!C19</t>
  </si>
  <si>
    <t>='Januari 23'!C20</t>
  </si>
  <si>
    <t>='Januari 23'!C21</t>
  </si>
  <si>
    <t>='Januari 23'!C22</t>
  </si>
  <si>
    <t>='Januari 23'!C23</t>
  </si>
  <si>
    <t>='Februari 23'!C13</t>
  </si>
  <si>
    <t>='Februari 23'!C14</t>
  </si>
  <si>
    <t>='Februari 23'!C15</t>
  </si>
  <si>
    <t>='Februari 23'!C16</t>
  </si>
  <si>
    <t>='Februari 23'!C17</t>
  </si>
  <si>
    <t>='Februari 23'!C18</t>
  </si>
  <si>
    <t>='Februari 23'!C19</t>
  </si>
  <si>
    <t>='Februari 23'!C20</t>
  </si>
  <si>
    <t>='Februari 23'!C21</t>
  </si>
  <si>
    <t>='Februari 23'!C22</t>
  </si>
  <si>
    <t>='Februari 23'!C23</t>
  </si>
  <si>
    <t>='Mars 23'!C13</t>
  </si>
  <si>
    <t>='Mars 23'!C14</t>
  </si>
  <si>
    <t>='Mars 23'!C15</t>
  </si>
  <si>
    <t>='Mars 23'!C16</t>
  </si>
  <si>
    <t>='Mars 23'!C17</t>
  </si>
  <si>
    <t>='Mars 23'!C18</t>
  </si>
  <si>
    <t>='Mars 23'!C19</t>
  </si>
  <si>
    <t>='Mars 23'!C20</t>
  </si>
  <si>
    <t>='Mars 23'!C21</t>
  </si>
  <si>
    <t>='Mars 23'!C22</t>
  </si>
  <si>
    <t>='Mars 23'!C23</t>
  </si>
  <si>
    <t>='April 23'!C13</t>
  </si>
  <si>
    <t>='April 23'!C14</t>
  </si>
  <si>
    <t>='April 23'!C15</t>
  </si>
  <si>
    <t>='April 23'!C16</t>
  </si>
  <si>
    <t>='April 23'!C17</t>
  </si>
  <si>
    <t>='April 23'!C18</t>
  </si>
  <si>
    <t>='April 23'!C19</t>
  </si>
  <si>
    <t>='April 23'!C20</t>
  </si>
  <si>
    <t>='April 23'!C21</t>
  </si>
  <si>
    <t>='April 23'!C22</t>
  </si>
  <si>
    <t>='April 23'!C23</t>
  </si>
  <si>
    <t>='Maj 23'!C13</t>
  </si>
  <si>
    <t>='Maj 23'!C14</t>
  </si>
  <si>
    <t>='Maj 23'!C15</t>
  </si>
  <si>
    <t>='Maj 23'!C16</t>
  </si>
  <si>
    <t>='Maj 23'!C17</t>
  </si>
  <si>
    <t>='Maj 23'!C18</t>
  </si>
  <si>
    <t>='Maj 23'!C19</t>
  </si>
  <si>
    <t>='Maj 23'!C20</t>
  </si>
  <si>
    <t>='Maj 23'!C21</t>
  </si>
  <si>
    <t>='Maj 23'!C22</t>
  </si>
  <si>
    <t>='Maj 23'!C23</t>
  </si>
  <si>
    <t>='Juni 23'!C13</t>
  </si>
  <si>
    <t>='Juni 23'!C14</t>
  </si>
  <si>
    <t>='Juni 23'!C15</t>
  </si>
  <si>
    <t>='Juni 23'!C16</t>
  </si>
  <si>
    <t>='Juni 23'!C17</t>
  </si>
  <si>
    <t>='Juni 23'!C18</t>
  </si>
  <si>
    <t>='Juni 23'!C19</t>
  </si>
  <si>
    <t>='Juni 23'!C20</t>
  </si>
  <si>
    <t>='Juni 23'!C21</t>
  </si>
  <si>
    <t>='Juni 23'!C22</t>
  </si>
  <si>
    <t>='Juni 23'!C23</t>
  </si>
  <si>
    <t>='Juli 23'!C13</t>
  </si>
  <si>
    <t>='Juli 23'!C14</t>
  </si>
  <si>
    <t>='Juli 23'!C15</t>
  </si>
  <si>
    <t>='Juli 23'!C16</t>
  </si>
  <si>
    <t>='Juli 23'!C17</t>
  </si>
  <si>
    <t>='Juli 23'!C18</t>
  </si>
  <si>
    <t>='Juli 23'!C19</t>
  </si>
  <si>
    <t>='Juli 23'!C20</t>
  </si>
  <si>
    <t>='Juli 23'!C21</t>
  </si>
  <si>
    <t>='Juli 23'!C22</t>
  </si>
  <si>
    <t>='Juli 23'!C23</t>
  </si>
  <si>
    <t>='Augusti 23'!C13</t>
  </si>
  <si>
    <t>='Augusti 23'!C14</t>
  </si>
  <si>
    <t>='Augusti 23'!C15</t>
  </si>
  <si>
    <t>='Augusti 23'!C16</t>
  </si>
  <si>
    <t>='Augusti 23'!C17</t>
  </si>
  <si>
    <t>='Augusti 23'!C18</t>
  </si>
  <si>
    <t>='Augusti 23'!C19</t>
  </si>
  <si>
    <t>='Augusti 23'!C20</t>
  </si>
  <si>
    <t>='Augusti 23'!C21</t>
  </si>
  <si>
    <t>='Augusti 23'!C22</t>
  </si>
  <si>
    <t>='Augusti 23'!C23</t>
  </si>
  <si>
    <t>='September 23'!C13</t>
  </si>
  <si>
    <t>='September 23'!C14</t>
  </si>
  <si>
    <t>='September 23'!C15</t>
  </si>
  <si>
    <t>='September 23'!C16</t>
  </si>
  <si>
    <t>='September 23'!C17</t>
  </si>
  <si>
    <t>='September 23'!C18</t>
  </si>
  <si>
    <t>='September 23'!C19</t>
  </si>
  <si>
    <t>='September 23'!C20</t>
  </si>
  <si>
    <t>='September 23'!C21</t>
  </si>
  <si>
    <t>='September 23'!C22</t>
  </si>
  <si>
    <t>='September 23'!C23</t>
  </si>
  <si>
    <t>='Oktober 23'!C13</t>
  </si>
  <si>
    <t>='Oktober 23'!C14</t>
  </si>
  <si>
    <t>='Oktober 23'!C15</t>
  </si>
  <si>
    <t>='Oktober 23'!C16</t>
  </si>
  <si>
    <t>='Oktober 23'!C17</t>
  </si>
  <si>
    <t>='Oktober 23'!C18</t>
  </si>
  <si>
    <t>='Oktober 23'!C19</t>
  </si>
  <si>
    <t>='Oktober 23'!C20</t>
  </si>
  <si>
    <t>='Oktober 23'!C21</t>
  </si>
  <si>
    <t>='Oktober 23'!C22</t>
  </si>
  <si>
    <t>='Oktober 23'!C23</t>
  </si>
  <si>
    <t>='November 23'!C13</t>
  </si>
  <si>
    <t>='November 23'!C14</t>
  </si>
  <si>
    <t>='November 23'!C15</t>
  </si>
  <si>
    <t>='November 23'!C16</t>
  </si>
  <si>
    <t>='November 23'!C17</t>
  </si>
  <si>
    <t>='November 23'!C18</t>
  </si>
  <si>
    <t>='November 23'!C19</t>
  </si>
  <si>
    <t>='November 23'!C20</t>
  </si>
  <si>
    <t>='November 23'!C21</t>
  </si>
  <si>
    <t>='November 23'!C22</t>
  </si>
  <si>
    <t>='November 23'!C23</t>
  </si>
  <si>
    <t>='December 23'!C13</t>
  </si>
  <si>
    <t>='December 23'!C14</t>
  </si>
  <si>
    <t>='December 23'!C15</t>
  </si>
  <si>
    <t>='December 23'!C16</t>
  </si>
  <si>
    <t>='December 23'!C17</t>
  </si>
  <si>
    <t>='December 23'!C18</t>
  </si>
  <si>
    <t>='December 23'!C19</t>
  </si>
  <si>
    <t>='December 23'!C20</t>
  </si>
  <si>
    <t>='December 23'!C21</t>
  </si>
  <si>
    <t>='December 23'!C22</t>
  </si>
  <si>
    <t>='December 23'!C23</t>
  </si>
  <si>
    <t>='Januari 24'!C13</t>
  </si>
  <si>
    <t>='Januari 24'!C14</t>
  </si>
  <si>
    <t>='Januari 24'!C15</t>
  </si>
  <si>
    <t>='Januari 24'!C16</t>
  </si>
  <si>
    <t>='Januari 24'!C17</t>
  </si>
  <si>
    <t>='Januari 24'!C18</t>
  </si>
  <si>
    <t>='Januari 24'!C19</t>
  </si>
  <si>
    <t>='Januari 24'!C20</t>
  </si>
  <si>
    <t>='Januari 24'!C21</t>
  </si>
  <si>
    <t>='Januari 24'!C22</t>
  </si>
  <si>
    <t>='Januari 24'!C23</t>
  </si>
  <si>
    <t>='Februari 24'!C13</t>
  </si>
  <si>
    <t>='Februari 24'!C14</t>
  </si>
  <si>
    <t>='Februari 24'!C15</t>
  </si>
  <si>
    <t>='Februari 24'!C16</t>
  </si>
  <si>
    <t>='Februari 24'!C17</t>
  </si>
  <si>
    <t>='Februari 24'!C18</t>
  </si>
  <si>
    <t>='Februari 24'!C19</t>
  </si>
  <si>
    <t>='Februari 24'!C20</t>
  </si>
  <si>
    <t>='Februari 24'!C21</t>
  </si>
  <si>
    <t>='Februari 24'!C22</t>
  </si>
  <si>
    <t>='Februari 24'!C23</t>
  </si>
  <si>
    <t>='Mars 24'!C13</t>
  </si>
  <si>
    <t>='Mars 24'!C14</t>
  </si>
  <si>
    <t>='Mars 24'!C15</t>
  </si>
  <si>
    <t>='Mars 24'!C16</t>
  </si>
  <si>
    <t>='Mars 24'!C17</t>
  </si>
  <si>
    <t>='Mars 24'!C18</t>
  </si>
  <si>
    <t>='Mars 24'!C19</t>
  </si>
  <si>
    <t>='Mars 24'!C20</t>
  </si>
  <si>
    <t>='Mars 24'!C21</t>
  </si>
  <si>
    <t>='Mars 24'!C22</t>
  </si>
  <si>
    <t>='Mars 24'!C23</t>
  </si>
  <si>
    <t>='April 24'!C13</t>
  </si>
  <si>
    <t>='April 24'!C14</t>
  </si>
  <si>
    <t>='April 24'!C15</t>
  </si>
  <si>
    <t>='April 24'!C16</t>
  </si>
  <si>
    <t>='April 24'!C17</t>
  </si>
  <si>
    <t>='April 24'!C18</t>
  </si>
  <si>
    <t>='April 24'!C19</t>
  </si>
  <si>
    <t>='April 24'!C20</t>
  </si>
  <si>
    <t>='April 24'!C21</t>
  </si>
  <si>
    <t>='April 24'!C22</t>
  </si>
  <si>
    <t>='April 24'!C23</t>
  </si>
  <si>
    <t>='Maj 24'!C13</t>
  </si>
  <si>
    <t>='Maj 24'!C14</t>
  </si>
  <si>
    <t>='Maj 24'!C15</t>
  </si>
  <si>
    <t>='Maj 24'!C16</t>
  </si>
  <si>
    <t>='Maj 24'!C17</t>
  </si>
  <si>
    <t>='Maj 24'!C18</t>
  </si>
  <si>
    <t>='Maj 24'!C19</t>
  </si>
  <si>
    <t>='Maj 24'!C20</t>
  </si>
  <si>
    <t>='Maj 24'!C21</t>
  </si>
  <si>
    <t>='Maj 24'!C22</t>
  </si>
  <si>
    <t>='Maj 24'!C23</t>
  </si>
  <si>
    <t>='Juni 24'!C13</t>
  </si>
  <si>
    <t>='Juni 24'!C14</t>
  </si>
  <si>
    <t>='Juni 24'!C15</t>
  </si>
  <si>
    <t>='Juni 24'!C16</t>
  </si>
  <si>
    <t>='Juni 24'!C17</t>
  </si>
  <si>
    <t>='Juni 24'!C18</t>
  </si>
  <si>
    <t>='Juni 24'!C19</t>
  </si>
  <si>
    <t>='Juni 24'!C20</t>
  </si>
  <si>
    <t>='Juni 24'!C21</t>
  </si>
  <si>
    <t>='Juni 24'!C22</t>
  </si>
  <si>
    <t>='Juni 24'!C23</t>
  </si>
  <si>
    <t>='Juli 24'!C13</t>
  </si>
  <si>
    <t>='Juli 24'!C14</t>
  </si>
  <si>
    <t>='Juli 24'!C15</t>
  </si>
  <si>
    <t>='Juli 24'!C16</t>
  </si>
  <si>
    <t>='Juli 24'!C17</t>
  </si>
  <si>
    <t>='Juli 24'!C18</t>
  </si>
  <si>
    <t>='Juli 24'!C19</t>
  </si>
  <si>
    <t>='Juli 24'!C20</t>
  </si>
  <si>
    <t>='Juli 24'!C21</t>
  </si>
  <si>
    <t>='Juli 24'!C22</t>
  </si>
  <si>
    <t>='Juli 24'!C23</t>
  </si>
  <si>
    <t>='Augusti 24'!C13</t>
  </si>
  <si>
    <t>='Augusti 24'!C14</t>
  </si>
  <si>
    <t>='Augusti 24'!C15</t>
  </si>
  <si>
    <t>='Augusti 24'!C16</t>
  </si>
  <si>
    <t>='Augusti 24'!C17</t>
  </si>
  <si>
    <t>='Augusti 24'!C18</t>
  </si>
  <si>
    <t>='Augusti 24'!C19</t>
  </si>
  <si>
    <t>='Augusti 24'!C20</t>
  </si>
  <si>
    <t>='Augusti 24'!C21</t>
  </si>
  <si>
    <t>='Augusti 24'!C22</t>
  </si>
  <si>
    <t>='Augusti 24'!C23</t>
  </si>
  <si>
    <t>='September 24'!C13</t>
  </si>
  <si>
    <t>='September 24'!C14</t>
  </si>
  <si>
    <t>='September 24'!C15</t>
  </si>
  <si>
    <t>='September 24'!C16</t>
  </si>
  <si>
    <t>='September 24'!C17</t>
  </si>
  <si>
    <t>='September 24'!C18</t>
  </si>
  <si>
    <t>='September 24'!C19</t>
  </si>
  <si>
    <t>='September 24'!C20</t>
  </si>
  <si>
    <t>='September 24'!C21</t>
  </si>
  <si>
    <t>='September 24'!C22</t>
  </si>
  <si>
    <t>='September 24'!C23</t>
  </si>
  <si>
    <t>='Oktober 24'!C13</t>
  </si>
  <si>
    <t>='Oktober 24'!C14</t>
  </si>
  <si>
    <t>='Oktober 24'!C15</t>
  </si>
  <si>
    <t>='Oktober 24'!C16</t>
  </si>
  <si>
    <t>='Oktober 24'!C17</t>
  </si>
  <si>
    <t>='Oktober 24'!C18</t>
  </si>
  <si>
    <t>='Oktober 24'!C19</t>
  </si>
  <si>
    <t>='Oktober 24'!C20</t>
  </si>
  <si>
    <t>='Oktober 24'!C21</t>
  </si>
  <si>
    <t>='Oktober 24'!C22</t>
  </si>
  <si>
    <t>='Oktober 24'!C23</t>
  </si>
  <si>
    <t>='November 24'!C13</t>
  </si>
  <si>
    <t>='November 24'!C14</t>
  </si>
  <si>
    <t>='November 24'!C15</t>
  </si>
  <si>
    <t>='November 24'!C16</t>
  </si>
  <si>
    <t>='November 24'!C17</t>
  </si>
  <si>
    <t>='November 24'!C18</t>
  </si>
  <si>
    <t>='November 24'!C19</t>
  </si>
  <si>
    <t>='November 24'!C20</t>
  </si>
  <si>
    <t>='November 24'!C21</t>
  </si>
  <si>
    <t>='November 24'!C22</t>
  </si>
  <si>
    <t>='November 24'!C23</t>
  </si>
  <si>
    <t>='December 24'!C13</t>
  </si>
  <si>
    <t>='December 24'!C14</t>
  </si>
  <si>
    <t>='December 24'!C15</t>
  </si>
  <si>
    <t>='December 24'!C16</t>
  </si>
  <si>
    <t>='December 24'!C17</t>
  </si>
  <si>
    <t>='December 24'!C18</t>
  </si>
  <si>
    <t>='December 24'!C19</t>
  </si>
  <si>
    <t>='December 24'!C20</t>
  </si>
  <si>
    <t>='December 24'!C21</t>
  </si>
  <si>
    <t>='December 24'!C22</t>
  </si>
  <si>
    <t>='December 24'!C23</t>
  </si>
  <si>
    <t>='Januari 25'!C13</t>
  </si>
  <si>
    <t>='Januari 25'!C14</t>
  </si>
  <si>
    <t>='Januari 25'!C15</t>
  </si>
  <si>
    <t>='Januari 25'!C16</t>
  </si>
  <si>
    <t>='Januari 25'!C17</t>
  </si>
  <si>
    <t>='Januari 25'!C18</t>
  </si>
  <si>
    <t>='Januari 25'!C19</t>
  </si>
  <si>
    <t>='Januari 25'!C20</t>
  </si>
  <si>
    <t>='Januari 25'!C21</t>
  </si>
  <si>
    <t>='Januari 25'!C22</t>
  </si>
  <si>
    <t>='Januari 25'!C23</t>
  </si>
  <si>
    <t>='Februari 25'!C13</t>
  </si>
  <si>
    <t>='Februari 25'!C14</t>
  </si>
  <si>
    <t>='Februari 25'!C15</t>
  </si>
  <si>
    <t>='Februari 25'!C16</t>
  </si>
  <si>
    <t>='Februari 25'!C17</t>
  </si>
  <si>
    <t>='Februari 25'!C18</t>
  </si>
  <si>
    <t>='Februari 25'!C19</t>
  </si>
  <si>
    <t>='Februari 25'!C20</t>
  </si>
  <si>
    <t>='Februari 25'!C21</t>
  </si>
  <si>
    <t>='Februari 25'!C22</t>
  </si>
  <si>
    <t>='Februari 25'!C23</t>
  </si>
  <si>
    <t>='Mars 25'!C13</t>
  </si>
  <si>
    <t>='Mars 25'!C14</t>
  </si>
  <si>
    <t>='Mars 25'!C15</t>
  </si>
  <si>
    <t>='Mars 25'!C16</t>
  </si>
  <si>
    <t>='Mars 25'!C17</t>
  </si>
  <si>
    <t>='Mars 25'!C18</t>
  </si>
  <si>
    <t>='Mars 25'!C19</t>
  </si>
  <si>
    <t>='Mars 25'!C20</t>
  </si>
  <si>
    <t>='Mars 25'!C21</t>
  </si>
  <si>
    <t>='Mars 25'!C22</t>
  </si>
  <si>
    <t>='Mars 25'!C23</t>
  </si>
  <si>
    <t>='April 25'!C13</t>
  </si>
  <si>
    <t>='April 25'!C14</t>
  </si>
  <si>
    <t>='April 25'!C15</t>
  </si>
  <si>
    <t>='April 25'!C16</t>
  </si>
  <si>
    <t>='April 25'!C17</t>
  </si>
  <si>
    <t>='April 25'!C18</t>
  </si>
  <si>
    <t>='April 25'!C19</t>
  </si>
  <si>
    <t>='April 25'!C20</t>
  </si>
  <si>
    <t>='April 25'!C21</t>
  </si>
  <si>
    <t>='April 25'!C22</t>
  </si>
  <si>
    <t>='April 25'!C23</t>
  </si>
  <si>
    <t>='Maj 25'!C13</t>
  </si>
  <si>
    <t>='Maj 25'!C14</t>
  </si>
  <si>
    <t>='Maj 25'!C15</t>
  </si>
  <si>
    <t>='Maj 25'!C16</t>
  </si>
  <si>
    <t>='Maj 25'!C17</t>
  </si>
  <si>
    <t>='Maj 25'!C18</t>
  </si>
  <si>
    <t>='Maj 25'!C19</t>
  </si>
  <si>
    <t>='Maj 25'!C20</t>
  </si>
  <si>
    <t>='Maj 25'!C21</t>
  </si>
  <si>
    <t>='Maj 25'!C22</t>
  </si>
  <si>
    <t>='Maj 25'!C23</t>
  </si>
  <si>
    <t>='Juni 25'!C13</t>
  </si>
  <si>
    <t>='Juni 25'!C14</t>
  </si>
  <si>
    <t>='Juni 25'!C15</t>
  </si>
  <si>
    <t>='Juni 25'!C16</t>
  </si>
  <si>
    <t>='Juni 25'!C17</t>
  </si>
  <si>
    <t>='Juni 25'!C18</t>
  </si>
  <si>
    <t>='Juni 25'!C19</t>
  </si>
  <si>
    <t>='Juni 25'!C20</t>
  </si>
  <si>
    <t>='Juni 25'!C21</t>
  </si>
  <si>
    <t>='Juni 25'!C22</t>
  </si>
  <si>
    <t>='Juni 25'!C23</t>
  </si>
  <si>
    <t>='Juli 25'!C13</t>
  </si>
  <si>
    <t>='Juli 25'!C14</t>
  </si>
  <si>
    <t>='Juli 25'!C15</t>
  </si>
  <si>
    <t>='Juli 25'!C16</t>
  </si>
  <si>
    <t>='Juli 25'!C17</t>
  </si>
  <si>
    <t>='Juli 25'!C18</t>
  </si>
  <si>
    <t>='Juli 25'!C19</t>
  </si>
  <si>
    <t>='Juli 25'!C20</t>
  </si>
  <si>
    <t>='Juli 25'!C21</t>
  </si>
  <si>
    <t>='Juli 25'!C22</t>
  </si>
  <si>
    <t>='Juli 25'!C23</t>
  </si>
  <si>
    <t>='Augusti 25'!C13</t>
  </si>
  <si>
    <t>='Augusti 25'!C14</t>
  </si>
  <si>
    <t>='Augusti 25'!C15</t>
  </si>
  <si>
    <t>='Augusti 25'!C16</t>
  </si>
  <si>
    <t>='Augusti 25'!C17</t>
  </si>
  <si>
    <t>='Augusti 25'!C18</t>
  </si>
  <si>
    <t>='Augusti 25'!C19</t>
  </si>
  <si>
    <t>='Augusti 25'!C20</t>
  </si>
  <si>
    <t>='Augusti 25'!C21</t>
  </si>
  <si>
    <t>='Augusti 25'!C22</t>
  </si>
  <si>
    <t>='Augusti 25'!C23</t>
  </si>
  <si>
    <t>='September 25'!C13</t>
  </si>
  <si>
    <t>='September 25'!C14</t>
  </si>
  <si>
    <t>='September 25'!C15</t>
  </si>
  <si>
    <t>='September 25'!C16</t>
  </si>
  <si>
    <t>='September 25'!C17</t>
  </si>
  <si>
    <t>='September 25'!C18</t>
  </si>
  <si>
    <t>='September 25'!C19</t>
  </si>
  <si>
    <t>='September 25'!C20</t>
  </si>
  <si>
    <t>='September 25'!C21</t>
  </si>
  <si>
    <t>='September 25'!C22</t>
  </si>
  <si>
    <t>='September 25'!C23</t>
  </si>
  <si>
    <t>='Oktober 25'!C13</t>
  </si>
  <si>
    <t>='Oktober 25'!C14</t>
  </si>
  <si>
    <t>='Oktober 25'!C15</t>
  </si>
  <si>
    <t>='Oktober 25'!C16</t>
  </si>
  <si>
    <t>='Oktober 25'!C17</t>
  </si>
  <si>
    <t>='Oktober 25'!C18</t>
  </si>
  <si>
    <t>='Oktober 25'!C19</t>
  </si>
  <si>
    <t>='Oktober 25'!C20</t>
  </si>
  <si>
    <t>='Oktober 25'!C21</t>
  </si>
  <si>
    <t>='Oktober 25'!C22</t>
  </si>
  <si>
    <t>='Oktober 25'!C23</t>
  </si>
  <si>
    <t>='November 25'!C13</t>
  </si>
  <si>
    <t>='November 25'!C14</t>
  </si>
  <si>
    <t>='November 25'!C15</t>
  </si>
  <si>
    <t>='November 25'!C16</t>
  </si>
  <si>
    <t>='November 25'!C17</t>
  </si>
  <si>
    <t>='November 25'!C18</t>
  </si>
  <si>
    <t>='November 25'!C19</t>
  </si>
  <si>
    <t>='November 25'!C20</t>
  </si>
  <si>
    <t>='November 25'!C21</t>
  </si>
  <si>
    <t>='November 25'!C22</t>
  </si>
  <si>
    <t>='November 25'!C23</t>
  </si>
  <si>
    <t>='December 25'!C13</t>
  </si>
  <si>
    <t>='December 25'!C14</t>
  </si>
  <si>
    <t>='December 25'!C15</t>
  </si>
  <si>
    <t>='December 25'!C16</t>
  </si>
  <si>
    <t>='December 25'!C17</t>
  </si>
  <si>
    <t>='December 25'!C18</t>
  </si>
  <si>
    <t>='December 25'!C19</t>
  </si>
  <si>
    <t>='December 25'!C20</t>
  </si>
  <si>
    <t>='December 25'!C21</t>
  </si>
  <si>
    <t>='December 25'!C22</t>
  </si>
  <si>
    <t>='December 25'!C23</t>
  </si>
  <si>
    <t>='Januari 26'!C13</t>
  </si>
  <si>
    <t>='Januari 26'!C14</t>
  </si>
  <si>
    <t>='Januari 26'!C15</t>
  </si>
  <si>
    <t>='Januari 26'!C16</t>
  </si>
  <si>
    <t>='Januari 26'!C17</t>
  </si>
  <si>
    <t>='Januari 26'!C18</t>
  </si>
  <si>
    <t>='Januari 26'!C19</t>
  </si>
  <si>
    <t>='Januari 26'!C20</t>
  </si>
  <si>
    <t>='Januari 26'!C21</t>
  </si>
  <si>
    <t>='Januari 26'!C22</t>
  </si>
  <si>
    <t>='Januari 26'!C23</t>
  </si>
  <si>
    <t>='Februari 26'!C13</t>
  </si>
  <si>
    <t>='Februari 26'!C14</t>
  </si>
  <si>
    <t>='Februari 26'!C15</t>
  </si>
  <si>
    <t>='Februari 26'!C16</t>
  </si>
  <si>
    <t>='Februari 26'!C17</t>
  </si>
  <si>
    <t>='Februari 26'!C18</t>
  </si>
  <si>
    <t>='Februari 26'!C19</t>
  </si>
  <si>
    <t>='Februari 26'!C20</t>
  </si>
  <si>
    <t>='Februari 26'!C21</t>
  </si>
  <si>
    <t>='Februari 26'!C22</t>
  </si>
  <si>
    <t>='Februari 26'!C23</t>
  </si>
  <si>
    <t>='Mars 26'!C13</t>
  </si>
  <si>
    <t>='Mars 26'!C14</t>
  </si>
  <si>
    <t>='Mars 26'!C15</t>
  </si>
  <si>
    <t>='Mars 26'!C16</t>
  </si>
  <si>
    <t>='Mars 26'!C17</t>
  </si>
  <si>
    <t>='Mars 26'!C18</t>
  </si>
  <si>
    <t>='Mars 26'!C19</t>
  </si>
  <si>
    <t>='Mars 26'!C20</t>
  </si>
  <si>
    <t>='Mars 26'!C21</t>
  </si>
  <si>
    <t>='Mars 26'!C22</t>
  </si>
  <si>
    <t>='Mars 26'!C23</t>
  </si>
  <si>
    <t>='April 26'!C13</t>
  </si>
  <si>
    <t>='April 26'!C14</t>
  </si>
  <si>
    <t>='April 26'!C15</t>
  </si>
  <si>
    <t>='April 26'!C16</t>
  </si>
  <si>
    <t>='April 26'!C17</t>
  </si>
  <si>
    <t>='April 26'!C18</t>
  </si>
  <si>
    <t>='April 26'!C19</t>
  </si>
  <si>
    <t>='April 26'!C20</t>
  </si>
  <si>
    <t>='April 26'!C21</t>
  </si>
  <si>
    <t>='April 26'!C22</t>
  </si>
  <si>
    <t>='April 26'!C23</t>
  </si>
  <si>
    <t>='Maj 26'!C13</t>
  </si>
  <si>
    <t>='Maj 26'!C14</t>
  </si>
  <si>
    <t>='Maj 26'!C15</t>
  </si>
  <si>
    <t>='Maj 26'!C16</t>
  </si>
  <si>
    <t>='Maj 26'!C17</t>
  </si>
  <si>
    <t>='Maj 26'!C18</t>
  </si>
  <si>
    <t>='Maj 26'!C19</t>
  </si>
  <si>
    <t>='Maj 26'!C20</t>
  </si>
  <si>
    <t>='Maj 26'!C21</t>
  </si>
  <si>
    <t>='Maj 26'!C22</t>
  </si>
  <si>
    <t>='Maj 26'!C23</t>
  </si>
  <si>
    <t>='Juni 26'!C13</t>
  </si>
  <si>
    <t>='Juni 26'!C14</t>
  </si>
  <si>
    <t>='Juni 26'!C15</t>
  </si>
  <si>
    <t>='Juni 26'!C16</t>
  </si>
  <si>
    <t>='Juni 26'!C17</t>
  </si>
  <si>
    <t>='Juni 26'!C18</t>
  </si>
  <si>
    <t>='Juni 26'!C19</t>
  </si>
  <si>
    <t>='Juni 26'!C20</t>
  </si>
  <si>
    <t>='Juni 26'!C21</t>
  </si>
  <si>
    <t>='Juni 26'!C22</t>
  </si>
  <si>
    <t>='Juni 26'!C23</t>
  </si>
  <si>
    <t>='Juli 26'!C13</t>
  </si>
  <si>
    <t>='Juli 26'!C14</t>
  </si>
  <si>
    <t>='Juli 26'!C15</t>
  </si>
  <si>
    <t>='Juli 26'!C16</t>
  </si>
  <si>
    <t>='Juli 26'!C17</t>
  </si>
  <si>
    <t>='Juli 26'!C18</t>
  </si>
  <si>
    <t>='Juli 26'!C19</t>
  </si>
  <si>
    <t>='Juli 26'!C20</t>
  </si>
  <si>
    <t>='Juli 26'!C21</t>
  </si>
  <si>
    <t>='Juli 26'!C22</t>
  </si>
  <si>
    <t>='Juli 26'!C23</t>
  </si>
  <si>
    <t>='Augusti 26'!C13</t>
  </si>
  <si>
    <t>='Augusti 26'!C14</t>
  </si>
  <si>
    <t>='Augusti 26'!C15</t>
  </si>
  <si>
    <t>='Augusti 26'!C16</t>
  </si>
  <si>
    <t>='Augusti 26'!C17</t>
  </si>
  <si>
    <t>='Augusti 26'!C18</t>
  </si>
  <si>
    <t>='Augusti 26'!C19</t>
  </si>
  <si>
    <t>='Augusti 26'!C20</t>
  </si>
  <si>
    <t>='Augusti 26'!C21</t>
  </si>
  <si>
    <t>='Augusti 26'!C22</t>
  </si>
  <si>
    <t>='Augusti 26'!C23</t>
  </si>
  <si>
    <t>='September 26'!C13</t>
  </si>
  <si>
    <t>='September 26'!C14</t>
  </si>
  <si>
    <t>='September 26'!C15</t>
  </si>
  <si>
    <t>='September 26'!C16</t>
  </si>
  <si>
    <t>='September 26'!C17</t>
  </si>
  <si>
    <t>='September 26'!C18</t>
  </si>
  <si>
    <t>='September 26'!C19</t>
  </si>
  <si>
    <t>='September 26'!C20</t>
  </si>
  <si>
    <t>='September 26'!C21</t>
  </si>
  <si>
    <t>='September 26'!C22</t>
  </si>
  <si>
    <t>='September 26'!C23</t>
  </si>
  <si>
    <t>='Oktober 26'!C13</t>
  </si>
  <si>
    <t>='Oktober 26'!C14</t>
  </si>
  <si>
    <t>='Oktober 26'!C15</t>
  </si>
  <si>
    <t>='Oktober 26'!C16</t>
  </si>
  <si>
    <t>='Oktober 26'!C17</t>
  </si>
  <si>
    <t>='Oktober 26'!C18</t>
  </si>
  <si>
    <t>='Oktober 26'!C19</t>
  </si>
  <si>
    <t>='Oktober 26'!C20</t>
  </si>
  <si>
    <t>='Oktober 26'!C21</t>
  </si>
  <si>
    <t>='Oktober 26'!C22</t>
  </si>
  <si>
    <t>='Oktober 26'!C23</t>
  </si>
  <si>
    <t>='November 26'!C13</t>
  </si>
  <si>
    <t>='November 26'!C14</t>
  </si>
  <si>
    <t>='November 26'!C15</t>
  </si>
  <si>
    <t>='November 26'!C16</t>
  </si>
  <si>
    <t>='November 26'!C17</t>
  </si>
  <si>
    <t>='November 26'!C18</t>
  </si>
  <si>
    <t>='November 26'!C19</t>
  </si>
  <si>
    <t>='November 26'!C20</t>
  </si>
  <si>
    <t>='November 26'!C21</t>
  </si>
  <si>
    <t>='November 26'!C22</t>
  </si>
  <si>
    <t>='November 26'!C23</t>
  </si>
  <si>
    <t>='December 26'!C13</t>
  </si>
  <si>
    <t>='December 26'!C14</t>
  </si>
  <si>
    <t>='December 26'!C15</t>
  </si>
  <si>
    <t>='December 26'!C16</t>
  </si>
  <si>
    <t>='December 26'!C17</t>
  </si>
  <si>
    <t>='December 26'!C18</t>
  </si>
  <si>
    <t>='December 26'!C19</t>
  </si>
  <si>
    <t>='December 26'!C20</t>
  </si>
  <si>
    <t>='December 26'!C21</t>
  </si>
  <si>
    <t>='December 26'!C22</t>
  </si>
  <si>
    <t>='December 26'!C23</t>
  </si>
  <si>
    <t>='Januari 27'!C13</t>
  </si>
  <si>
    <t>='Januari 27'!C14</t>
  </si>
  <si>
    <t>='Januari 27'!C15</t>
  </si>
  <si>
    <t>='Januari 27'!C16</t>
  </si>
  <si>
    <t>='Januari 27'!C17</t>
  </si>
  <si>
    <t>='Januari 27'!C18</t>
  </si>
  <si>
    <t>='Januari 27'!C19</t>
  </si>
  <si>
    <t>='Januari 27'!C20</t>
  </si>
  <si>
    <t>='Januari 27'!C21</t>
  </si>
  <si>
    <t>='Januari 27'!C22</t>
  </si>
  <si>
    <t>='Januari 27'!C23</t>
  </si>
  <si>
    <t>='Februari 27'!C13</t>
  </si>
  <si>
    <t>='Februari 27'!C14</t>
  </si>
  <si>
    <t>='Februari 27'!C15</t>
  </si>
  <si>
    <t>='Februari 27'!C16</t>
  </si>
  <si>
    <t>='Februari 27'!C17</t>
  </si>
  <si>
    <t>='Februari 27'!C18</t>
  </si>
  <si>
    <t>='Februari 27'!C19</t>
  </si>
  <si>
    <t>='Februari 27'!C20</t>
  </si>
  <si>
    <t>='Februari 27'!C21</t>
  </si>
  <si>
    <t>='Februari 27'!C22</t>
  </si>
  <si>
    <t>='Februari 27'!C23</t>
  </si>
  <si>
    <t>='Mars 27'!C13</t>
  </si>
  <si>
    <t>='Mars 27'!C14</t>
  </si>
  <si>
    <t>='Mars 27'!C15</t>
  </si>
  <si>
    <t>='Mars 27'!C16</t>
  </si>
  <si>
    <t>='Mars 27'!C17</t>
  </si>
  <si>
    <t>='Mars 27'!C18</t>
  </si>
  <si>
    <t>='Mars 27'!C19</t>
  </si>
  <si>
    <t>='Mars 27'!C20</t>
  </si>
  <si>
    <t>='Mars 27'!C21</t>
  </si>
  <si>
    <t>='Mars 27'!C22</t>
  </si>
  <si>
    <t>='Mars 27'!C23</t>
  </si>
  <si>
    <t>='April 27'!C13</t>
  </si>
  <si>
    <t>='April 27'!C14</t>
  </si>
  <si>
    <t>='April 27'!C15</t>
  </si>
  <si>
    <t>='April 27'!C16</t>
  </si>
  <si>
    <t>='April 27'!C17</t>
  </si>
  <si>
    <t>='April 27'!C18</t>
  </si>
  <si>
    <t>='April 27'!C19</t>
  </si>
  <si>
    <t>='April 27'!C20</t>
  </si>
  <si>
    <t>='April 27'!C21</t>
  </si>
  <si>
    <t>='April 27'!C22</t>
  </si>
  <si>
    <t>='April 27'!C23</t>
  </si>
  <si>
    <t>='Maj 27'!C13</t>
  </si>
  <si>
    <t>='Maj 27'!C14</t>
  </si>
  <si>
    <t>='Maj 27'!C15</t>
  </si>
  <si>
    <t>='Maj 27'!C16</t>
  </si>
  <si>
    <t>='Maj 27'!C17</t>
  </si>
  <si>
    <t>='Maj 27'!C18</t>
  </si>
  <si>
    <t>='Maj 27'!C19</t>
  </si>
  <si>
    <t>='Maj 27'!C20</t>
  </si>
  <si>
    <t>='Maj 27'!C21</t>
  </si>
  <si>
    <t>='Maj 27'!C22</t>
  </si>
  <si>
    <t>='Maj 27'!C23</t>
  </si>
  <si>
    <t>='Juni 27'!C13</t>
  </si>
  <si>
    <t>='Juni 27'!C14</t>
  </si>
  <si>
    <t>='Juni 27'!C15</t>
  </si>
  <si>
    <t>='Juni 27'!C16</t>
  </si>
  <si>
    <t>='Juni 27'!C17</t>
  </si>
  <si>
    <t>='Juni 27'!C18</t>
  </si>
  <si>
    <t>='Juni 27'!C19</t>
  </si>
  <si>
    <t>='Juni 27'!C20</t>
  </si>
  <si>
    <t>='Juni 27'!C21</t>
  </si>
  <si>
    <t>='Juni 27'!C22</t>
  </si>
  <si>
    <t>='Juni 27'!C23</t>
  </si>
  <si>
    <t>='Juli 27'!C13</t>
  </si>
  <si>
    <t>='Juli 27'!C14</t>
  </si>
  <si>
    <t>='Juli 27'!C15</t>
  </si>
  <si>
    <t>='Juli 27'!C16</t>
  </si>
  <si>
    <t>='Juli 27'!C17</t>
  </si>
  <si>
    <t>='Juli 27'!C18</t>
  </si>
  <si>
    <t>='Juli 27'!C19</t>
  </si>
  <si>
    <t>='Juli 27'!C20</t>
  </si>
  <si>
    <t>='Juli 27'!C21</t>
  </si>
  <si>
    <t>='Juli 27'!C22</t>
  </si>
  <si>
    <t>='Juli 27'!C23</t>
  </si>
  <si>
    <t>='Augusti 27'!C13</t>
  </si>
  <si>
    <t>='Augusti 27'!C14</t>
  </si>
  <si>
    <t>='Augusti 27'!C15</t>
  </si>
  <si>
    <t>='Augusti 27'!C16</t>
  </si>
  <si>
    <t>='Augusti 27'!C17</t>
  </si>
  <si>
    <t>='Augusti 27'!C18</t>
  </si>
  <si>
    <t>='Augusti 27'!C19</t>
  </si>
  <si>
    <t>='Augusti 27'!C20</t>
  </si>
  <si>
    <t>='Augusti 27'!C21</t>
  </si>
  <si>
    <t>='Augusti 27'!C22</t>
  </si>
  <si>
    <t>='Augusti 27'!C23</t>
  </si>
  <si>
    <t>='September 27'!C13</t>
  </si>
  <si>
    <t>='September 27'!C14</t>
  </si>
  <si>
    <t>='September 27'!C15</t>
  </si>
  <si>
    <t>='September 27'!C16</t>
  </si>
  <si>
    <t>='September 27'!C17</t>
  </si>
  <si>
    <t>='September 27'!C18</t>
  </si>
  <si>
    <t>='September 27'!C19</t>
  </si>
  <si>
    <t>='September 27'!C20</t>
  </si>
  <si>
    <t>='September 27'!C21</t>
  </si>
  <si>
    <t>='September 27'!C22</t>
  </si>
  <si>
    <t>='September 27'!C23</t>
  </si>
  <si>
    <t>='Oktober 27'!C13</t>
  </si>
  <si>
    <t>='Oktober 27'!C14</t>
  </si>
  <si>
    <t>='Oktober 27'!C15</t>
  </si>
  <si>
    <t>='Oktober 27'!C16</t>
  </si>
  <si>
    <t>='Oktober 27'!C17</t>
  </si>
  <si>
    <t>='Oktober 27'!C18</t>
  </si>
  <si>
    <t>='Oktober 27'!C19</t>
  </si>
  <si>
    <t>='Oktober 27'!C20</t>
  </si>
  <si>
    <t>='Oktober 27'!C21</t>
  </si>
  <si>
    <t>='Oktober 27'!C22</t>
  </si>
  <si>
    <t>='Oktober 27'!C23</t>
  </si>
  <si>
    <t>='November 27'!C13</t>
  </si>
  <si>
    <t>='November 27'!C14</t>
  </si>
  <si>
    <t>='November 27'!C15</t>
  </si>
  <si>
    <t>='November 27'!C16</t>
  </si>
  <si>
    <t>='November 27'!C17</t>
  </si>
  <si>
    <t>='November 27'!C18</t>
  </si>
  <si>
    <t>='November 27'!C19</t>
  </si>
  <si>
    <t>='November 27'!C20</t>
  </si>
  <si>
    <t>='November 27'!C21</t>
  </si>
  <si>
    <t>='November 27'!C22</t>
  </si>
  <si>
    <t>='November 27'!C23</t>
  </si>
  <si>
    <t>='December 27'!C13</t>
  </si>
  <si>
    <t>='December 27'!C14</t>
  </si>
  <si>
    <t>='December 27'!C15</t>
  </si>
  <si>
    <t>='December 27'!C16</t>
  </si>
  <si>
    <t>='December 27'!C17</t>
  </si>
  <si>
    <t>='December 27'!C18</t>
  </si>
  <si>
    <t>='December 27'!C19</t>
  </si>
  <si>
    <t>='December 27'!C20</t>
  </si>
  <si>
    <t>='December 27'!C21</t>
  </si>
  <si>
    <t>='December 27'!C22</t>
  </si>
  <si>
    <t>='December 27'!C23</t>
  </si>
  <si>
    <t>='Januari 28'!C13</t>
  </si>
  <si>
    <t>='Januari 28'!C14</t>
  </si>
  <si>
    <t>='Januari 28'!C15</t>
  </si>
  <si>
    <t>='Januari 28'!C16</t>
  </si>
  <si>
    <t>='Januari 28'!C17</t>
  </si>
  <si>
    <t>='Januari 28'!C18</t>
  </si>
  <si>
    <t>='Januari 28'!C19</t>
  </si>
  <si>
    <t>='Januari 28'!C20</t>
  </si>
  <si>
    <t>='Januari 28'!C21</t>
  </si>
  <si>
    <t>='Januari 28'!C22</t>
  </si>
  <si>
    <t>='Januari 28'!C23</t>
  </si>
  <si>
    <t>='Februari 28'!C13</t>
  </si>
  <si>
    <t>='Februari 28'!C14</t>
  </si>
  <si>
    <t>='Februari 28'!C15</t>
  </si>
  <si>
    <t>='Februari 28'!C16</t>
  </si>
  <si>
    <t>='Februari 28'!C17</t>
  </si>
  <si>
    <t>='Februari 28'!C18</t>
  </si>
  <si>
    <t>='Februari 28'!C19</t>
  </si>
  <si>
    <t>='Februari 28'!C20</t>
  </si>
  <si>
    <t>='Februari 28'!C21</t>
  </si>
  <si>
    <t>='Februari 28'!C22</t>
  </si>
  <si>
    <t>='Februari 28'!C23</t>
  </si>
  <si>
    <t>='Mars 28'!C13</t>
  </si>
  <si>
    <t>='Mars 28'!C14</t>
  </si>
  <si>
    <t>='Mars 28'!C15</t>
  </si>
  <si>
    <t>='Mars 28'!C16</t>
  </si>
  <si>
    <t>='Mars 28'!C17</t>
  </si>
  <si>
    <t>='Mars 28'!C18</t>
  </si>
  <si>
    <t>='Mars 28'!C19</t>
  </si>
  <si>
    <t>='Mars 28'!C20</t>
  </si>
  <si>
    <t>='Mars 28'!C21</t>
  </si>
  <si>
    <t>='Mars 28'!C22</t>
  </si>
  <si>
    <t>='Mars 28'!C23</t>
  </si>
  <si>
    <t>='April 28'!C13</t>
  </si>
  <si>
    <t>='April 28'!C14</t>
  </si>
  <si>
    <t>='April 28'!C15</t>
  </si>
  <si>
    <t>='April 28'!C16</t>
  </si>
  <si>
    <t>='April 28'!C17</t>
  </si>
  <si>
    <t>='April 28'!C18</t>
  </si>
  <si>
    <t>='April 28'!C19</t>
  </si>
  <si>
    <t>='April 28'!C20</t>
  </si>
  <si>
    <t>='April 28'!C21</t>
  </si>
  <si>
    <t>='April 28'!C22</t>
  </si>
  <si>
    <t>='April 28'!C23</t>
  </si>
  <si>
    <t>='Maj 28'!C13</t>
  </si>
  <si>
    <t>='Maj 28'!C14</t>
  </si>
  <si>
    <t>='Maj 28'!C15</t>
  </si>
  <si>
    <t>='Maj 28'!C16</t>
  </si>
  <si>
    <t>='Maj 28'!C17</t>
  </si>
  <si>
    <t>='Maj 28'!C18</t>
  </si>
  <si>
    <t>='Maj 28'!C19</t>
  </si>
  <si>
    <t>='Maj 28'!C20</t>
  </si>
  <si>
    <t>='Maj 28'!C21</t>
  </si>
  <si>
    <t>='Maj 28'!C22</t>
  </si>
  <si>
    <t>='Maj 28'!C23</t>
  </si>
  <si>
    <t>='Juni 28'!C13</t>
  </si>
  <si>
    <t>='Juni 28'!C14</t>
  </si>
  <si>
    <t>='Juni 28'!C15</t>
  </si>
  <si>
    <t>='Juni 28'!C16</t>
  </si>
  <si>
    <t>='Juni 28'!C17</t>
  </si>
  <si>
    <t>='Juni 28'!C18</t>
  </si>
  <si>
    <t>='Juni 28'!C19</t>
  </si>
  <si>
    <t>='Juni 28'!C20</t>
  </si>
  <si>
    <t>='Juni 28'!C21</t>
  </si>
  <si>
    <t>='Juni 28'!C22</t>
  </si>
  <si>
    <t>='Juni 28'!C23</t>
  </si>
  <si>
    <t>='Juli 28'!C13</t>
  </si>
  <si>
    <t>='Juli 28'!C14</t>
  </si>
  <si>
    <t>='Juli 28'!C15</t>
  </si>
  <si>
    <t>='Juli 28'!C16</t>
  </si>
  <si>
    <t>='Juli 28'!C17</t>
  </si>
  <si>
    <t>='Juli 28'!C18</t>
  </si>
  <si>
    <t>='Juli 28'!C19</t>
  </si>
  <si>
    <t>='Juli 28'!C20</t>
  </si>
  <si>
    <t>='Juli 28'!C21</t>
  </si>
  <si>
    <t>='Juli 28'!C22</t>
  </si>
  <si>
    <t>='Juli 28'!C23</t>
  </si>
  <si>
    <t>='Augusti 28'!C13</t>
  </si>
  <si>
    <t>='Augusti 28'!C14</t>
  </si>
  <si>
    <t>='Augusti 28'!C15</t>
  </si>
  <si>
    <t>='Augusti 28'!C16</t>
  </si>
  <si>
    <t>='Augusti 28'!C17</t>
  </si>
  <si>
    <t>='Augusti 28'!C18</t>
  </si>
  <si>
    <t>='Augusti 28'!C19</t>
  </si>
  <si>
    <t>='Augusti 28'!C20</t>
  </si>
  <si>
    <t>='Augusti 28'!C21</t>
  </si>
  <si>
    <t>='Augusti 28'!C22</t>
  </si>
  <si>
    <t>='Augusti 28'!C23</t>
  </si>
  <si>
    <t>='September 28'!C13</t>
  </si>
  <si>
    <t>='September 28'!C14</t>
  </si>
  <si>
    <t>='September 28'!C15</t>
  </si>
  <si>
    <t>='September 28'!C16</t>
  </si>
  <si>
    <t>='September 28'!C17</t>
  </si>
  <si>
    <t>='September 28'!C18</t>
  </si>
  <si>
    <t>='September 28'!C19</t>
  </si>
  <si>
    <t>='September 28'!C20</t>
  </si>
  <si>
    <t>='September 28'!C21</t>
  </si>
  <si>
    <t>='September 28'!C22</t>
  </si>
  <si>
    <t>='September 28'!C23</t>
  </si>
  <si>
    <t>='Oktober 28'!C13</t>
  </si>
  <si>
    <t>='Oktober 28'!C14</t>
  </si>
  <si>
    <t>='Oktober 28'!C15</t>
  </si>
  <si>
    <t>='Oktober 28'!C16</t>
  </si>
  <si>
    <t>='Oktober 28'!C17</t>
  </si>
  <si>
    <t>='Oktober 28'!C18</t>
  </si>
  <si>
    <t>='Oktober 28'!C19</t>
  </si>
  <si>
    <t>='Oktober 28'!C20</t>
  </si>
  <si>
    <t>='Oktober 28'!C21</t>
  </si>
  <si>
    <t>='Oktober 28'!C22</t>
  </si>
  <si>
    <t>='Oktober 28'!C23</t>
  </si>
  <si>
    <t>='November 28'!C13</t>
  </si>
  <si>
    <t>='November 28'!C14</t>
  </si>
  <si>
    <t>='November 28'!C15</t>
  </si>
  <si>
    <t>='November 28'!C16</t>
  </si>
  <si>
    <t>='November 28'!C17</t>
  </si>
  <si>
    <t>='November 28'!C18</t>
  </si>
  <si>
    <t>='November 28'!C19</t>
  </si>
  <si>
    <t>='November 28'!C20</t>
  </si>
  <si>
    <t>='November 28'!C21</t>
  </si>
  <si>
    <t>='November 28'!C22</t>
  </si>
  <si>
    <t>='November 28'!C23</t>
  </si>
  <si>
    <t>='December 28'!C13</t>
  </si>
  <si>
    <t>='December 28'!C14</t>
  </si>
  <si>
    <t>='December 28'!C15</t>
  </si>
  <si>
    <t>='December 28'!C16</t>
  </si>
  <si>
    <t>='December 28'!C17</t>
  </si>
  <si>
    <t>='December 28'!C18</t>
  </si>
  <si>
    <t>='December 28'!C19</t>
  </si>
  <si>
    <t>='December 28'!C20</t>
  </si>
  <si>
    <t>='December 28'!C21</t>
  </si>
  <si>
    <t>='December 28'!C22</t>
  </si>
  <si>
    <t>='December 28'!C23</t>
  </si>
  <si>
    <t>='Januari 29'!C13</t>
  </si>
  <si>
    <t>='Januari 29'!C14</t>
  </si>
  <si>
    <t>='Januari 29'!C15</t>
  </si>
  <si>
    <t>='Januari 29'!C16</t>
  </si>
  <si>
    <t>='Januari 29'!C17</t>
  </si>
  <si>
    <t>='Januari 29'!C18</t>
  </si>
  <si>
    <t>='Januari 29'!C19</t>
  </si>
  <si>
    <t>='Januari 29'!C20</t>
  </si>
  <si>
    <t>='Januari 29'!C21</t>
  </si>
  <si>
    <t>='Januari 29'!C22</t>
  </si>
  <si>
    <t>='Januari 29'!C23</t>
  </si>
  <si>
    <t>='Februari 29'!C13</t>
  </si>
  <si>
    <t>='Februari 29'!C14</t>
  </si>
  <si>
    <t>='Februari 29'!C15</t>
  </si>
  <si>
    <t>='Februari 29'!C16</t>
  </si>
  <si>
    <t>='Februari 29'!C17</t>
  </si>
  <si>
    <t>='Februari 29'!C18</t>
  </si>
  <si>
    <t>='Februari 29'!C19</t>
  </si>
  <si>
    <t>='Februari 29'!C20</t>
  </si>
  <si>
    <t>='Februari 29'!C21</t>
  </si>
  <si>
    <t>='Februari 29'!C22</t>
  </si>
  <si>
    <t>='Februari 29'!C23</t>
  </si>
  <si>
    <t>='Mars 29'!C13</t>
  </si>
  <si>
    <t>='Mars 29'!C14</t>
  </si>
  <si>
    <t>='Mars 29'!C15</t>
  </si>
  <si>
    <t>='Mars 29'!C16</t>
  </si>
  <si>
    <t>='Mars 29'!C17</t>
  </si>
  <si>
    <t>='Mars 29'!C18</t>
  </si>
  <si>
    <t>='Mars 29'!C19</t>
  </si>
  <si>
    <t>='Mars 29'!C20</t>
  </si>
  <si>
    <t>='Mars 29'!C21</t>
  </si>
  <si>
    <t>='Mars 29'!C22</t>
  </si>
  <si>
    <t>='Mars 29'!C23</t>
  </si>
  <si>
    <t>='April 29'!C13</t>
  </si>
  <si>
    <t>='April 29'!C14</t>
  </si>
  <si>
    <t>='April 29'!C15</t>
  </si>
  <si>
    <t>='April 29'!C16</t>
  </si>
  <si>
    <t>='April 29'!C17</t>
  </si>
  <si>
    <t>='April 29'!C18</t>
  </si>
  <si>
    <t>='April 29'!C19</t>
  </si>
  <si>
    <t>='April 29'!C20</t>
  </si>
  <si>
    <t>='April 29'!C21</t>
  </si>
  <si>
    <t>='April 29'!C22</t>
  </si>
  <si>
    <t>='April 29'!C23</t>
  </si>
  <si>
    <t>='Maj 29'!C13</t>
  </si>
  <si>
    <t>='Maj 29'!C14</t>
  </si>
  <si>
    <t>='Maj 29'!C15</t>
  </si>
  <si>
    <t>='Maj 29'!C16</t>
  </si>
  <si>
    <t>='Maj 29'!C17</t>
  </si>
  <si>
    <t>='Maj 29'!C18</t>
  </si>
  <si>
    <t>='Maj 29'!C19</t>
  </si>
  <si>
    <t>='Maj 29'!C20</t>
  </si>
  <si>
    <t>='Maj 29'!C21</t>
  </si>
  <si>
    <t>='Maj 29'!C22</t>
  </si>
  <si>
    <t>='Maj 29'!C23</t>
  </si>
  <si>
    <t>='Juni 29'!C13</t>
  </si>
  <si>
    <t>='Juni 29'!C14</t>
  </si>
  <si>
    <t>='Juni 29'!C15</t>
  </si>
  <si>
    <t>='Juni 29'!C16</t>
  </si>
  <si>
    <t>='Juni 29'!C17</t>
  </si>
  <si>
    <t>='Juni 29'!C18</t>
  </si>
  <si>
    <t>='Juni 29'!C19</t>
  </si>
  <si>
    <t>='Juni 29'!C20</t>
  </si>
  <si>
    <t>='Juni 29'!C21</t>
  </si>
  <si>
    <t>='Juni 29'!C22</t>
  </si>
  <si>
    <t>='Juni 29'!C23</t>
  </si>
  <si>
    <t>='Juli 29'!C13</t>
  </si>
  <si>
    <t>='Juli 29'!C14</t>
  </si>
  <si>
    <t>='Juli 29'!C15</t>
  </si>
  <si>
    <t>='Juli 29'!C16</t>
  </si>
  <si>
    <t>='Juli 29'!C17</t>
  </si>
  <si>
    <t>='Juli 29'!C18</t>
  </si>
  <si>
    <t>='Juli 29'!C19</t>
  </si>
  <si>
    <t>='Juli 29'!C20</t>
  </si>
  <si>
    <t>='Juli 29'!C21</t>
  </si>
  <si>
    <t>='Juli 29'!C22</t>
  </si>
  <si>
    <t>='Juli 29'!C23</t>
  </si>
  <si>
    <t>='Augusti 29'!C13</t>
  </si>
  <si>
    <t>='Augusti 29'!C14</t>
  </si>
  <si>
    <t>='Augusti 29'!C15</t>
  </si>
  <si>
    <t>='Augusti 29'!C16</t>
  </si>
  <si>
    <t>='Augusti 29'!C17</t>
  </si>
  <si>
    <t>='Augusti 29'!C18</t>
  </si>
  <si>
    <t>='Augusti 29'!C19</t>
  </si>
  <si>
    <t>='Augusti 29'!C20</t>
  </si>
  <si>
    <t>='Augusti 29'!C21</t>
  </si>
  <si>
    <t>='Augusti 29'!C22</t>
  </si>
  <si>
    <t>='Augusti 29'!C23</t>
  </si>
  <si>
    <t>='September 29'!C13</t>
  </si>
  <si>
    <t>='September 29'!C14</t>
  </si>
  <si>
    <t>='September 29'!C15</t>
  </si>
  <si>
    <t>='September 29'!C16</t>
  </si>
  <si>
    <t>='September 29'!C17</t>
  </si>
  <si>
    <t>='September 29'!C18</t>
  </si>
  <si>
    <t>='September 29'!C19</t>
  </si>
  <si>
    <t>='September 29'!C20</t>
  </si>
  <si>
    <t>='September 29'!C21</t>
  </si>
  <si>
    <t>='September 29'!C22</t>
  </si>
  <si>
    <t>='September 29'!C23</t>
  </si>
  <si>
    <t>='Oktober 29'!C13</t>
  </si>
  <si>
    <t>='Oktober 29'!C14</t>
  </si>
  <si>
    <t>='Oktober 29'!C15</t>
  </si>
  <si>
    <t>='Oktober 29'!C16</t>
  </si>
  <si>
    <t>='Oktober 29'!C17</t>
  </si>
  <si>
    <t>='Oktober 29'!C18</t>
  </si>
  <si>
    <t>='Oktober 29'!C19</t>
  </si>
  <si>
    <t>='Oktober 29'!C20</t>
  </si>
  <si>
    <t>='Oktober 29'!C21</t>
  </si>
  <si>
    <t>='Oktober 29'!C22</t>
  </si>
  <si>
    <t>='Oktober 29'!C23</t>
  </si>
  <si>
    <t>='November 29'!C13</t>
  </si>
  <si>
    <t>='November 29'!C14</t>
  </si>
  <si>
    <t>='November 29'!C15</t>
  </si>
  <si>
    <t>='November 29'!C16</t>
  </si>
  <si>
    <t>='November 29'!C17</t>
  </si>
  <si>
    <t>='November 29'!C18</t>
  </si>
  <si>
    <t>='November 29'!C19</t>
  </si>
  <si>
    <t>='November 29'!C20</t>
  </si>
  <si>
    <t>='November 29'!C21</t>
  </si>
  <si>
    <t>='November 29'!C22</t>
  </si>
  <si>
    <t>='November 29'!C23</t>
  </si>
  <si>
    <t>='December 29'!C13</t>
  </si>
  <si>
    <t>='December 29'!C14</t>
  </si>
  <si>
    <t>='December 29'!C15</t>
  </si>
  <si>
    <t>='December 29'!C16</t>
  </si>
  <si>
    <t>='December 29'!C17</t>
  </si>
  <si>
    <t>='December 29'!C18</t>
  </si>
  <si>
    <t>='December 29'!C19</t>
  </si>
  <si>
    <t>='December 29'!C20</t>
  </si>
  <si>
    <t>='December 29'!C21</t>
  </si>
  <si>
    <t>='December 29'!C22</t>
  </si>
  <si>
    <t>='December 29'!C23</t>
  </si>
  <si>
    <t>='Januari 30'!C13</t>
  </si>
  <si>
    <t>='Januari 30'!C14</t>
  </si>
  <si>
    <t>='Januari 30'!C15</t>
  </si>
  <si>
    <t>='Januari 30'!C16</t>
  </si>
  <si>
    <t>='Januari 30'!C17</t>
  </si>
  <si>
    <t>='Januari 30'!C18</t>
  </si>
  <si>
    <t>='Januari 30'!C19</t>
  </si>
  <si>
    <t>='Januari 30'!C20</t>
  </si>
  <si>
    <t>='Januari 30'!C21</t>
  </si>
  <si>
    <t>='Januari 30'!C22</t>
  </si>
  <si>
    <t>='Januari 30'!C23</t>
  </si>
  <si>
    <t>='Februari 30'!C13</t>
  </si>
  <si>
    <t>='Februari 30'!C14</t>
  </si>
  <si>
    <t>='Februari 30'!C15</t>
  </si>
  <si>
    <t>='Februari 30'!C16</t>
  </si>
  <si>
    <t>='Februari 30'!C17</t>
  </si>
  <si>
    <t>='Februari 30'!C18</t>
  </si>
  <si>
    <t>='Februari 30'!C19</t>
  </si>
  <si>
    <t>='Februari 30'!C20</t>
  </si>
  <si>
    <t>='Februari 30'!C21</t>
  </si>
  <si>
    <t>='Februari 30'!C22</t>
  </si>
  <si>
    <t>='Februari 30'!C23</t>
  </si>
  <si>
    <t>='Mars 30'!C13</t>
  </si>
  <si>
    <t>='Mars 30'!C14</t>
  </si>
  <si>
    <t>='Mars 30'!C15</t>
  </si>
  <si>
    <t>='Mars 30'!C16</t>
  </si>
  <si>
    <t>='Mars 30'!C17</t>
  </si>
  <si>
    <t>='Mars 30'!C18</t>
  </si>
  <si>
    <t>='Mars 30'!C19</t>
  </si>
  <si>
    <t>='Mars 30'!C20</t>
  </si>
  <si>
    <t>='Mars 30'!C21</t>
  </si>
  <si>
    <t>='Mars 30'!C22</t>
  </si>
  <si>
    <t>='Mars 30'!C23</t>
  </si>
  <si>
    <t>='April 30'!C13</t>
  </si>
  <si>
    <t>='April 30'!C14</t>
  </si>
  <si>
    <t>='April 30'!C15</t>
  </si>
  <si>
    <t>='April 30'!C16</t>
  </si>
  <si>
    <t>='April 30'!C17</t>
  </si>
  <si>
    <t>='April 30'!C18</t>
  </si>
  <si>
    <t>='April 30'!C19</t>
  </si>
  <si>
    <t>='April 30'!C20</t>
  </si>
  <si>
    <t>='April 30'!C21</t>
  </si>
  <si>
    <t>='April 30'!C22</t>
  </si>
  <si>
    <t>='April 30'!C23</t>
  </si>
  <si>
    <t>='Maj 30'!C13</t>
  </si>
  <si>
    <t>='Maj 30'!C14</t>
  </si>
  <si>
    <t>='Maj 30'!C15</t>
  </si>
  <si>
    <t>='Maj 30'!C16</t>
  </si>
  <si>
    <t>='Maj 30'!C17</t>
  </si>
  <si>
    <t>='Maj 30'!C18</t>
  </si>
  <si>
    <t>='Maj 30'!C19</t>
  </si>
  <si>
    <t>='Maj 30'!C20</t>
  </si>
  <si>
    <t>='Maj 30'!C21</t>
  </si>
  <si>
    <t>='Maj 30'!C22</t>
  </si>
  <si>
    <t>='Maj 30'!C23</t>
  </si>
  <si>
    <t>='Juni 30'!C13</t>
  </si>
  <si>
    <t>='Juni 30'!C14</t>
  </si>
  <si>
    <t>='Juni 30'!C15</t>
  </si>
  <si>
    <t>='Juni 30'!C16</t>
  </si>
  <si>
    <t>='Juni 30'!C17</t>
  </si>
  <si>
    <t>='Juni 30'!C18</t>
  </si>
  <si>
    <t>='Juni 30'!C19</t>
  </si>
  <si>
    <t>='Juni 30'!C20</t>
  </si>
  <si>
    <t>='Juni 30'!C21</t>
  </si>
  <si>
    <t>='Juni 30'!C22</t>
  </si>
  <si>
    <t>='Juni 30'!C23</t>
  </si>
  <si>
    <t>='Juli 30'!C13</t>
  </si>
  <si>
    <t>='Juli 30'!C14</t>
  </si>
  <si>
    <t>='Juli 30'!C15</t>
  </si>
  <si>
    <t>='Juli 30'!C16</t>
  </si>
  <si>
    <t>='Juli 30'!C17</t>
  </si>
  <si>
    <t>='Juli 30'!C18</t>
  </si>
  <si>
    <t>='Juli 30'!C19</t>
  </si>
  <si>
    <t>='Juli 30'!C20</t>
  </si>
  <si>
    <t>='Juli 30'!C21</t>
  </si>
  <si>
    <t>='Juli 30'!C22</t>
  </si>
  <si>
    <t>='Juli 30'!C23</t>
  </si>
  <si>
    <t>='Augusti 30'!C13</t>
  </si>
  <si>
    <t>='Augusti 30'!C14</t>
  </si>
  <si>
    <t>='Augusti 30'!C15</t>
  </si>
  <si>
    <t>='Augusti 30'!C16</t>
  </si>
  <si>
    <t>='Augusti 30'!C17</t>
  </si>
  <si>
    <t>='Augusti 30'!C18</t>
  </si>
  <si>
    <t>='Augusti 30'!C19</t>
  </si>
  <si>
    <t>='Augusti 30'!C20</t>
  </si>
  <si>
    <t>='Augusti 30'!C21</t>
  </si>
  <si>
    <t>='Augusti 30'!C22</t>
  </si>
  <si>
    <t>='Augusti 30'!C23</t>
  </si>
  <si>
    <t>='September 30'!C13</t>
  </si>
  <si>
    <t>='September 30'!C14</t>
  </si>
  <si>
    <t>='September 30'!C15</t>
  </si>
  <si>
    <t>='September 30'!C16</t>
  </si>
  <si>
    <t>='September 30'!C17</t>
  </si>
  <si>
    <t>='September 30'!C18</t>
  </si>
  <si>
    <t>='September 30'!C19</t>
  </si>
  <si>
    <t>='September 30'!C20</t>
  </si>
  <si>
    <t>='September 30'!C21</t>
  </si>
  <si>
    <t>='September 30'!C22</t>
  </si>
  <si>
    <t>='September 30'!C23</t>
  </si>
  <si>
    <t>='Oktober 30'!C13</t>
  </si>
  <si>
    <t>='Oktober 30'!C14</t>
  </si>
  <si>
    <t>='Oktober 30'!C15</t>
  </si>
  <si>
    <t>='Oktober 30'!C16</t>
  </si>
  <si>
    <t>='Oktober 30'!C17</t>
  </si>
  <si>
    <t>='Oktober 30'!C18</t>
  </si>
  <si>
    <t>='Oktober 30'!C19</t>
  </si>
  <si>
    <t>='Oktober 30'!C20</t>
  </si>
  <si>
    <t>='Oktober 30'!C21</t>
  </si>
  <si>
    <t>='Oktober 30'!C22</t>
  </si>
  <si>
    <t>='Oktober 30'!C23</t>
  </si>
  <si>
    <t>='November 30'!C13</t>
  </si>
  <si>
    <t>='November 30'!C14</t>
  </si>
  <si>
    <t>='November 30'!C15</t>
  </si>
  <si>
    <t>='November 30'!C16</t>
  </si>
  <si>
    <t>='November 30'!C17</t>
  </si>
  <si>
    <t>='November 30'!C18</t>
  </si>
  <si>
    <t>='November 30'!C19</t>
  </si>
  <si>
    <t>='November 30'!C20</t>
  </si>
  <si>
    <t>='November 30'!C21</t>
  </si>
  <si>
    <t>='November 30'!C22</t>
  </si>
  <si>
    <t>='November 30'!C23</t>
  </si>
  <si>
    <t>='December 30'!C13</t>
  </si>
  <si>
    <t>='December 30'!C14</t>
  </si>
  <si>
    <t>='December 30'!C15</t>
  </si>
  <si>
    <t>='December 30'!C16</t>
  </si>
  <si>
    <t>='December 30'!C17</t>
  </si>
  <si>
    <t>='December 30'!C18</t>
  </si>
  <si>
    <t>='December 30'!C19</t>
  </si>
  <si>
    <t>='December 30'!C20</t>
  </si>
  <si>
    <t>='December 30'!C21</t>
  </si>
  <si>
    <t>='December 30'!C22</t>
  </si>
  <si>
    <t>='December 30'!C23</t>
  </si>
  <si>
    <t>='Januari 31'!C13</t>
  </si>
  <si>
    <t>='Januari 31'!C14</t>
  </si>
  <si>
    <t>='Januari 31'!C15</t>
  </si>
  <si>
    <t>='Januari 31'!C16</t>
  </si>
  <si>
    <t>='Januari 31'!C17</t>
  </si>
  <si>
    <t>='Januari 31'!C18</t>
  </si>
  <si>
    <t>='Januari 31'!C19</t>
  </si>
  <si>
    <t>='Januari 31'!C20</t>
  </si>
  <si>
    <t>='Januari 31'!C21</t>
  </si>
  <si>
    <t>='Januari 31'!C22</t>
  </si>
  <si>
    <t>='Januari 31'!C23</t>
  </si>
  <si>
    <t>='Februari 31'!C13</t>
  </si>
  <si>
    <t>='Februari 31'!C14</t>
  </si>
  <si>
    <t>='Februari 31'!C15</t>
  </si>
  <si>
    <t>='Februari 31'!C16</t>
  </si>
  <si>
    <t>='Februari 31'!C17</t>
  </si>
  <si>
    <t>='Februari 31'!C18</t>
  </si>
  <si>
    <t>='Februari 31'!C19</t>
  </si>
  <si>
    <t>='Februari 31'!C20</t>
  </si>
  <si>
    <t>='Februari 31'!C21</t>
  </si>
  <si>
    <t>='Februari 31'!C22</t>
  </si>
  <si>
    <t>='Februari 31'!C23</t>
  </si>
  <si>
    <t>='Mars 31'!C13</t>
  </si>
  <si>
    <t>='Mars 31'!C14</t>
  </si>
  <si>
    <t>='Mars 31'!C15</t>
  </si>
  <si>
    <t>='Mars 31'!C16</t>
  </si>
  <si>
    <t>='Mars 31'!C17</t>
  </si>
  <si>
    <t>='Mars 31'!C18</t>
  </si>
  <si>
    <t>='Mars 31'!C19</t>
  </si>
  <si>
    <t>='Mars 31'!C20</t>
  </si>
  <si>
    <t>='Mars 31'!C21</t>
  </si>
  <si>
    <t>='Mars 31'!C22</t>
  </si>
  <si>
    <t>='Mars 31'!C23</t>
  </si>
  <si>
    <t>='April 31'!C13</t>
  </si>
  <si>
    <t>='April 31'!C14</t>
  </si>
  <si>
    <t>='April 31'!C15</t>
  </si>
  <si>
    <t>='April 31'!C16</t>
  </si>
  <si>
    <t>='April 31'!C17</t>
  </si>
  <si>
    <t>='April 31'!C18</t>
  </si>
  <si>
    <t>='April 31'!C19</t>
  </si>
  <si>
    <t>='April 31'!C20</t>
  </si>
  <si>
    <t>='April 31'!C21</t>
  </si>
  <si>
    <t>='April 31'!C22</t>
  </si>
  <si>
    <t>='April 31'!C23</t>
  </si>
  <si>
    <t>='Maj 31'!C13</t>
  </si>
  <si>
    <t>='Maj 31'!C14</t>
  </si>
  <si>
    <t>='Maj 31'!C15</t>
  </si>
  <si>
    <t>='Maj 31'!C16</t>
  </si>
  <si>
    <t>='Maj 31'!C17</t>
  </si>
  <si>
    <t>='Maj 31'!C18</t>
  </si>
  <si>
    <t>='Maj 31'!C19</t>
  </si>
  <si>
    <t>='Maj 31'!C20</t>
  </si>
  <si>
    <t>='Maj 31'!C21</t>
  </si>
  <si>
    <t>='Maj 31'!C22</t>
  </si>
  <si>
    <t>='Maj 31'!C23</t>
  </si>
  <si>
    <t>='Juni 31'!C13</t>
  </si>
  <si>
    <t>='Juni 31'!C14</t>
  </si>
  <si>
    <t>='Juni 31'!C15</t>
  </si>
  <si>
    <t>='Juni 31'!C16</t>
  </si>
  <si>
    <t>='Juni 31'!C17</t>
  </si>
  <si>
    <t>='Juni 31'!C18</t>
  </si>
  <si>
    <t>='Juni 31'!C19</t>
  </si>
  <si>
    <t>='Juni 31'!C20</t>
  </si>
  <si>
    <t>='Juni 31'!C21</t>
  </si>
  <si>
    <t>='Juni 31'!C22</t>
  </si>
  <si>
    <t>='Juni 31'!C23</t>
  </si>
  <si>
    <t>='Juli 31'!C13</t>
  </si>
  <si>
    <t>='Juli 31'!C14</t>
  </si>
  <si>
    <t>='Juli 31'!C15</t>
  </si>
  <si>
    <t>='Juli 31'!C16</t>
  </si>
  <si>
    <t>='Juli 31'!C17</t>
  </si>
  <si>
    <t>='Juli 31'!C18</t>
  </si>
  <si>
    <t>='Juli 31'!C19</t>
  </si>
  <si>
    <t>='Juli 31'!C20</t>
  </si>
  <si>
    <t>='Juli 31'!C21</t>
  </si>
  <si>
    <t>='Juli 31'!C22</t>
  </si>
  <si>
    <t>='Juli 31'!C23</t>
  </si>
  <si>
    <t>='Augusti 31'!C13</t>
  </si>
  <si>
    <t>='Augusti 31'!C14</t>
  </si>
  <si>
    <t>='Augusti 31'!C15</t>
  </si>
  <si>
    <t>='Augusti 31'!C16</t>
  </si>
  <si>
    <t>='Augusti 31'!C17</t>
  </si>
  <si>
    <t>='Augusti 31'!C18</t>
  </si>
  <si>
    <t>='Augusti 31'!C19</t>
  </si>
  <si>
    <t>='Augusti 31'!C20</t>
  </si>
  <si>
    <t>='Augusti 31'!C21</t>
  </si>
  <si>
    <t>='Augusti 31'!C22</t>
  </si>
  <si>
    <t>='Augusti 31'!C23</t>
  </si>
  <si>
    <t>='September 31'!C13</t>
  </si>
  <si>
    <t>='September 31'!C14</t>
  </si>
  <si>
    <t>='September 31'!C15</t>
  </si>
  <si>
    <t>='September 31'!C16</t>
  </si>
  <si>
    <t>='September 31'!C17</t>
  </si>
  <si>
    <t>='September 31'!C18</t>
  </si>
  <si>
    <t>='September 31'!C19</t>
  </si>
  <si>
    <t>='September 31'!C20</t>
  </si>
  <si>
    <t>='September 31'!C21</t>
  </si>
  <si>
    <t>='September 31'!C22</t>
  </si>
  <si>
    <t>='September 31'!C23</t>
  </si>
  <si>
    <t>='Oktober 31'!C13</t>
  </si>
  <si>
    <t>='Oktober 31'!C14</t>
  </si>
  <si>
    <t>='Oktober 31'!C15</t>
  </si>
  <si>
    <t>='Oktober 31'!C16</t>
  </si>
  <si>
    <t>='Oktober 31'!C17</t>
  </si>
  <si>
    <t>='Oktober 31'!C18</t>
  </si>
  <si>
    <t>='Oktober 31'!C19</t>
  </si>
  <si>
    <t>='Oktober 31'!C20</t>
  </si>
  <si>
    <t>='Oktober 31'!C21</t>
  </si>
  <si>
    <t>='Oktober 31'!C22</t>
  </si>
  <si>
    <t>='Oktober 31'!C23</t>
  </si>
  <si>
    <t>='November 31'!C13</t>
  </si>
  <si>
    <t>='November 31'!C14</t>
  </si>
  <si>
    <t>='November 31'!C15</t>
  </si>
  <si>
    <t>='November 31'!C16</t>
  </si>
  <si>
    <t>='November 31'!C17</t>
  </si>
  <si>
    <t>='November 31'!C18</t>
  </si>
  <si>
    <t>='November 31'!C19</t>
  </si>
  <si>
    <t>='November 31'!C20</t>
  </si>
  <si>
    <t>='November 31'!C21</t>
  </si>
  <si>
    <t>='November 31'!C22</t>
  </si>
  <si>
    <t>='November 31'!C23</t>
  </si>
  <si>
    <t>='December 31'!C13</t>
  </si>
  <si>
    <t>='December 31'!C14</t>
  </si>
  <si>
    <t>='December 31'!C15</t>
  </si>
  <si>
    <t>='December 31'!C16</t>
  </si>
  <si>
    <t>='December 31'!C17</t>
  </si>
  <si>
    <t>='December 31'!C18</t>
  </si>
  <si>
    <t>='December 31'!C19</t>
  </si>
  <si>
    <t>='December 31'!C20</t>
  </si>
  <si>
    <t>='December 31'!C21</t>
  </si>
  <si>
    <t>='December 31'!C22</t>
  </si>
  <si>
    <t>='December 31'!C23</t>
  </si>
  <si>
    <t>='Januari 32'!C13</t>
  </si>
  <si>
    <t>='Januari 32'!C14</t>
  </si>
  <si>
    <t>='Januari 32'!C15</t>
  </si>
  <si>
    <t>='Januari 32'!C16</t>
  </si>
  <si>
    <t>='Januari 32'!C17</t>
  </si>
  <si>
    <t>='Januari 32'!C18</t>
  </si>
  <si>
    <t>='Januari 32'!C19</t>
  </si>
  <si>
    <t>='Januari 32'!C20</t>
  </si>
  <si>
    <t>='Januari 32'!C21</t>
  </si>
  <si>
    <t>='Januari 32'!C22</t>
  </si>
  <si>
    <t>='Januari 32'!C23</t>
  </si>
  <si>
    <t>='Februari 32'!C13</t>
  </si>
  <si>
    <t>='Februari 32'!C14</t>
  </si>
  <si>
    <t>='Februari 32'!C15</t>
  </si>
  <si>
    <t>='Februari 32'!C16</t>
  </si>
  <si>
    <t>='Februari 32'!C17</t>
  </si>
  <si>
    <t>='Februari 32'!C18</t>
  </si>
  <si>
    <t>='Februari 32'!C19</t>
  </si>
  <si>
    <t>='Februari 32'!C20</t>
  </si>
  <si>
    <t>='Februari 32'!C21</t>
  </si>
  <si>
    <t>='Februari 32'!C22</t>
  </si>
  <si>
    <t>='Februari 32'!C23</t>
  </si>
  <si>
    <t>='Mars 32'!C13</t>
  </si>
  <si>
    <t>='Mars 32'!C14</t>
  </si>
  <si>
    <t>='Mars 32'!C15</t>
  </si>
  <si>
    <t>='Mars 32'!C16</t>
  </si>
  <si>
    <t>='Mars 32'!C17</t>
  </si>
  <si>
    <t>='Mars 32'!C18</t>
  </si>
  <si>
    <t>='Mars 32'!C19</t>
  </si>
  <si>
    <t>='Mars 32'!C20</t>
  </si>
  <si>
    <t>='Mars 32'!C21</t>
  </si>
  <si>
    <t>='Mars 32'!C22</t>
  </si>
  <si>
    <t>='Mars 32'!C23</t>
  </si>
  <si>
    <t>='April 32'!C13</t>
  </si>
  <si>
    <t>='April 32'!C14</t>
  </si>
  <si>
    <t>='April 32'!C15</t>
  </si>
  <si>
    <t>='April 32'!C16</t>
  </si>
  <si>
    <t>='April 32'!C17</t>
  </si>
  <si>
    <t>='April 32'!C18</t>
  </si>
  <si>
    <t>='April 32'!C19</t>
  </si>
  <si>
    <t>='April 32'!C20</t>
  </si>
  <si>
    <t>='April 32'!C21</t>
  </si>
  <si>
    <t>='April 32'!C22</t>
  </si>
  <si>
    <t>='April 32'!C23</t>
  </si>
  <si>
    <t>='Maj 32'!C13</t>
  </si>
  <si>
    <t>='Maj 32'!C14</t>
  </si>
  <si>
    <t>='Maj 32'!C15</t>
  </si>
  <si>
    <t>='Maj 32'!C16</t>
  </si>
  <si>
    <t>='Maj 32'!C17</t>
  </si>
  <si>
    <t>='Maj 32'!C18</t>
  </si>
  <si>
    <t>='Maj 32'!C19</t>
  </si>
  <si>
    <t>='Maj 32'!C20</t>
  </si>
  <si>
    <t>='Maj 32'!C21</t>
  </si>
  <si>
    <t>='Maj 32'!C22</t>
  </si>
  <si>
    <t>='Maj 32'!C23</t>
  </si>
  <si>
    <t>='Juni 32'!C13</t>
  </si>
  <si>
    <t>='Juni 32'!C14</t>
  </si>
  <si>
    <t>='Juni 32'!C15</t>
  </si>
  <si>
    <t>='Juni 32'!C16</t>
  </si>
  <si>
    <t>='Juni 32'!C17</t>
  </si>
  <si>
    <t>='Juni 32'!C18</t>
  </si>
  <si>
    <t>='Juni 32'!C19</t>
  </si>
  <si>
    <t>='Juni 32'!C20</t>
  </si>
  <si>
    <t>='Juni 32'!C21</t>
  </si>
  <si>
    <t>='Juni 32'!C22</t>
  </si>
  <si>
    <t>='Juni 32'!C23</t>
  </si>
  <si>
    <t>='Juli 32'!C13</t>
  </si>
  <si>
    <t>='Juli 32'!C14</t>
  </si>
  <si>
    <t>='Juli 32'!C15</t>
  </si>
  <si>
    <t>='Juli 32'!C16</t>
  </si>
  <si>
    <t>='Juli 32'!C17</t>
  </si>
  <si>
    <t>='Juli 32'!C18</t>
  </si>
  <si>
    <t>='Juli 32'!C19</t>
  </si>
  <si>
    <t>='Juli 32'!C20</t>
  </si>
  <si>
    <t>='Juli 32'!C21</t>
  </si>
  <si>
    <t>='Juli 32'!C22</t>
  </si>
  <si>
    <t>='Juli 32'!C23</t>
  </si>
  <si>
    <t>='Augusti 32'!C13</t>
  </si>
  <si>
    <t>='Augusti 32'!C14</t>
  </si>
  <si>
    <t>='Augusti 32'!C15</t>
  </si>
  <si>
    <t>='Augusti 32'!C16</t>
  </si>
  <si>
    <t>='Augusti 32'!C17</t>
  </si>
  <si>
    <t>='Augusti 32'!C18</t>
  </si>
  <si>
    <t>='Augusti 32'!C19</t>
  </si>
  <si>
    <t>='Augusti 32'!C20</t>
  </si>
  <si>
    <t>='Augusti 32'!C21</t>
  </si>
  <si>
    <t>='Augusti 32'!C22</t>
  </si>
  <si>
    <t>='Augusti 32'!C23</t>
  </si>
  <si>
    <t>='September 32'!C13</t>
  </si>
  <si>
    <t>='September 32'!C14</t>
  </si>
  <si>
    <t>='September 32'!C15</t>
  </si>
  <si>
    <t>='September 32'!C16</t>
  </si>
  <si>
    <t>='September 32'!C17</t>
  </si>
  <si>
    <t>='September 32'!C18</t>
  </si>
  <si>
    <t>='September 32'!C19</t>
  </si>
  <si>
    <t>='September 32'!C20</t>
  </si>
  <si>
    <t>='September 32'!C21</t>
  </si>
  <si>
    <t>='September 32'!C22</t>
  </si>
  <si>
    <t>='September 32'!C23</t>
  </si>
  <si>
    <t>='Oktober 32'!C13</t>
  </si>
  <si>
    <t>='Oktober 32'!C14</t>
  </si>
  <si>
    <t>='Oktober 32'!C15</t>
  </si>
  <si>
    <t>='Oktober 32'!C16</t>
  </si>
  <si>
    <t>='Oktober 32'!C17</t>
  </si>
  <si>
    <t>='Oktober 32'!C18</t>
  </si>
  <si>
    <t>='Oktober 32'!C19</t>
  </si>
  <si>
    <t>='Oktober 32'!C20</t>
  </si>
  <si>
    <t>='Oktober 32'!C21</t>
  </si>
  <si>
    <t>='Oktober 32'!C22</t>
  </si>
  <si>
    <t>='Oktober 32'!C23</t>
  </si>
  <si>
    <t>='November 32'!C13</t>
  </si>
  <si>
    <t>='November 32'!C14</t>
  </si>
  <si>
    <t>='November 32'!C15</t>
  </si>
  <si>
    <t>='November 32'!C16</t>
  </si>
  <si>
    <t>='November 32'!C17</t>
  </si>
  <si>
    <t>='November 32'!C18</t>
  </si>
  <si>
    <t>='November 32'!C19</t>
  </si>
  <si>
    <t>='November 32'!C20</t>
  </si>
  <si>
    <t>='November 32'!C21</t>
  </si>
  <si>
    <t>='November 32'!C22</t>
  </si>
  <si>
    <t>='November 32'!C23</t>
  </si>
  <si>
    <t>='December 32'!C13</t>
  </si>
  <si>
    <t>='December 32'!C14</t>
  </si>
  <si>
    <t>='December 32'!C15</t>
  </si>
  <si>
    <t>='December 32'!C16</t>
  </si>
  <si>
    <t>='December 32'!C17</t>
  </si>
  <si>
    <t>='December 32'!C18</t>
  </si>
  <si>
    <t>='December 32'!C19</t>
  </si>
  <si>
    <t>='December 32'!C20</t>
  </si>
  <si>
    <t>='December 32'!C21</t>
  </si>
  <si>
    <t>='December 32'!C22</t>
  </si>
  <si>
    <t>='December 32'!C23</t>
  </si>
  <si>
    <t>='Januari 33'!C13</t>
  </si>
  <si>
    <t>='Januari 33'!C14</t>
  </si>
  <si>
    <t>='Januari 33'!C15</t>
  </si>
  <si>
    <t>='Januari 33'!C16</t>
  </si>
  <si>
    <t>='Januari 33'!C17</t>
  </si>
  <si>
    <t>='Januari 33'!C18</t>
  </si>
  <si>
    <t>='Januari 33'!C19</t>
  </si>
  <si>
    <t>='Januari 33'!C20</t>
  </si>
  <si>
    <t>='Januari 33'!C21</t>
  </si>
  <si>
    <t>='Januari 33'!C22</t>
  </si>
  <si>
    <t>='Januari 33'!C23</t>
  </si>
  <si>
    <t>='Februari 33'!C13</t>
  </si>
  <si>
    <t>='Februari 33'!C14</t>
  </si>
  <si>
    <t>='Februari 33'!C15</t>
  </si>
  <si>
    <t>='Februari 33'!C16</t>
  </si>
  <si>
    <t>='Februari 33'!C17</t>
  </si>
  <si>
    <t>='Februari 33'!C18</t>
  </si>
  <si>
    <t>='Februari 33'!C19</t>
  </si>
  <si>
    <t>='Februari 33'!C20</t>
  </si>
  <si>
    <t>='Februari 33'!C21</t>
  </si>
  <si>
    <t>='Februari 33'!C22</t>
  </si>
  <si>
    <t>='Februari 33'!C23</t>
  </si>
  <si>
    <t>='Mars 33'!C13</t>
  </si>
  <si>
    <t>='Mars 33'!C14</t>
  </si>
  <si>
    <t>='Mars 33'!C15</t>
  </si>
  <si>
    <t>='Mars 33'!C16</t>
  </si>
  <si>
    <t>='Mars 33'!C17</t>
  </si>
  <si>
    <t>='Mars 33'!C18</t>
  </si>
  <si>
    <t>='Mars 33'!C19</t>
  </si>
  <si>
    <t>='Mars 33'!C20</t>
  </si>
  <si>
    <t>='Mars 33'!C21</t>
  </si>
  <si>
    <t>='Mars 33'!C22</t>
  </si>
  <si>
    <t>='Mars 33'!C23</t>
  </si>
  <si>
    <t>='April 33'!C13</t>
  </si>
  <si>
    <t>='April 33'!C14</t>
  </si>
  <si>
    <t>='April 33'!C15</t>
  </si>
  <si>
    <t>='April 33'!C16</t>
  </si>
  <si>
    <t>='April 33'!C17</t>
  </si>
  <si>
    <t>='April 33'!C18</t>
  </si>
  <si>
    <t>='April 33'!C19</t>
  </si>
  <si>
    <t>='April 33'!C20</t>
  </si>
  <si>
    <t>='April 33'!C21</t>
  </si>
  <si>
    <t>='April 33'!C22</t>
  </si>
  <si>
    <t>='April 33'!C23</t>
  </si>
  <si>
    <t>='Maj 33'!C13</t>
  </si>
  <si>
    <t>='Maj 33'!C14</t>
  </si>
  <si>
    <t>='Maj 33'!C15</t>
  </si>
  <si>
    <t>='Maj 33'!C16</t>
  </si>
  <si>
    <t>='Maj 33'!C17</t>
  </si>
  <si>
    <t>='Maj 33'!C18</t>
  </si>
  <si>
    <t>='Maj 33'!C19</t>
  </si>
  <si>
    <t>='Maj 33'!C20</t>
  </si>
  <si>
    <t>='Maj 33'!C21</t>
  </si>
  <si>
    <t>='Maj 33'!C22</t>
  </si>
  <si>
    <t>='Maj 33'!C23</t>
  </si>
  <si>
    <t>='Juni 33'!C13</t>
  </si>
  <si>
    <t>='Juni 33'!C14</t>
  </si>
  <si>
    <t>='Juni 33'!C15</t>
  </si>
  <si>
    <t>='Juni 33'!C16</t>
  </si>
  <si>
    <t>='Juni 33'!C17</t>
  </si>
  <si>
    <t>='Juni 33'!C18</t>
  </si>
  <si>
    <t>='Juni 33'!C19</t>
  </si>
  <si>
    <t>='Juni 33'!C20</t>
  </si>
  <si>
    <t>='Juni 33'!C21</t>
  </si>
  <si>
    <t>='Juni 33'!C22</t>
  </si>
  <si>
    <t>='Juni 33'!C23</t>
  </si>
  <si>
    <t>='Juli 33'!C13</t>
  </si>
  <si>
    <t>='Juli 33'!C14</t>
  </si>
  <si>
    <t>='Juli 33'!C15</t>
  </si>
  <si>
    <t>='Juli 33'!C16</t>
  </si>
  <si>
    <t>='Juli 33'!C17</t>
  </si>
  <si>
    <t>='Juli 33'!C18</t>
  </si>
  <si>
    <t>='Juli 33'!C19</t>
  </si>
  <si>
    <t>='Juli 33'!C20</t>
  </si>
  <si>
    <t>='Juli 33'!C21</t>
  </si>
  <si>
    <t>='Juli 33'!C22</t>
  </si>
  <si>
    <t>='Juli 33'!C23</t>
  </si>
  <si>
    <t>='Augusti 33'!C13</t>
  </si>
  <si>
    <t>='Augusti 33'!C14</t>
  </si>
  <si>
    <t>='Augusti 33'!C15</t>
  </si>
  <si>
    <t>='Augusti 33'!C16</t>
  </si>
  <si>
    <t>='Augusti 33'!C17</t>
  </si>
  <si>
    <t>='Augusti 33'!C18</t>
  </si>
  <si>
    <t>='Augusti 33'!C19</t>
  </si>
  <si>
    <t>='Augusti 33'!C20</t>
  </si>
  <si>
    <t>='Augusti 33'!C21</t>
  </si>
  <si>
    <t>='Augusti 33'!C22</t>
  </si>
  <si>
    <t>='Augusti 33'!C23</t>
  </si>
  <si>
    <t>='September 33'!C13</t>
  </si>
  <si>
    <t>='September 33'!C14</t>
  </si>
  <si>
    <t>='September 33'!C15</t>
  </si>
  <si>
    <t>='September 33'!C16</t>
  </si>
  <si>
    <t>='September 33'!C17</t>
  </si>
  <si>
    <t>='September 33'!C18</t>
  </si>
  <si>
    <t>='September 33'!C19</t>
  </si>
  <si>
    <t>='September 33'!C20</t>
  </si>
  <si>
    <t>='September 33'!C21</t>
  </si>
  <si>
    <t>='September 33'!C22</t>
  </si>
  <si>
    <t>='September 33'!C23</t>
  </si>
  <si>
    <t>='Oktober 33'!C13</t>
  </si>
  <si>
    <t>='Oktober 33'!C14</t>
  </si>
  <si>
    <t>='Oktober 33'!C15</t>
  </si>
  <si>
    <t>='Oktober 33'!C16</t>
  </si>
  <si>
    <t>='Oktober 33'!C17</t>
  </si>
  <si>
    <t>='Oktober 33'!C18</t>
  </si>
  <si>
    <t>='Oktober 33'!C19</t>
  </si>
  <si>
    <t>='Oktober 33'!C20</t>
  </si>
  <si>
    <t>='Oktober 33'!C21</t>
  </si>
  <si>
    <t>='Oktober 33'!C22</t>
  </si>
  <si>
    <t>='Oktober 33'!C23</t>
  </si>
  <si>
    <t>='November 33'!C13</t>
  </si>
  <si>
    <t>='November 33'!C14</t>
  </si>
  <si>
    <t>='November 33'!C15</t>
  </si>
  <si>
    <t>='November 33'!C16</t>
  </si>
  <si>
    <t>='November 33'!C17</t>
  </si>
  <si>
    <t>='November 33'!C18</t>
  </si>
  <si>
    <t>='November 33'!C19</t>
  </si>
  <si>
    <t>='November 33'!C20</t>
  </si>
  <si>
    <t>='November 33'!C21</t>
  </si>
  <si>
    <t>='November 33'!C22</t>
  </si>
  <si>
    <t>='November 33'!C23</t>
  </si>
  <si>
    <t>='December 33'!C13</t>
  </si>
  <si>
    <t>='December 33'!C14</t>
  </si>
  <si>
    <t>='December 33'!C15</t>
  </si>
  <si>
    <t>='December 33'!C16</t>
  </si>
  <si>
    <t>='December 33'!C17</t>
  </si>
  <si>
    <t>='December 33'!C18</t>
  </si>
  <si>
    <t>='December 33'!C19</t>
  </si>
  <si>
    <t>='December 33'!C20</t>
  </si>
  <si>
    <t>='December 33'!C21</t>
  </si>
  <si>
    <t>='December 33'!C22</t>
  </si>
  <si>
    <t>='December 33'!C23</t>
  </si>
  <si>
    <t>='Januari 34'!C13</t>
  </si>
  <si>
    <t>='Januari 34'!C14</t>
  </si>
  <si>
    <t>='Januari 34'!C15</t>
  </si>
  <si>
    <t>='Januari 34'!C16</t>
  </si>
  <si>
    <t>='Januari 34'!C17</t>
  </si>
  <si>
    <t>='Januari 34'!C18</t>
  </si>
  <si>
    <t>='Januari 34'!C19</t>
  </si>
  <si>
    <t>='Januari 34'!C20</t>
  </si>
  <si>
    <t>='Januari 34'!C21</t>
  </si>
  <si>
    <t>='Januari 34'!C22</t>
  </si>
  <si>
    <t>='Januari 34'!C23</t>
  </si>
  <si>
    <t>='Februari 34'!C13</t>
  </si>
  <si>
    <t>='Februari 34'!C14</t>
  </si>
  <si>
    <t>='Februari 34'!C15</t>
  </si>
  <si>
    <t>='Februari 34'!C16</t>
  </si>
  <si>
    <t>='Februari 34'!C17</t>
  </si>
  <si>
    <t>='Februari 34'!C18</t>
  </si>
  <si>
    <t>='Februari 34'!C19</t>
  </si>
  <si>
    <t>='Februari 34'!C20</t>
  </si>
  <si>
    <t>='Februari 34'!C21</t>
  </si>
  <si>
    <t>='Februari 34'!C22</t>
  </si>
  <si>
    <t>='Februari 34'!C23</t>
  </si>
  <si>
    <t>='Mars 34'!C13</t>
  </si>
  <si>
    <t>='Mars 34'!C14</t>
  </si>
  <si>
    <t>='Mars 34'!C15</t>
  </si>
  <si>
    <t>='Mars 34'!C16</t>
  </si>
  <si>
    <t>='Mars 34'!C17</t>
  </si>
  <si>
    <t>='Mars 34'!C18</t>
  </si>
  <si>
    <t>='Mars 34'!C19</t>
  </si>
  <si>
    <t>='Mars 34'!C20</t>
  </si>
  <si>
    <t>='Mars 34'!C21</t>
  </si>
  <si>
    <t>='Mars 34'!C22</t>
  </si>
  <si>
    <t>='Mars 34'!C23</t>
  </si>
  <si>
    <t>='April 34'!C13</t>
  </si>
  <si>
    <t>='April 34'!C14</t>
  </si>
  <si>
    <t>='April 34'!C15</t>
  </si>
  <si>
    <t>='April 34'!C16</t>
  </si>
  <si>
    <t>='April 34'!C17</t>
  </si>
  <si>
    <t>='April 34'!C18</t>
  </si>
  <si>
    <t>='April 34'!C19</t>
  </si>
  <si>
    <t>='April 34'!C20</t>
  </si>
  <si>
    <t>='April 34'!C21</t>
  </si>
  <si>
    <t>='April 34'!C22</t>
  </si>
  <si>
    <t>='April 34'!C23</t>
  </si>
  <si>
    <t>='Maj 34'!C13</t>
  </si>
  <si>
    <t>='Maj 34'!C14</t>
  </si>
  <si>
    <t>='Maj 34'!C15</t>
  </si>
  <si>
    <t>='Maj 34'!C16</t>
  </si>
  <si>
    <t>='Maj 34'!C17</t>
  </si>
  <si>
    <t>='Maj 34'!C18</t>
  </si>
  <si>
    <t>='Maj 34'!C19</t>
  </si>
  <si>
    <t>='Maj 34'!C20</t>
  </si>
  <si>
    <t>='Maj 34'!C21</t>
  </si>
  <si>
    <t>='Maj 34'!C22</t>
  </si>
  <si>
    <t>='Maj 34'!C23</t>
  </si>
  <si>
    <t>='Juni 34'!C13</t>
  </si>
  <si>
    <t>='Juni 34'!C14</t>
  </si>
  <si>
    <t>='Juni 34'!C15</t>
  </si>
  <si>
    <t>='Juni 34'!C16</t>
  </si>
  <si>
    <t>='Juni 34'!C17</t>
  </si>
  <si>
    <t>='Juni 34'!C18</t>
  </si>
  <si>
    <t>='Juni 34'!C19</t>
  </si>
  <si>
    <t>='Juni 34'!C20</t>
  </si>
  <si>
    <t>='Juni 34'!C21</t>
  </si>
  <si>
    <t>='Juni 34'!C22</t>
  </si>
  <si>
    <t>='Juni 34'!C23</t>
  </si>
  <si>
    <t>='Juli 34'!C13</t>
  </si>
  <si>
    <t>='Juli 34'!C14</t>
  </si>
  <si>
    <t>='Juli 34'!C15</t>
  </si>
  <si>
    <t>='Juli 34'!C16</t>
  </si>
  <si>
    <t>='Juli 34'!C17</t>
  </si>
  <si>
    <t>='Juli 34'!C18</t>
  </si>
  <si>
    <t>='Juli 34'!C19</t>
  </si>
  <si>
    <t>='Juli 34'!C20</t>
  </si>
  <si>
    <t>='Juli 34'!C21</t>
  </si>
  <si>
    <t>='Juli 34'!C22</t>
  </si>
  <si>
    <t>='Juli 34'!C23</t>
  </si>
  <si>
    <t>='Augusti 34'!C13</t>
  </si>
  <si>
    <t>='Augusti 34'!C14</t>
  </si>
  <si>
    <t>='Augusti 34'!C15</t>
  </si>
  <si>
    <t>='Augusti 34'!C16</t>
  </si>
  <si>
    <t>='Augusti 34'!C17</t>
  </si>
  <si>
    <t>='Augusti 34'!C18</t>
  </si>
  <si>
    <t>='Augusti 34'!C19</t>
  </si>
  <si>
    <t>='Augusti 34'!C20</t>
  </si>
  <si>
    <t>='Augusti 34'!C21</t>
  </si>
  <si>
    <t>='Augusti 34'!C22</t>
  </si>
  <si>
    <t>='Augusti 34'!C23</t>
  </si>
  <si>
    <t>='September 34'!C13</t>
  </si>
  <si>
    <t>='September 34'!C14</t>
  </si>
  <si>
    <t>='September 34'!C15</t>
  </si>
  <si>
    <t>='September 34'!C16</t>
  </si>
  <si>
    <t>='September 34'!C17</t>
  </si>
  <si>
    <t>='September 34'!C18</t>
  </si>
  <si>
    <t>='September 34'!C19</t>
  </si>
  <si>
    <t>='September 34'!C20</t>
  </si>
  <si>
    <t>='September 34'!C21</t>
  </si>
  <si>
    <t>='September 34'!C22</t>
  </si>
  <si>
    <t>='September 34'!C23</t>
  </si>
  <si>
    <t>='Oktober 34'!C13</t>
  </si>
  <si>
    <t>='Oktober 34'!C14</t>
  </si>
  <si>
    <t>='Oktober 34'!C15</t>
  </si>
  <si>
    <t>='Oktober 34'!C16</t>
  </si>
  <si>
    <t>='Oktober 34'!C17</t>
  </si>
  <si>
    <t>='Oktober 34'!C18</t>
  </si>
  <si>
    <t>='Oktober 34'!C19</t>
  </si>
  <si>
    <t>='Oktober 34'!C20</t>
  </si>
  <si>
    <t>='Oktober 34'!C21</t>
  </si>
  <si>
    <t>='Oktober 34'!C22</t>
  </si>
  <si>
    <t>='Oktober 34'!C23</t>
  </si>
  <si>
    <t>='November 34'!C13</t>
  </si>
  <si>
    <t>='November 34'!C14</t>
  </si>
  <si>
    <t>='November 34'!C15</t>
  </si>
  <si>
    <t>='November 34'!C16</t>
  </si>
  <si>
    <t>='November 34'!C17</t>
  </si>
  <si>
    <t>='November 34'!C18</t>
  </si>
  <si>
    <t>='November 34'!C19</t>
  </si>
  <si>
    <t>='November 34'!C20</t>
  </si>
  <si>
    <t>='November 34'!C21</t>
  </si>
  <si>
    <t>='November 34'!C22</t>
  </si>
  <si>
    <t>='November 34'!C23</t>
  </si>
  <si>
    <t>='December 34'!C13</t>
  </si>
  <si>
    <t>='December 34'!C14</t>
  </si>
  <si>
    <t>='December 34'!C15</t>
  </si>
  <si>
    <t>='December 34'!C16</t>
  </si>
  <si>
    <t>='December 34'!C17</t>
  </si>
  <si>
    <t>='December 34'!C18</t>
  </si>
  <si>
    <t>='December 34'!C19</t>
  </si>
  <si>
    <t>='December 34'!C20</t>
  </si>
  <si>
    <t>='December 34'!C21</t>
  </si>
  <si>
    <t>='December 34'!C22</t>
  </si>
  <si>
    <t>='December 34'!C23</t>
  </si>
  <si>
    <t>='Januari 35'!C13</t>
  </si>
  <si>
    <t>='Januari 35'!C14</t>
  </si>
  <si>
    <t>='Januari 35'!C15</t>
  </si>
  <si>
    <t>='Januari 35'!C16</t>
  </si>
  <si>
    <t>='Januari 35'!C17</t>
  </si>
  <si>
    <t>='Januari 35'!C18</t>
  </si>
  <si>
    <t>='Januari 35'!C19</t>
  </si>
  <si>
    <t>='Januari 35'!C20</t>
  </si>
  <si>
    <t>='Januari 35'!C21</t>
  </si>
  <si>
    <t>='Januari 35'!C22</t>
  </si>
  <si>
    <t>='Januari 35'!C23</t>
  </si>
  <si>
    <t>='Februari 35'!C13</t>
  </si>
  <si>
    <t>='Februari 35'!C14</t>
  </si>
  <si>
    <t>='Februari 35'!C15</t>
  </si>
  <si>
    <t>='Februari 35'!C16</t>
  </si>
  <si>
    <t>='Februari 35'!C17</t>
  </si>
  <si>
    <t>='Februari 35'!C18</t>
  </si>
  <si>
    <t>='Februari 35'!C19</t>
  </si>
  <si>
    <t>='Februari 35'!C20</t>
  </si>
  <si>
    <t>='Februari 35'!C21</t>
  </si>
  <si>
    <t>='Februari 35'!C22</t>
  </si>
  <si>
    <t>='Februari 35'!C23</t>
  </si>
  <si>
    <t>='Mars 35'!C13</t>
  </si>
  <si>
    <t>='Mars 35'!C14</t>
  </si>
  <si>
    <t>='Mars 35'!C15</t>
  </si>
  <si>
    <t>='Mars 35'!C16</t>
  </si>
  <si>
    <t>='Mars 35'!C17</t>
  </si>
  <si>
    <t>='Mars 35'!C18</t>
  </si>
  <si>
    <t>='Mars 35'!C19</t>
  </si>
  <si>
    <t>='Mars 35'!C20</t>
  </si>
  <si>
    <t>='Mars 35'!C21</t>
  </si>
  <si>
    <t>='Mars 35'!C22</t>
  </si>
  <si>
    <t>='Mars 35'!C23</t>
  </si>
  <si>
    <t>='April 35'!C13</t>
  </si>
  <si>
    <t>='April 35'!C14</t>
  </si>
  <si>
    <t>='April 35'!C15</t>
  </si>
  <si>
    <t>='April 35'!C16</t>
  </si>
  <si>
    <t>='April 35'!C17</t>
  </si>
  <si>
    <t>='April 35'!C18</t>
  </si>
  <si>
    <t>='April 35'!C19</t>
  </si>
  <si>
    <t>='April 35'!C20</t>
  </si>
  <si>
    <t>='April 35'!C21</t>
  </si>
  <si>
    <t>='April 35'!C22</t>
  </si>
  <si>
    <t>='April 35'!C23</t>
  </si>
  <si>
    <t>='Maj 35'!C13</t>
  </si>
  <si>
    <t>='Maj 35'!C14</t>
  </si>
  <si>
    <t>='Maj 35'!C15</t>
  </si>
  <si>
    <t>='Maj 35'!C16</t>
  </si>
  <si>
    <t>='Maj 35'!C17</t>
  </si>
  <si>
    <t>='Maj 35'!C18</t>
  </si>
  <si>
    <t>='Maj 35'!C19</t>
  </si>
  <si>
    <t>='Maj 35'!C20</t>
  </si>
  <si>
    <t>='Maj 35'!C21</t>
  </si>
  <si>
    <t>='Maj 35'!C22</t>
  </si>
  <si>
    <t>='Maj 35'!C23</t>
  </si>
  <si>
    <t>='Juni 35'!C13</t>
  </si>
  <si>
    <t>='Juni 35'!C14</t>
  </si>
  <si>
    <t>='Juni 35'!C15</t>
  </si>
  <si>
    <t>='Juni 35'!C16</t>
  </si>
  <si>
    <t>='Juni 35'!C17</t>
  </si>
  <si>
    <t>='Juni 35'!C18</t>
  </si>
  <si>
    <t>='Juni 35'!C19</t>
  </si>
  <si>
    <t>='Juni 35'!C20</t>
  </si>
  <si>
    <t>='Juni 35'!C21</t>
  </si>
  <si>
    <t>='Juni 35'!C22</t>
  </si>
  <si>
    <t>='Juni 35'!C23</t>
  </si>
  <si>
    <t>='Juli 35'!C13</t>
  </si>
  <si>
    <t>='Juli 35'!C14</t>
  </si>
  <si>
    <t>='Juli 35'!C15</t>
  </si>
  <si>
    <t>='Juli 35'!C16</t>
  </si>
  <si>
    <t>='Juli 35'!C17</t>
  </si>
  <si>
    <t>='Juli 35'!C18</t>
  </si>
  <si>
    <t>='Juli 35'!C19</t>
  </si>
  <si>
    <t>='Juli 35'!C20</t>
  </si>
  <si>
    <t>='Juli 35'!C21</t>
  </si>
  <si>
    <t>='Juli 35'!C22</t>
  </si>
  <si>
    <t>='Juli 35'!C23</t>
  </si>
  <si>
    <t>='Augusti 35'!C13</t>
  </si>
  <si>
    <t>='Augusti 35'!C14</t>
  </si>
  <si>
    <t>='Augusti 35'!C15</t>
  </si>
  <si>
    <t>='Augusti 35'!C16</t>
  </si>
  <si>
    <t>='Augusti 35'!C17</t>
  </si>
  <si>
    <t>='Augusti 35'!C18</t>
  </si>
  <si>
    <t>='Augusti 35'!C19</t>
  </si>
  <si>
    <t>='Augusti 35'!C20</t>
  </si>
  <si>
    <t>='Augusti 35'!C21</t>
  </si>
  <si>
    <t>='Augusti 35'!C22</t>
  </si>
  <si>
    <t>='Augusti 35'!C23</t>
  </si>
  <si>
    <t>='September 35'!C13</t>
  </si>
  <si>
    <t>='September 35'!C14</t>
  </si>
  <si>
    <t>='September 35'!C15</t>
  </si>
  <si>
    <t>='September 35'!C16</t>
  </si>
  <si>
    <t>='September 35'!C17</t>
  </si>
  <si>
    <t>='September 35'!C18</t>
  </si>
  <si>
    <t>='September 35'!C19</t>
  </si>
  <si>
    <t>='September 35'!C20</t>
  </si>
  <si>
    <t>='September 35'!C21</t>
  </si>
  <si>
    <t>='September 35'!C22</t>
  </si>
  <si>
    <t>='September 35'!C23</t>
  </si>
  <si>
    <t>='Oktober 35'!C13</t>
  </si>
  <si>
    <t>='Oktober 35'!C14</t>
  </si>
  <si>
    <t>='Oktober 35'!C15</t>
  </si>
  <si>
    <t>='Oktober 35'!C16</t>
  </si>
  <si>
    <t>='Oktober 35'!C17</t>
  </si>
  <si>
    <t>='Oktober 35'!C18</t>
  </si>
  <si>
    <t>='Oktober 35'!C19</t>
  </si>
  <si>
    <t>='Oktober 35'!C20</t>
  </si>
  <si>
    <t>='Oktober 35'!C21</t>
  </si>
  <si>
    <t>='Oktober 35'!C22</t>
  </si>
  <si>
    <t>='Oktober 35'!C23</t>
  </si>
  <si>
    <t>='November 35'!C13</t>
  </si>
  <si>
    <t>='November 35'!C14</t>
  </si>
  <si>
    <t>='November 35'!C15</t>
  </si>
  <si>
    <t>='November 35'!C16</t>
  </si>
  <si>
    <t>='November 35'!C17</t>
  </si>
  <si>
    <t>='November 35'!C18</t>
  </si>
  <si>
    <t>='November 35'!C19</t>
  </si>
  <si>
    <t>='November 35'!C20</t>
  </si>
  <si>
    <t>='November 35'!C21</t>
  </si>
  <si>
    <t>='November 35'!C22</t>
  </si>
  <si>
    <t>='November 35'!C23</t>
  </si>
  <si>
    <t>='December 35'!C13</t>
  </si>
  <si>
    <t>='December 35'!C14</t>
  </si>
  <si>
    <t>='December 35'!C15</t>
  </si>
  <si>
    <t>='December 35'!C16</t>
  </si>
  <si>
    <t>='December 35'!C17</t>
  </si>
  <si>
    <t>='December 35'!C18</t>
  </si>
  <si>
    <t>='December 35'!C19</t>
  </si>
  <si>
    <t>='December 35'!C20</t>
  </si>
  <si>
    <t>='December 35'!C21</t>
  </si>
  <si>
    <t>='December 35'!C22</t>
  </si>
  <si>
    <t>='December 35'!C23</t>
  </si>
  <si>
    <t>='Januari 36'!C13</t>
  </si>
  <si>
    <t>='Januari 36'!C14</t>
  </si>
  <si>
    <t>='Januari 36'!C15</t>
  </si>
  <si>
    <t>='Januari 36'!C16</t>
  </si>
  <si>
    <t>='Januari 36'!C17</t>
  </si>
  <si>
    <t>='Januari 36'!C18</t>
  </si>
  <si>
    <t>='Januari 36'!C19</t>
  </si>
  <si>
    <t>='Januari 36'!C20</t>
  </si>
  <si>
    <t>='Januari 36'!C21</t>
  </si>
  <si>
    <t>='Januari 36'!C22</t>
  </si>
  <si>
    <t>='Januari 36'!C23</t>
  </si>
  <si>
    <t>='Februari 36'!C13</t>
  </si>
  <si>
    <t>='Februari 36'!C14</t>
  </si>
  <si>
    <t>='Februari 36'!C15</t>
  </si>
  <si>
    <t>='Februari 36'!C16</t>
  </si>
  <si>
    <t>='Februari 36'!C17</t>
  </si>
  <si>
    <t>='Februari 36'!C18</t>
  </si>
  <si>
    <t>='Februari 36'!C19</t>
  </si>
  <si>
    <t>='Februari 36'!C20</t>
  </si>
  <si>
    <t>='Februari 36'!C21</t>
  </si>
  <si>
    <t>='Februari 36'!C22</t>
  </si>
  <si>
    <t>='Februari 36'!C23</t>
  </si>
  <si>
    <t>='Mars 36'!C13</t>
  </si>
  <si>
    <t>='Mars 36'!C14</t>
  </si>
  <si>
    <t>='Mars 36'!C15</t>
  </si>
  <si>
    <t>='Mars 36'!C16</t>
  </si>
  <si>
    <t>='Mars 36'!C17</t>
  </si>
  <si>
    <t>='Mars 36'!C18</t>
  </si>
  <si>
    <t>='Mars 36'!C19</t>
  </si>
  <si>
    <t>='Mars 36'!C20</t>
  </si>
  <si>
    <t>='Mars 36'!C21</t>
  </si>
  <si>
    <t>='Mars 36'!C22</t>
  </si>
  <si>
    <t>='Mars 36'!C23</t>
  </si>
  <si>
    <t>='April 36'!C13</t>
  </si>
  <si>
    <t>='April 36'!C14</t>
  </si>
  <si>
    <t>='April 36'!C15</t>
  </si>
  <si>
    <t>='April 36'!C16</t>
  </si>
  <si>
    <t>='April 36'!C17</t>
  </si>
  <si>
    <t>='April 36'!C18</t>
  </si>
  <si>
    <t>='April 36'!C19</t>
  </si>
  <si>
    <t>='April 36'!C20</t>
  </si>
  <si>
    <t>='April 36'!C21</t>
  </si>
  <si>
    <t>='April 36'!C22</t>
  </si>
  <si>
    <t>='April 36'!C23</t>
  </si>
  <si>
    <t>='Maj 36'!C13</t>
  </si>
  <si>
    <t>='Maj 36'!C14</t>
  </si>
  <si>
    <t>='Maj 36'!C15</t>
  </si>
  <si>
    <t>='Maj 36'!C16</t>
  </si>
  <si>
    <t>='Maj 36'!C17</t>
  </si>
  <si>
    <t>='Maj 36'!C18</t>
  </si>
  <si>
    <t>='Maj 36'!C19</t>
  </si>
  <si>
    <t>='Maj 36'!C20</t>
  </si>
  <si>
    <t>='Maj 36'!C21</t>
  </si>
  <si>
    <t>='Maj 36'!C22</t>
  </si>
  <si>
    <t>='Maj 36'!C23</t>
  </si>
  <si>
    <t>='Juni 36'!C13</t>
  </si>
  <si>
    <t>='Juni 36'!C14</t>
  </si>
  <si>
    <t>='Juni 36'!C15</t>
  </si>
  <si>
    <t>='Juni 36'!C16</t>
  </si>
  <si>
    <t>='Juni 36'!C17</t>
  </si>
  <si>
    <t>='Juni 36'!C18</t>
  </si>
  <si>
    <t>='Juni 36'!C19</t>
  </si>
  <si>
    <t>='Juni 36'!C20</t>
  </si>
  <si>
    <t>='Juni 36'!C21</t>
  </si>
  <si>
    <t>='Juni 36'!C22</t>
  </si>
  <si>
    <t>='Juni 36'!C23</t>
  </si>
  <si>
    <t>='Juli 36'!C13</t>
  </si>
  <si>
    <t>='Juli 36'!C14</t>
  </si>
  <si>
    <t>='Juli 36'!C15</t>
  </si>
  <si>
    <t>='Juli 36'!C16</t>
  </si>
  <si>
    <t>='Juli 36'!C17</t>
  </si>
  <si>
    <t>='Juli 36'!C18</t>
  </si>
  <si>
    <t>='Juli 36'!C19</t>
  </si>
  <si>
    <t>='Juli 36'!C20</t>
  </si>
  <si>
    <t>='Juli 36'!C21</t>
  </si>
  <si>
    <t>='Juli 36'!C22</t>
  </si>
  <si>
    <t>='Juli 36'!C23</t>
  </si>
  <si>
    <t>='Augusti 36'!C13</t>
  </si>
  <si>
    <t>='Augusti 36'!C14</t>
  </si>
  <si>
    <t>='Augusti 36'!C15</t>
  </si>
  <si>
    <t>='Augusti 36'!C16</t>
  </si>
  <si>
    <t>='Augusti 36'!C17</t>
  </si>
  <si>
    <t>='Augusti 36'!C18</t>
  </si>
  <si>
    <t>='Augusti 36'!C19</t>
  </si>
  <si>
    <t>='Augusti 36'!C20</t>
  </si>
  <si>
    <t>='Augusti 36'!C21</t>
  </si>
  <si>
    <t>='Augusti 36'!C22</t>
  </si>
  <si>
    <t>='Augusti 36'!C23</t>
  </si>
  <si>
    <t>='September 36'!C13</t>
  </si>
  <si>
    <t>='September 36'!C14</t>
  </si>
  <si>
    <t>='September 36'!C15</t>
  </si>
  <si>
    <t>='September 36'!C16</t>
  </si>
  <si>
    <t>='September 36'!C17</t>
  </si>
  <si>
    <t>='September 36'!C18</t>
  </si>
  <si>
    <t>='September 36'!C19</t>
  </si>
  <si>
    <t>='September 36'!C20</t>
  </si>
  <si>
    <t>='September 36'!C21</t>
  </si>
  <si>
    <t>='September 36'!C22</t>
  </si>
  <si>
    <t>='September 36'!C23</t>
  </si>
  <si>
    <t>='Oktober 36'!C13</t>
  </si>
  <si>
    <t>='Oktober 36'!C14</t>
  </si>
  <si>
    <t>='Oktober 36'!C15</t>
  </si>
  <si>
    <t>='Oktober 36'!C16</t>
  </si>
  <si>
    <t>='Oktober 36'!C17</t>
  </si>
  <si>
    <t>='Oktober 36'!C18</t>
  </si>
  <si>
    <t>='Oktober 36'!C19</t>
  </si>
  <si>
    <t>='Oktober 36'!C20</t>
  </si>
  <si>
    <t>='Oktober 36'!C21</t>
  </si>
  <si>
    <t>='Oktober 36'!C22</t>
  </si>
  <si>
    <t>='Oktober 36'!C23</t>
  </si>
  <si>
    <t>='November 36'!C13</t>
  </si>
  <si>
    <t>='November 36'!C14</t>
  </si>
  <si>
    <t>='November 36'!C15</t>
  </si>
  <si>
    <t>='November 36'!C16</t>
  </si>
  <si>
    <t>='November 36'!C17</t>
  </si>
  <si>
    <t>='November 36'!C18</t>
  </si>
  <si>
    <t>='November 36'!C19</t>
  </si>
  <si>
    <t>='November 36'!C20</t>
  </si>
  <si>
    <t>='November 36'!C21</t>
  </si>
  <si>
    <t>='November 36'!C22</t>
  </si>
  <si>
    <t>='November 36'!C23</t>
  </si>
  <si>
    <t>='December 36'!C13</t>
  </si>
  <si>
    <t>='December 36'!C14</t>
  </si>
  <si>
    <t>='December 36'!C15</t>
  </si>
  <si>
    <t>='December 36'!C16</t>
  </si>
  <si>
    <t>='December 36'!C17</t>
  </si>
  <si>
    <t>='December 36'!C18</t>
  </si>
  <si>
    <t>='December 36'!C19</t>
  </si>
  <si>
    <t>='December 36'!C20</t>
  </si>
  <si>
    <t>='December 36'!C21</t>
  </si>
  <si>
    <t>='December 36'!C22</t>
  </si>
  <si>
    <t>='December 36'!C23</t>
  </si>
  <si>
    <t>='Januari 37'!C13</t>
  </si>
  <si>
    <t>='Januari 37'!C14</t>
  </si>
  <si>
    <t>='Januari 37'!C15</t>
  </si>
  <si>
    <t>='Januari 37'!C16</t>
  </si>
  <si>
    <t>='Januari 37'!C17</t>
  </si>
  <si>
    <t>='Januari 37'!C18</t>
  </si>
  <si>
    <t>='Januari 37'!C19</t>
  </si>
  <si>
    <t>='Januari 37'!C20</t>
  </si>
  <si>
    <t>='Januari 37'!C21</t>
  </si>
  <si>
    <t>='Januari 37'!C22</t>
  </si>
  <si>
    <t>='Januari 37'!C23</t>
  </si>
  <si>
    <t>='Februari 37'!C13</t>
  </si>
  <si>
    <t>='Februari 37'!C14</t>
  </si>
  <si>
    <t>='Februari 37'!C15</t>
  </si>
  <si>
    <t>='Februari 37'!C16</t>
  </si>
  <si>
    <t>='Februari 37'!C17</t>
  </si>
  <si>
    <t>='Februari 37'!C18</t>
  </si>
  <si>
    <t>='Februari 37'!C19</t>
  </si>
  <si>
    <t>='Februari 37'!C20</t>
  </si>
  <si>
    <t>='Februari 37'!C21</t>
  </si>
  <si>
    <t>='Februari 37'!C22</t>
  </si>
  <si>
    <t>='Februari 37'!C23</t>
  </si>
  <si>
    <t>='Mars 37'!C13</t>
  </si>
  <si>
    <t>='Mars 37'!C14</t>
  </si>
  <si>
    <t>='Mars 37'!C15</t>
  </si>
  <si>
    <t>='Mars 37'!C16</t>
  </si>
  <si>
    <t>='Mars 37'!C17</t>
  </si>
  <si>
    <t>='Mars 37'!C18</t>
  </si>
  <si>
    <t>='Mars 37'!C19</t>
  </si>
  <si>
    <t>='Mars 37'!C20</t>
  </si>
  <si>
    <t>='Mars 37'!C21</t>
  </si>
  <si>
    <t>='Mars 37'!C22</t>
  </si>
  <si>
    <t>='Mars 37'!C23</t>
  </si>
  <si>
    <t>='April 37'!C13</t>
  </si>
  <si>
    <t>='April 37'!C14</t>
  </si>
  <si>
    <t>='April 37'!C15</t>
  </si>
  <si>
    <t>='April 37'!C16</t>
  </si>
  <si>
    <t>='April 37'!C17</t>
  </si>
  <si>
    <t>='April 37'!C18</t>
  </si>
  <si>
    <t>='April 37'!C19</t>
  </si>
  <si>
    <t>='April 37'!C20</t>
  </si>
  <si>
    <t>='April 37'!C21</t>
  </si>
  <si>
    <t>='April 37'!C22</t>
  </si>
  <si>
    <t>='April 37'!C23</t>
  </si>
  <si>
    <t>='Maj 37'!C13</t>
  </si>
  <si>
    <t>='Maj 37'!C14</t>
  </si>
  <si>
    <t>='Maj 37'!C15</t>
  </si>
  <si>
    <t>='Maj 37'!C16</t>
  </si>
  <si>
    <t>='Maj 37'!C17</t>
  </si>
  <si>
    <t>='Maj 37'!C18</t>
  </si>
  <si>
    <t>='Maj 37'!C19</t>
  </si>
  <si>
    <t>='Maj 37'!C20</t>
  </si>
  <si>
    <t>='Maj 37'!C21</t>
  </si>
  <si>
    <t>='Maj 37'!C22</t>
  </si>
  <si>
    <t>='Maj 37'!C23</t>
  </si>
  <si>
    <t>='Juni 37'!C13</t>
  </si>
  <si>
    <t>='Juni 37'!C14</t>
  </si>
  <si>
    <t>='Juni 37'!C15</t>
  </si>
  <si>
    <t>='Juni 37'!C16</t>
  </si>
  <si>
    <t>='Juni 37'!C17</t>
  </si>
  <si>
    <t>='Juni 37'!C18</t>
  </si>
  <si>
    <t>='Juni 37'!C19</t>
  </si>
  <si>
    <t>='Juni 37'!C20</t>
  </si>
  <si>
    <t>='Juni 37'!C21</t>
  </si>
  <si>
    <t>='Juni 37'!C22</t>
  </si>
  <si>
    <t>='Juni 37'!C23</t>
  </si>
  <si>
    <t>='Juli 37'!C13</t>
  </si>
  <si>
    <t>='Juli 37'!C14</t>
  </si>
  <si>
    <t>='Juli 37'!C15</t>
  </si>
  <si>
    <t>='Juli 37'!C16</t>
  </si>
  <si>
    <t>='Juli 37'!C17</t>
  </si>
  <si>
    <t>='Juli 37'!C18</t>
  </si>
  <si>
    <t>='Juli 37'!C19</t>
  </si>
  <si>
    <t>='Juli 37'!C20</t>
  </si>
  <si>
    <t>='Juli 37'!C21</t>
  </si>
  <si>
    <t>='Juli 37'!C22</t>
  </si>
  <si>
    <t>='Juli 37'!C23</t>
  </si>
  <si>
    <t>='Augusti 37'!C13</t>
  </si>
  <si>
    <t>='Augusti 37'!C14</t>
  </si>
  <si>
    <t>='Augusti 37'!C15</t>
  </si>
  <si>
    <t>='Augusti 37'!C16</t>
  </si>
  <si>
    <t>='Augusti 37'!C17</t>
  </si>
  <si>
    <t>='Augusti 37'!C18</t>
  </si>
  <si>
    <t>='Augusti 37'!C19</t>
  </si>
  <si>
    <t>='Augusti 37'!C20</t>
  </si>
  <si>
    <t>='Augusti 37'!C21</t>
  </si>
  <si>
    <t>='Augusti 37'!C22</t>
  </si>
  <si>
    <t>='Augusti 37'!C23</t>
  </si>
  <si>
    <t>='September 37'!C13</t>
  </si>
  <si>
    <t>='September 37'!C14</t>
  </si>
  <si>
    <t>='September 37'!C15</t>
  </si>
  <si>
    <t>='September 37'!C16</t>
  </si>
  <si>
    <t>='September 37'!C17</t>
  </si>
  <si>
    <t>='September 37'!C18</t>
  </si>
  <si>
    <t>='September 37'!C19</t>
  </si>
  <si>
    <t>='September 37'!C20</t>
  </si>
  <si>
    <t>='September 37'!C21</t>
  </si>
  <si>
    <t>='September 37'!C22</t>
  </si>
  <si>
    <t>='September 37'!C23</t>
  </si>
  <si>
    <t>='Oktober 37'!C13</t>
  </si>
  <si>
    <t>='Oktober 37'!C14</t>
  </si>
  <si>
    <t>='Oktober 37'!C15</t>
  </si>
  <si>
    <t>='Oktober 37'!C16</t>
  </si>
  <si>
    <t>='Oktober 37'!C17</t>
  </si>
  <si>
    <t>='Oktober 37'!C18</t>
  </si>
  <si>
    <t>='Oktober 37'!C19</t>
  </si>
  <si>
    <t>='Oktober 37'!C20</t>
  </si>
  <si>
    <t>='Oktober 37'!C21</t>
  </si>
  <si>
    <t>='Oktober 37'!C22</t>
  </si>
  <si>
    <t>='Oktober 37'!C23</t>
  </si>
  <si>
    <t>='November 37'!C13</t>
  </si>
  <si>
    <t>='November 37'!C14</t>
  </si>
  <si>
    <t>='November 37'!C15</t>
  </si>
  <si>
    <t>='November 37'!C16</t>
  </si>
  <si>
    <t>='November 37'!C17</t>
  </si>
  <si>
    <t>='November 37'!C18</t>
  </si>
  <si>
    <t>='November 37'!C19</t>
  </si>
  <si>
    <t>='November 37'!C20</t>
  </si>
  <si>
    <t>='November 37'!C21</t>
  </si>
  <si>
    <t>='November 37'!C22</t>
  </si>
  <si>
    <t>='November 37'!C23</t>
  </si>
  <si>
    <t>='December 37'!C13</t>
  </si>
  <si>
    <t>='December 37'!C14</t>
  </si>
  <si>
    <t>='December 37'!C15</t>
  </si>
  <si>
    <t>='December 37'!C16</t>
  </si>
  <si>
    <t>='December 37'!C17</t>
  </si>
  <si>
    <t>='December 37'!C18</t>
  </si>
  <si>
    <t>='December 37'!C19</t>
  </si>
  <si>
    <t>='December 37'!C20</t>
  </si>
  <si>
    <t>='December 37'!C21</t>
  </si>
  <si>
    <t>='December 37'!C22</t>
  </si>
  <si>
    <t>='December 37'!C23</t>
  </si>
  <si>
    <t>='Januari 38'!C13</t>
  </si>
  <si>
    <t>='Januari 38'!C14</t>
  </si>
  <si>
    <t>='Januari 38'!C15</t>
  </si>
  <si>
    <t>='Januari 38'!C16</t>
  </si>
  <si>
    <t>='Januari 38'!C17</t>
  </si>
  <si>
    <t>='Januari 38'!C18</t>
  </si>
  <si>
    <t>='Januari 38'!C19</t>
  </si>
  <si>
    <t>='Januari 38'!C20</t>
  </si>
  <si>
    <t>='Januari 38'!C21</t>
  </si>
  <si>
    <t>='Januari 38'!C22</t>
  </si>
  <si>
    <t>='Januari 38'!C23</t>
  </si>
  <si>
    <t>='Februari 38'!C13</t>
  </si>
  <si>
    <t>='Februari 38'!C14</t>
  </si>
  <si>
    <t>='Februari 38'!C15</t>
  </si>
  <si>
    <t>='Februari 38'!C16</t>
  </si>
  <si>
    <t>='Februari 38'!C17</t>
  </si>
  <si>
    <t>='Februari 38'!C18</t>
  </si>
  <si>
    <t>='Februari 38'!C19</t>
  </si>
  <si>
    <t>='Februari 38'!C20</t>
  </si>
  <si>
    <t>='Februari 38'!C21</t>
  </si>
  <si>
    <t>='Februari 38'!C22</t>
  </si>
  <si>
    <t>='Februari 38'!C23</t>
  </si>
  <si>
    <t>='Mars 38'!C13</t>
  </si>
  <si>
    <t>='Mars 38'!C14</t>
  </si>
  <si>
    <t>='Mars 38'!C15</t>
  </si>
  <si>
    <t>='Mars 38'!C16</t>
  </si>
  <si>
    <t>='Mars 38'!C17</t>
  </si>
  <si>
    <t>='Mars 38'!C18</t>
  </si>
  <si>
    <t>='Mars 38'!C19</t>
  </si>
  <si>
    <t>='Mars 38'!C20</t>
  </si>
  <si>
    <t>='Mars 38'!C21</t>
  </si>
  <si>
    <t>='Mars 38'!C22</t>
  </si>
  <si>
    <t>='Mars 38'!C23</t>
  </si>
  <si>
    <t>='April 38'!C13</t>
  </si>
  <si>
    <t>='April 38'!C14</t>
  </si>
  <si>
    <t>='April 38'!C15</t>
  </si>
  <si>
    <t>='April 38'!C16</t>
  </si>
  <si>
    <t>='April 38'!C17</t>
  </si>
  <si>
    <t>='April 38'!C18</t>
  </si>
  <si>
    <t>='April 38'!C19</t>
  </si>
  <si>
    <t>='April 38'!C20</t>
  </si>
  <si>
    <t>='April 38'!C21</t>
  </si>
  <si>
    <t>='April 38'!C22</t>
  </si>
  <si>
    <t>='April 38'!C23</t>
  </si>
  <si>
    <t>='Maj 38'!C13</t>
  </si>
  <si>
    <t>='Maj 38'!C14</t>
  </si>
  <si>
    <t>='Maj 38'!C15</t>
  </si>
  <si>
    <t>='Maj 38'!C16</t>
  </si>
  <si>
    <t>='Maj 38'!C17</t>
  </si>
  <si>
    <t>='Maj 38'!C18</t>
  </si>
  <si>
    <t>='Maj 38'!C19</t>
  </si>
  <si>
    <t>='Maj 38'!C20</t>
  </si>
  <si>
    <t>='Maj 38'!C21</t>
  </si>
  <si>
    <t>='Maj 38'!C22</t>
  </si>
  <si>
    <t>='Maj 38'!C23</t>
  </si>
  <si>
    <t>='Juni 38'!C13</t>
  </si>
  <si>
    <t>='Juni 38'!C14</t>
  </si>
  <si>
    <t>='Juni 38'!C15</t>
  </si>
  <si>
    <t>='Juni 38'!C16</t>
  </si>
  <si>
    <t>='Juni 38'!C17</t>
  </si>
  <si>
    <t>='Juni 38'!C18</t>
  </si>
  <si>
    <t>='Juni 38'!C19</t>
  </si>
  <si>
    <t>='Juni 38'!C20</t>
  </si>
  <si>
    <t>='Juni 38'!C21</t>
  </si>
  <si>
    <t>='Juni 38'!C22</t>
  </si>
  <si>
    <t>='Juni 38'!C23</t>
  </si>
  <si>
    <t>='Juli 38'!C13</t>
  </si>
  <si>
    <t>='Juli 38'!C14</t>
  </si>
  <si>
    <t>='Juli 38'!C15</t>
  </si>
  <si>
    <t>='Juli 38'!C16</t>
  </si>
  <si>
    <t>='Juli 38'!C17</t>
  </si>
  <si>
    <t>='Juli 38'!C18</t>
  </si>
  <si>
    <t>='Juli 38'!C19</t>
  </si>
  <si>
    <t>='Juli 38'!C20</t>
  </si>
  <si>
    <t>='Juli 38'!C21</t>
  </si>
  <si>
    <t>='Juli 38'!C22</t>
  </si>
  <si>
    <t>='Juli 38'!C23</t>
  </si>
  <si>
    <t>='Augusti 38'!C13</t>
  </si>
  <si>
    <t>='Augusti 38'!C14</t>
  </si>
  <si>
    <t>='Augusti 38'!C15</t>
  </si>
  <si>
    <t>='Augusti 38'!C16</t>
  </si>
  <si>
    <t>='Augusti 38'!C17</t>
  </si>
  <si>
    <t>='Augusti 38'!C18</t>
  </si>
  <si>
    <t>='Augusti 38'!C19</t>
  </si>
  <si>
    <t>='Augusti 38'!C20</t>
  </si>
  <si>
    <t>='Augusti 38'!C21</t>
  </si>
  <si>
    <t>='Augusti 38'!C22</t>
  </si>
  <si>
    <t>='Augusti 38'!C23</t>
  </si>
  <si>
    <t>='September 38'!C13</t>
  </si>
  <si>
    <t>='September 38'!C14</t>
  </si>
  <si>
    <t>='September 38'!C15</t>
  </si>
  <si>
    <t>='September 38'!C16</t>
  </si>
  <si>
    <t>='September 38'!C17</t>
  </si>
  <si>
    <t>='September 38'!C18</t>
  </si>
  <si>
    <t>='September 38'!C19</t>
  </si>
  <si>
    <t>='September 38'!C20</t>
  </si>
  <si>
    <t>='September 38'!C21</t>
  </si>
  <si>
    <t>='September 38'!C22</t>
  </si>
  <si>
    <t>='September 38'!C23</t>
  </si>
  <si>
    <t>='Oktober 38'!C13</t>
  </si>
  <si>
    <t>='Oktober 38'!C14</t>
  </si>
  <si>
    <t>='Oktober 38'!C15</t>
  </si>
  <si>
    <t>='Oktober 38'!C16</t>
  </si>
  <si>
    <t>='Oktober 38'!C17</t>
  </si>
  <si>
    <t>='Oktober 38'!C18</t>
  </si>
  <si>
    <t>='Oktober 38'!C19</t>
  </si>
  <si>
    <t>='Oktober 38'!C20</t>
  </si>
  <si>
    <t>='Oktober 38'!C21</t>
  </si>
  <si>
    <t>='Oktober 38'!C22</t>
  </si>
  <si>
    <t>='Oktober 38'!C23</t>
  </si>
  <si>
    <t>='November 38'!C13</t>
  </si>
  <si>
    <t>='November 38'!C14</t>
  </si>
  <si>
    <t>='November 38'!C15</t>
  </si>
  <si>
    <t>='November 38'!C16</t>
  </si>
  <si>
    <t>='November 38'!C17</t>
  </si>
  <si>
    <t>='November 38'!C18</t>
  </si>
  <si>
    <t>='November 38'!C19</t>
  </si>
  <si>
    <t>='November 38'!C20</t>
  </si>
  <si>
    <t>='November 38'!C21</t>
  </si>
  <si>
    <t>='November 38'!C22</t>
  </si>
  <si>
    <t>='November 38'!C23</t>
  </si>
  <si>
    <t>='December 38'!C13</t>
  </si>
  <si>
    <t>='December 38'!C14</t>
  </si>
  <si>
    <t>='December 38'!C15</t>
  </si>
  <si>
    <t>='December 38'!C16</t>
  </si>
  <si>
    <t>='December 38'!C17</t>
  </si>
  <si>
    <t>='December 38'!C18</t>
  </si>
  <si>
    <t>='December 38'!C19</t>
  </si>
  <si>
    <t>='December 38'!C20</t>
  </si>
  <si>
    <t>='December 38'!C21</t>
  </si>
  <si>
    <t>='December 38'!C22</t>
  </si>
  <si>
    <t>='December 38'!C23</t>
  </si>
  <si>
    <t>='Januari 39'!C13</t>
  </si>
  <si>
    <t>='Januari 39'!C14</t>
  </si>
  <si>
    <t>='Januari 39'!C15</t>
  </si>
  <si>
    <t>='Januari 39'!C16</t>
  </si>
  <si>
    <t>='Januari 39'!C17</t>
  </si>
  <si>
    <t>='Januari 39'!C18</t>
  </si>
  <si>
    <t>='Januari 39'!C19</t>
  </si>
  <si>
    <t>='Januari 39'!C20</t>
  </si>
  <si>
    <t>='Januari 39'!C21</t>
  </si>
  <si>
    <t>='Januari 39'!C22</t>
  </si>
  <si>
    <t>='Januari 39'!C23</t>
  </si>
  <si>
    <t>='Februari 39'!C13</t>
  </si>
  <si>
    <t>='Februari 39'!C14</t>
  </si>
  <si>
    <t>='Februari 39'!C15</t>
  </si>
  <si>
    <t>='Februari 39'!C16</t>
  </si>
  <si>
    <t>='Februari 39'!C17</t>
  </si>
  <si>
    <t>='Februari 39'!C18</t>
  </si>
  <si>
    <t>='Februari 39'!C19</t>
  </si>
  <si>
    <t>='Februari 39'!C20</t>
  </si>
  <si>
    <t>='Februari 39'!C21</t>
  </si>
  <si>
    <t>='Februari 39'!C22</t>
  </si>
  <si>
    <t>='Februari 39'!C23</t>
  </si>
  <si>
    <t>='Mars 39'!C13</t>
  </si>
  <si>
    <t>='Mars 39'!C14</t>
  </si>
  <si>
    <t>='Mars 39'!C15</t>
  </si>
  <si>
    <t>='Mars 39'!C16</t>
  </si>
  <si>
    <t>='Mars 39'!C17</t>
  </si>
  <si>
    <t>='Mars 39'!C18</t>
  </si>
  <si>
    <t>='Mars 39'!C19</t>
  </si>
  <si>
    <t>='Mars 39'!C20</t>
  </si>
  <si>
    <t>='Mars 39'!C21</t>
  </si>
  <si>
    <t>='Mars 39'!C22</t>
  </si>
  <si>
    <t>='Mars 39'!C23</t>
  </si>
  <si>
    <t>='April 39'!C13</t>
  </si>
  <si>
    <t>='April 39'!C14</t>
  </si>
  <si>
    <t>='April 39'!C15</t>
  </si>
  <si>
    <t>='April 39'!C16</t>
  </si>
  <si>
    <t>='April 39'!C17</t>
  </si>
  <si>
    <t>='April 39'!C18</t>
  </si>
  <si>
    <t>='April 39'!C19</t>
  </si>
  <si>
    <t>='April 39'!C20</t>
  </si>
  <si>
    <t>='April 39'!C21</t>
  </si>
  <si>
    <t>='April 39'!C22</t>
  </si>
  <si>
    <t>='April 39'!C23</t>
  </si>
  <si>
    <t>='Maj 39'!C13</t>
  </si>
  <si>
    <t>='Maj 39'!C14</t>
  </si>
  <si>
    <t>='Maj 39'!C15</t>
  </si>
  <si>
    <t>='Maj 39'!C16</t>
  </si>
  <si>
    <t>='Maj 39'!C17</t>
  </si>
  <si>
    <t>='Maj 39'!C18</t>
  </si>
  <si>
    <t>='Maj 39'!C19</t>
  </si>
  <si>
    <t>='Maj 39'!C20</t>
  </si>
  <si>
    <t>='Maj 39'!C21</t>
  </si>
  <si>
    <t>='Maj 39'!C22</t>
  </si>
  <si>
    <t>='Maj 39'!C23</t>
  </si>
  <si>
    <t>='Juni 39'!C13</t>
  </si>
  <si>
    <t>='Juni 39'!C14</t>
  </si>
  <si>
    <t>='Juni 39'!C15</t>
  </si>
  <si>
    <t>='Juni 39'!C16</t>
  </si>
  <si>
    <t>='Juni 39'!C17</t>
  </si>
  <si>
    <t>='Juni 39'!C18</t>
  </si>
  <si>
    <t>='Juni 39'!C19</t>
  </si>
  <si>
    <t>='Juni 39'!C20</t>
  </si>
  <si>
    <t>='Juni 39'!C21</t>
  </si>
  <si>
    <t>='Juni 39'!C22</t>
  </si>
  <si>
    <t>='Juni 39'!C23</t>
  </si>
  <si>
    <t>='Juli 39'!C13</t>
  </si>
  <si>
    <t>='Juli 39'!C14</t>
  </si>
  <si>
    <t>='Juli 39'!C15</t>
  </si>
  <si>
    <t>='Juli 39'!C16</t>
  </si>
  <si>
    <t>='Juli 39'!C17</t>
  </si>
  <si>
    <t>='Juli 39'!C18</t>
  </si>
  <si>
    <t>='Juli 39'!C19</t>
  </si>
  <si>
    <t>='Juli 39'!C20</t>
  </si>
  <si>
    <t>='Juli 39'!C21</t>
  </si>
  <si>
    <t>='Juli 39'!C22</t>
  </si>
  <si>
    <t>='Juli 39'!C23</t>
  </si>
  <si>
    <t>='Augusti 39'!C13</t>
  </si>
  <si>
    <t>='Augusti 39'!C14</t>
  </si>
  <si>
    <t>='Augusti 39'!C15</t>
  </si>
  <si>
    <t>='Augusti 39'!C16</t>
  </si>
  <si>
    <t>='Augusti 39'!C17</t>
  </si>
  <si>
    <t>='Augusti 39'!C18</t>
  </si>
  <si>
    <t>='Augusti 39'!C19</t>
  </si>
  <si>
    <t>='Augusti 39'!C20</t>
  </si>
  <si>
    <t>='Augusti 39'!C21</t>
  </si>
  <si>
    <t>='Augusti 39'!C22</t>
  </si>
  <si>
    <t>='Augusti 39'!C23</t>
  </si>
  <si>
    <t>='September 39'!C13</t>
  </si>
  <si>
    <t>='September 39'!C14</t>
  </si>
  <si>
    <t>='September 39'!C15</t>
  </si>
  <si>
    <t>='September 39'!C16</t>
  </si>
  <si>
    <t>='September 39'!C17</t>
  </si>
  <si>
    <t>='September 39'!C18</t>
  </si>
  <si>
    <t>='September 39'!C19</t>
  </si>
  <si>
    <t>='September 39'!C20</t>
  </si>
  <si>
    <t>='September 39'!C21</t>
  </si>
  <si>
    <t>='September 39'!C22</t>
  </si>
  <si>
    <t>='September 39'!C23</t>
  </si>
  <si>
    <t>='Oktober 39'!C13</t>
  </si>
  <si>
    <t>='Oktober 39'!C14</t>
  </si>
  <si>
    <t>='Oktober 39'!C15</t>
  </si>
  <si>
    <t>='Oktober 39'!C16</t>
  </si>
  <si>
    <t>='Oktober 39'!C17</t>
  </si>
  <si>
    <t>='Oktober 39'!C18</t>
  </si>
  <si>
    <t>='Oktober 39'!C19</t>
  </si>
  <si>
    <t>='Oktober 39'!C20</t>
  </si>
  <si>
    <t>='Oktober 39'!C21</t>
  </si>
  <si>
    <t>='Oktober 39'!C22</t>
  </si>
  <si>
    <t>='Oktober 39'!C23</t>
  </si>
  <si>
    <t>='November 39'!C13</t>
  </si>
  <si>
    <t>='November 39'!C14</t>
  </si>
  <si>
    <t>='November 39'!C15</t>
  </si>
  <si>
    <t>='November 39'!C16</t>
  </si>
  <si>
    <t>='November 39'!C17</t>
  </si>
  <si>
    <t>='November 39'!C18</t>
  </si>
  <si>
    <t>='November 39'!C19</t>
  </si>
  <si>
    <t>='November 39'!C20</t>
  </si>
  <si>
    <t>='November 39'!C21</t>
  </si>
  <si>
    <t>='November 39'!C22</t>
  </si>
  <si>
    <t>='November 39'!C23</t>
  </si>
  <si>
    <t>='December 39'!C13</t>
  </si>
  <si>
    <t>='December 39'!C14</t>
  </si>
  <si>
    <t>='December 39'!C15</t>
  </si>
  <si>
    <t>='December 39'!C16</t>
  </si>
  <si>
    <t>='December 39'!C17</t>
  </si>
  <si>
    <t>='December 39'!C18</t>
  </si>
  <si>
    <t>='December 39'!C19</t>
  </si>
  <si>
    <t>='December 39'!C20</t>
  </si>
  <si>
    <t>='December 39'!C21</t>
  </si>
  <si>
    <t>='December 39'!C22</t>
  </si>
  <si>
    <t>='December 39'!C23</t>
  </si>
  <si>
    <t>='Januari 40'!C13</t>
  </si>
  <si>
    <t>='Januari 40'!C14</t>
  </si>
  <si>
    <t>='Januari 40'!C15</t>
  </si>
  <si>
    <t>='Januari 40'!C16</t>
  </si>
  <si>
    <t>='Januari 40'!C17</t>
  </si>
  <si>
    <t>='Januari 40'!C18</t>
  </si>
  <si>
    <t>='Januari 40'!C19</t>
  </si>
  <si>
    <t>='Januari 40'!C20</t>
  </si>
  <si>
    <t>='Januari 40'!C21</t>
  </si>
  <si>
    <t>='Januari 40'!C22</t>
  </si>
  <si>
    <t>='Januari 40'!C23</t>
  </si>
  <si>
    <t>='Februari 40'!C13</t>
  </si>
  <si>
    <t>='Februari 40'!C14</t>
  </si>
  <si>
    <t>='Februari 40'!C15</t>
  </si>
  <si>
    <t>='Februari 40'!C16</t>
  </si>
  <si>
    <t>='Februari 40'!C17</t>
  </si>
  <si>
    <t>='Februari 40'!C18</t>
  </si>
  <si>
    <t>='Februari 40'!C19</t>
  </si>
  <si>
    <t>='Februari 40'!C20</t>
  </si>
  <si>
    <t>='Februari 40'!C21</t>
  </si>
  <si>
    <t>='Februari 40'!C22</t>
  </si>
  <si>
    <t>='Februari 40'!C23</t>
  </si>
  <si>
    <t>='Mars 40'!C13</t>
  </si>
  <si>
    <t>='Mars 40'!C14</t>
  </si>
  <si>
    <t>='Mars 40'!C15</t>
  </si>
  <si>
    <t>='Mars 40'!C16</t>
  </si>
  <si>
    <t>='Mars 40'!C17</t>
  </si>
  <si>
    <t>='Mars 40'!C18</t>
  </si>
  <si>
    <t>='Mars 40'!C19</t>
  </si>
  <si>
    <t>='Mars 40'!C20</t>
  </si>
  <si>
    <t>='Mars 40'!C21</t>
  </si>
  <si>
    <t>='Mars 40'!C22</t>
  </si>
  <si>
    <t>='Mars 40'!C23</t>
  </si>
  <si>
    <t>='April 40'!C13</t>
  </si>
  <si>
    <t>='April 40'!C14</t>
  </si>
  <si>
    <t>='April 40'!C15</t>
  </si>
  <si>
    <t>='April 40'!C16</t>
  </si>
  <si>
    <t>='April 40'!C17</t>
  </si>
  <si>
    <t>='April 40'!C18</t>
  </si>
  <si>
    <t>='April 40'!C19</t>
  </si>
  <si>
    <t>='April 40'!C20</t>
  </si>
  <si>
    <t>='April 40'!C21</t>
  </si>
  <si>
    <t>='April 40'!C22</t>
  </si>
  <si>
    <t>='April 40'!C23</t>
  </si>
  <si>
    <t>='Maj 40'!C13</t>
  </si>
  <si>
    <t>='Maj 40'!C14</t>
  </si>
  <si>
    <t>='Maj 40'!C15</t>
  </si>
  <si>
    <t>='Maj 40'!C16</t>
  </si>
  <si>
    <t>='Maj 40'!C17</t>
  </si>
  <si>
    <t>='Maj 40'!C18</t>
  </si>
  <si>
    <t>='Maj 40'!C19</t>
  </si>
  <si>
    <t>='Maj 40'!C20</t>
  </si>
  <si>
    <t>='Maj 40'!C21</t>
  </si>
  <si>
    <t>='Maj 40'!C22</t>
  </si>
  <si>
    <t>='Maj 40'!C23</t>
  </si>
  <si>
    <t>='Juni 40'!C13</t>
  </si>
  <si>
    <t>='Juni 40'!C14</t>
  </si>
  <si>
    <t>='Juni 40'!C15</t>
  </si>
  <si>
    <t>='Juni 40'!C16</t>
  </si>
  <si>
    <t>='Juni 40'!C17</t>
  </si>
  <si>
    <t>='Juni 40'!C18</t>
  </si>
  <si>
    <t>='Juni 40'!C19</t>
  </si>
  <si>
    <t>='Juni 40'!C20</t>
  </si>
  <si>
    <t>='Juni 40'!C21</t>
  </si>
  <si>
    <t>='Juni 40'!C22</t>
  </si>
  <si>
    <t>='Juni 40'!C23</t>
  </si>
  <si>
    <t>='Juli 40'!C13</t>
  </si>
  <si>
    <t>='Juli 40'!C14</t>
  </si>
  <si>
    <t>='Juli 40'!C15</t>
  </si>
  <si>
    <t>='Juli 40'!C16</t>
  </si>
  <si>
    <t>='Juli 40'!C17</t>
  </si>
  <si>
    <t>='Juli 40'!C18</t>
  </si>
  <si>
    <t>='Juli 40'!C19</t>
  </si>
  <si>
    <t>='Juli 40'!C20</t>
  </si>
  <si>
    <t>='Juli 40'!C21</t>
  </si>
  <si>
    <t>='Juli 40'!C22</t>
  </si>
  <si>
    <t>='Juli 40'!C23</t>
  </si>
  <si>
    <t>='Augusti 40'!C13</t>
  </si>
  <si>
    <t>='Augusti 40'!C14</t>
  </si>
  <si>
    <t>='Augusti 40'!C15</t>
  </si>
  <si>
    <t>='Augusti 40'!C16</t>
  </si>
  <si>
    <t>='Augusti 40'!C17</t>
  </si>
  <si>
    <t>='Augusti 40'!C18</t>
  </si>
  <si>
    <t>='Augusti 40'!C19</t>
  </si>
  <si>
    <t>='Augusti 40'!C20</t>
  </si>
  <si>
    <t>='Augusti 40'!C21</t>
  </si>
  <si>
    <t>='Augusti 40'!C22</t>
  </si>
  <si>
    <t>='Augusti 40'!C23</t>
  </si>
  <si>
    <t>='September 40'!C13</t>
  </si>
  <si>
    <t>='September 40'!C14</t>
  </si>
  <si>
    <t>='September 40'!C15</t>
  </si>
  <si>
    <t>='September 40'!C16</t>
  </si>
  <si>
    <t>='September 40'!C17</t>
  </si>
  <si>
    <t>='September 40'!C18</t>
  </si>
  <si>
    <t>='September 40'!C19</t>
  </si>
  <si>
    <t>='September 40'!C20</t>
  </si>
  <si>
    <t>='September 40'!C21</t>
  </si>
  <si>
    <t>='September 40'!C22</t>
  </si>
  <si>
    <t>='September 40'!C23</t>
  </si>
  <si>
    <t>='Oktober 40'!C13</t>
  </si>
  <si>
    <t>='Oktober 40'!C14</t>
  </si>
  <si>
    <t>='Oktober 40'!C15</t>
  </si>
  <si>
    <t>='Oktober 40'!C16</t>
  </si>
  <si>
    <t>='Oktober 40'!C17</t>
  </si>
  <si>
    <t>='Oktober 40'!C18</t>
  </si>
  <si>
    <t>='Oktober 40'!C19</t>
  </si>
  <si>
    <t>='Oktober 40'!C20</t>
  </si>
  <si>
    <t>='Oktober 40'!C21</t>
  </si>
  <si>
    <t>='Oktober 40'!C22</t>
  </si>
  <si>
    <t>='Oktober 40'!C23</t>
  </si>
  <si>
    <t>='November 40'!C13</t>
  </si>
  <si>
    <t>='November 40'!C14</t>
  </si>
  <si>
    <t>='November 40'!C15</t>
  </si>
  <si>
    <t>='November 40'!C16</t>
  </si>
  <si>
    <t>='November 40'!C17</t>
  </si>
  <si>
    <t>='November 40'!C18</t>
  </si>
  <si>
    <t>='November 40'!C19</t>
  </si>
  <si>
    <t>='November 40'!C20</t>
  </si>
  <si>
    <t>='November 40'!C21</t>
  </si>
  <si>
    <t>='November 40'!C22</t>
  </si>
  <si>
    <t>='November 40'!C23</t>
  </si>
  <si>
    <t>='December 40'!C13</t>
  </si>
  <si>
    <t>='December 40'!C14</t>
  </si>
  <si>
    <t>='December 40'!C15</t>
  </si>
  <si>
    <t>='December 40'!C16</t>
  </si>
  <si>
    <t>='December 40'!C17</t>
  </si>
  <si>
    <t>='December 40'!C18</t>
  </si>
  <si>
    <t>='December 40'!C19</t>
  </si>
  <si>
    <t>='December 40'!C20</t>
  </si>
  <si>
    <t>='December 40'!C21</t>
  </si>
  <si>
    <t>='December 40'!C22</t>
  </si>
  <si>
    <t>='December 40'!C23</t>
  </si>
  <si>
    <t>='Januari 41'!C13</t>
  </si>
  <si>
    <t>='Januari 41'!C14</t>
  </si>
  <si>
    <t>='Januari 41'!C15</t>
  </si>
  <si>
    <t>='Januari 41'!C16</t>
  </si>
  <si>
    <t>='Januari 41'!C17</t>
  </si>
  <si>
    <t>='Januari 41'!C18</t>
  </si>
  <si>
    <t>='Januari 41'!C19</t>
  </si>
  <si>
    <t>='Januari 41'!C20</t>
  </si>
  <si>
    <t>='Januari 41'!C21</t>
  </si>
  <si>
    <t>='Januari 41'!C22</t>
  </si>
  <si>
    <t>='Januari 41'!C23</t>
  </si>
  <si>
    <t>='Februari 41'!C13</t>
  </si>
  <si>
    <t>='Februari 41'!C14</t>
  </si>
  <si>
    <t>='Februari 41'!C15</t>
  </si>
  <si>
    <t>='Februari 41'!C16</t>
  </si>
  <si>
    <t>='Februari 41'!C17</t>
  </si>
  <si>
    <t>='Februari 41'!C18</t>
  </si>
  <si>
    <t>='Februari 41'!C19</t>
  </si>
  <si>
    <t>='Februari 41'!C20</t>
  </si>
  <si>
    <t>='Februari 41'!C21</t>
  </si>
  <si>
    <t>='Februari 41'!C22</t>
  </si>
  <si>
    <t>='Februari 41'!C23</t>
  </si>
  <si>
    <t>='Mars 41'!C13</t>
  </si>
  <si>
    <t>='Mars 41'!C14</t>
  </si>
  <si>
    <t>='Mars 41'!C15</t>
  </si>
  <si>
    <t>='Mars 41'!C16</t>
  </si>
  <si>
    <t>='Mars 41'!C17</t>
  </si>
  <si>
    <t>='Mars 41'!C18</t>
  </si>
  <si>
    <t>='Mars 41'!C19</t>
  </si>
  <si>
    <t>='Mars 41'!C20</t>
  </si>
  <si>
    <t>='Mars 41'!C21</t>
  </si>
  <si>
    <t>='Mars 41'!C22</t>
  </si>
  <si>
    <t>='Mars 41'!C23</t>
  </si>
  <si>
    <t>='April 41'!C13</t>
  </si>
  <si>
    <t>='April 41'!C14</t>
  </si>
  <si>
    <t>='April 41'!C15</t>
  </si>
  <si>
    <t>='April 41'!C16</t>
  </si>
  <si>
    <t>='April 41'!C17</t>
  </si>
  <si>
    <t>='April 41'!C18</t>
  </si>
  <si>
    <t>='April 41'!C19</t>
  </si>
  <si>
    <t>='April 41'!C20</t>
  </si>
  <si>
    <t>='April 41'!C21</t>
  </si>
  <si>
    <t>='April 41'!C22</t>
  </si>
  <si>
    <t>='April 41'!C23</t>
  </si>
  <si>
    <t>='Maj 41'!C13</t>
  </si>
  <si>
    <t>='Maj 41'!C14</t>
  </si>
  <si>
    <t>='Maj 41'!C15</t>
  </si>
  <si>
    <t>='Maj 41'!C16</t>
  </si>
  <si>
    <t>='Maj 41'!C17</t>
  </si>
  <si>
    <t>='Maj 41'!C18</t>
  </si>
  <si>
    <t>='Maj 41'!C19</t>
  </si>
  <si>
    <t>='Maj 41'!C20</t>
  </si>
  <si>
    <t>='Maj 41'!C21</t>
  </si>
  <si>
    <t>='Maj 41'!C22</t>
  </si>
  <si>
    <t>='Maj 41'!C23</t>
  </si>
  <si>
    <t>='Juni 41'!C13</t>
  </si>
  <si>
    <t>='Juni 41'!C14</t>
  </si>
  <si>
    <t>='Juni 41'!C15</t>
  </si>
  <si>
    <t>='Juni 41'!C16</t>
  </si>
  <si>
    <t>='Juni 41'!C17</t>
  </si>
  <si>
    <t>='Juni 41'!C18</t>
  </si>
  <si>
    <t>='Juni 41'!C19</t>
  </si>
  <si>
    <t>='Juni 41'!C20</t>
  </si>
  <si>
    <t>='Juni 41'!C21</t>
  </si>
  <si>
    <t>='Juni 41'!C22</t>
  </si>
  <si>
    <t>='Juni 41'!C23</t>
  </si>
  <si>
    <t>='Juli 41'!C13</t>
  </si>
  <si>
    <t>='Juli 41'!C14</t>
  </si>
  <si>
    <t>='Juli 41'!C15</t>
  </si>
  <si>
    <t>='Juli 41'!C16</t>
  </si>
  <si>
    <t>='Juli 41'!C17</t>
  </si>
  <si>
    <t>='Juli 41'!C18</t>
  </si>
  <si>
    <t>='Juli 41'!C19</t>
  </si>
  <si>
    <t>='Juli 41'!C20</t>
  </si>
  <si>
    <t>='Juli 41'!C21</t>
  </si>
  <si>
    <t>='Juli 41'!C22</t>
  </si>
  <si>
    <t>='Juli 41'!C23</t>
  </si>
  <si>
    <t>='Augusti 41'!C13</t>
  </si>
  <si>
    <t>='Augusti 41'!C14</t>
  </si>
  <si>
    <t>='Augusti 41'!C15</t>
  </si>
  <si>
    <t>='Augusti 41'!C16</t>
  </si>
  <si>
    <t>='Augusti 41'!C17</t>
  </si>
  <si>
    <t>='Augusti 41'!C18</t>
  </si>
  <si>
    <t>='Augusti 41'!C19</t>
  </si>
  <si>
    <t>='Augusti 41'!C20</t>
  </si>
  <si>
    <t>='Augusti 41'!C21</t>
  </si>
  <si>
    <t>='Augusti 41'!C22</t>
  </si>
  <si>
    <t>='Augusti 41'!C23</t>
  </si>
  <si>
    <t>='September 41'!C13</t>
  </si>
  <si>
    <t>='September 41'!C14</t>
  </si>
  <si>
    <t>='September 41'!C15</t>
  </si>
  <si>
    <t>='September 41'!C16</t>
  </si>
  <si>
    <t>='September 41'!C17</t>
  </si>
  <si>
    <t>='September 41'!C18</t>
  </si>
  <si>
    <t>='September 41'!C19</t>
  </si>
  <si>
    <t>='September 41'!C20</t>
  </si>
  <si>
    <t>='September 41'!C21</t>
  </si>
  <si>
    <t>='September 41'!C22</t>
  </si>
  <si>
    <t>='September 41'!C23</t>
  </si>
  <si>
    <t>='Oktober 41'!C13</t>
  </si>
  <si>
    <t>='Oktober 41'!C14</t>
  </si>
  <si>
    <t>='Oktober 41'!C15</t>
  </si>
  <si>
    <t>='Oktober 41'!C16</t>
  </si>
  <si>
    <t>='Oktober 41'!C17</t>
  </si>
  <si>
    <t>='Oktober 41'!C18</t>
  </si>
  <si>
    <t>='Oktober 41'!C19</t>
  </si>
  <si>
    <t>='Oktober 41'!C20</t>
  </si>
  <si>
    <t>='Oktober 41'!C21</t>
  </si>
  <si>
    <t>='Oktober 41'!C22</t>
  </si>
  <si>
    <t>='Oktober 41'!C23</t>
  </si>
  <si>
    <t>='November 41'!C13</t>
  </si>
  <si>
    <t>='November 41'!C14</t>
  </si>
  <si>
    <t>='November 41'!C15</t>
  </si>
  <si>
    <t>='November 41'!C16</t>
  </si>
  <si>
    <t>='November 41'!C17</t>
  </si>
  <si>
    <t>='November 41'!C18</t>
  </si>
  <si>
    <t>='November 41'!C19</t>
  </si>
  <si>
    <t>='November 41'!C20</t>
  </si>
  <si>
    <t>='November 41'!C21</t>
  </si>
  <si>
    <t>='November 41'!C22</t>
  </si>
  <si>
    <t>='November 41'!C23</t>
  </si>
  <si>
    <t>='December 41'!C13</t>
  </si>
  <si>
    <t>='December 41'!C14</t>
  </si>
  <si>
    <t>='December 41'!C15</t>
  </si>
  <si>
    <t>='December 41'!C16</t>
  </si>
  <si>
    <t>='December 41'!C17</t>
  </si>
  <si>
    <t>='December 41'!C18</t>
  </si>
  <si>
    <t>='December 41'!C19</t>
  </si>
  <si>
    <t>='December 41'!C20</t>
  </si>
  <si>
    <t>='December 41'!C21</t>
  </si>
  <si>
    <t>='December 41'!C22</t>
  </si>
  <si>
    <t>='December 41'!C23</t>
  </si>
  <si>
    <t>='Januari 42'!C13</t>
  </si>
  <si>
    <t>='Januari 42'!C14</t>
  </si>
  <si>
    <t>='Januari 42'!C15</t>
  </si>
  <si>
    <t>='Januari 42'!C16</t>
  </si>
  <si>
    <t>='Januari 42'!C17</t>
  </si>
  <si>
    <t>='Januari 42'!C18</t>
  </si>
  <si>
    <t>='Januari 42'!C19</t>
  </si>
  <si>
    <t>='Januari 42'!C20</t>
  </si>
  <si>
    <t>='Januari 42'!C21</t>
  </si>
  <si>
    <t>='Januari 42'!C22</t>
  </si>
  <si>
    <t>='Januari 42'!C23</t>
  </si>
  <si>
    <t>='Februari 42'!C13</t>
  </si>
  <si>
    <t>='Februari 42'!C14</t>
  </si>
  <si>
    <t>='Februari 42'!C15</t>
  </si>
  <si>
    <t>='Februari 42'!C16</t>
  </si>
  <si>
    <t>='Februari 42'!C17</t>
  </si>
  <si>
    <t>='Februari 42'!C18</t>
  </si>
  <si>
    <t>='Februari 42'!C19</t>
  </si>
  <si>
    <t>='Februari 42'!C20</t>
  </si>
  <si>
    <t>='Februari 42'!C21</t>
  </si>
  <si>
    <t>='Februari 42'!C22</t>
  </si>
  <si>
    <t>='Februari 42'!C23</t>
  </si>
  <si>
    <t>='Mars 42'!C13</t>
  </si>
  <si>
    <t>='Mars 42'!C14</t>
  </si>
  <si>
    <t>='Mars 42'!C15</t>
  </si>
  <si>
    <t>='Mars 42'!C16</t>
  </si>
  <si>
    <t>='Mars 42'!C17</t>
  </si>
  <si>
    <t>='Mars 42'!C18</t>
  </si>
  <si>
    <t>='Mars 42'!C19</t>
  </si>
  <si>
    <t>='Mars 42'!C20</t>
  </si>
  <si>
    <t>='Mars 42'!C21</t>
  </si>
  <si>
    <t>='Mars 42'!C22</t>
  </si>
  <si>
    <t>='Mars 42'!C23</t>
  </si>
  <si>
    <t>='April 42'!C13</t>
  </si>
  <si>
    <t>='April 42'!C14</t>
  </si>
  <si>
    <t>='April 42'!C15</t>
  </si>
  <si>
    <t>='April 42'!C16</t>
  </si>
  <si>
    <t>='April 42'!C17</t>
  </si>
  <si>
    <t>='April 42'!C18</t>
  </si>
  <si>
    <t>='April 42'!C19</t>
  </si>
  <si>
    <t>='April 42'!C20</t>
  </si>
  <si>
    <t>='April 42'!C21</t>
  </si>
  <si>
    <t>='April 42'!C22</t>
  </si>
  <si>
    <t>='April 42'!C23</t>
  </si>
  <si>
    <t>='Maj 42'!C13</t>
  </si>
  <si>
    <t>='Maj 42'!C14</t>
  </si>
  <si>
    <t>='Maj 42'!C15</t>
  </si>
  <si>
    <t>='Maj 42'!C16</t>
  </si>
  <si>
    <t>='Maj 42'!C17</t>
  </si>
  <si>
    <t>='Maj 42'!C18</t>
  </si>
  <si>
    <t>='Maj 42'!C19</t>
  </si>
  <si>
    <t>='Maj 42'!C20</t>
  </si>
  <si>
    <t>='Maj 42'!C21</t>
  </si>
  <si>
    <t>='Maj 42'!C22</t>
  </si>
  <si>
    <t>='Maj 42'!C23</t>
  </si>
  <si>
    <t>='Juni 42'!C13</t>
  </si>
  <si>
    <t>='Juni 42'!C14</t>
  </si>
  <si>
    <t>='Juni 42'!C15</t>
  </si>
  <si>
    <t>='Juni 42'!C16</t>
  </si>
  <si>
    <t>='Juni 42'!C17</t>
  </si>
  <si>
    <t>='Juni 42'!C18</t>
  </si>
  <si>
    <t>='Juni 42'!C19</t>
  </si>
  <si>
    <t>='Juni 42'!C20</t>
  </si>
  <si>
    <t>='Juni 42'!C21</t>
  </si>
  <si>
    <t>='Juni 42'!C22</t>
  </si>
  <si>
    <t>='Juni 42'!C23</t>
  </si>
  <si>
    <t>='Juli 42'!C13</t>
  </si>
  <si>
    <t>='Juli 42'!C14</t>
  </si>
  <si>
    <t>='Juli 42'!C15</t>
  </si>
  <si>
    <t>='Juli 42'!C16</t>
  </si>
  <si>
    <t>='Juli 42'!C17</t>
  </si>
  <si>
    <t>='Juli 42'!C18</t>
  </si>
  <si>
    <t>='Juli 42'!C19</t>
  </si>
  <si>
    <t>='Juli 42'!C20</t>
  </si>
  <si>
    <t>='Juli 42'!C21</t>
  </si>
  <si>
    <t>='Juli 42'!C22</t>
  </si>
  <si>
    <t>='Juli 42'!C23</t>
  </si>
  <si>
    <t>='Augusti 42'!C13</t>
  </si>
  <si>
    <t>='Augusti 42'!C14</t>
  </si>
  <si>
    <t>='Augusti 42'!C15</t>
  </si>
  <si>
    <t>='Augusti 42'!C16</t>
  </si>
  <si>
    <t>='Augusti 42'!C17</t>
  </si>
  <si>
    <t>='Augusti 42'!C18</t>
  </si>
  <si>
    <t>='Augusti 42'!C19</t>
  </si>
  <si>
    <t>='Augusti 42'!C20</t>
  </si>
  <si>
    <t>='Augusti 42'!C21</t>
  </si>
  <si>
    <t>='Augusti 42'!C22</t>
  </si>
  <si>
    <t>='Augusti 42'!C23</t>
  </si>
  <si>
    <t>='September 42'!C13</t>
  </si>
  <si>
    <t>='September 42'!C14</t>
  </si>
  <si>
    <t>='September 42'!C15</t>
  </si>
  <si>
    <t>='September 42'!C16</t>
  </si>
  <si>
    <t>='September 42'!C17</t>
  </si>
  <si>
    <t>='September 42'!C18</t>
  </si>
  <si>
    <t>='September 42'!C19</t>
  </si>
  <si>
    <t>='September 42'!C20</t>
  </si>
  <si>
    <t>='September 42'!C21</t>
  </si>
  <si>
    <t>='September 42'!C22</t>
  </si>
  <si>
    <t>='September 42'!C23</t>
  </si>
  <si>
    <t>='Oktober 42'!C13</t>
  </si>
  <si>
    <t>='Oktober 42'!C14</t>
  </si>
  <si>
    <t>='Oktober 42'!C15</t>
  </si>
  <si>
    <t>='Oktober 42'!C16</t>
  </si>
  <si>
    <t>='Oktober 42'!C17</t>
  </si>
  <si>
    <t>='Oktober 42'!C18</t>
  </si>
  <si>
    <t>='Oktober 42'!C19</t>
  </si>
  <si>
    <t>='Oktober 42'!C20</t>
  </si>
  <si>
    <t>='Oktober 42'!C21</t>
  </si>
  <si>
    <t>='Oktober 42'!C22</t>
  </si>
  <si>
    <t>='Oktober 42'!C23</t>
  </si>
  <si>
    <t>='November 42'!C13</t>
  </si>
  <si>
    <t>='November 42'!C14</t>
  </si>
  <si>
    <t>='November 42'!C15</t>
  </si>
  <si>
    <t>='November 42'!C16</t>
  </si>
  <si>
    <t>='November 42'!C17</t>
  </si>
  <si>
    <t>='November 42'!C18</t>
  </si>
  <si>
    <t>='November 42'!C19</t>
  </si>
  <si>
    <t>='November 42'!C20</t>
  </si>
  <si>
    <t>='November 42'!C21</t>
  </si>
  <si>
    <t>='November 42'!C22</t>
  </si>
  <si>
    <t>='November 42'!C23</t>
  </si>
  <si>
    <t>='December 42'!C13</t>
  </si>
  <si>
    <t>='December 42'!C14</t>
  </si>
  <si>
    <t>='December 42'!C15</t>
  </si>
  <si>
    <t>='December 42'!C16</t>
  </si>
  <si>
    <t>='December 42'!C17</t>
  </si>
  <si>
    <t>='December 42'!C18</t>
  </si>
  <si>
    <t>='December 42'!C19</t>
  </si>
  <si>
    <t>='December 42'!C20</t>
  </si>
  <si>
    <t>='December 42'!C21</t>
  </si>
  <si>
    <t>='December 42'!C22</t>
  </si>
  <si>
    <t>='December 42'!C23</t>
  </si>
  <si>
    <t>='Januari 43'!C13</t>
  </si>
  <si>
    <t>='Januari 43'!C14</t>
  </si>
  <si>
    <t>='Januari 43'!C15</t>
  </si>
  <si>
    <t>='Januari 43'!C16</t>
  </si>
  <si>
    <t>='Januari 43'!C17</t>
  </si>
  <si>
    <t>='Januari 43'!C18</t>
  </si>
  <si>
    <t>='Januari 43'!C19</t>
  </si>
  <si>
    <t>='Januari 43'!C20</t>
  </si>
  <si>
    <t>='Januari 43'!C21</t>
  </si>
  <si>
    <t>='Januari 43'!C22</t>
  </si>
  <si>
    <t>='Januari 43'!C23</t>
  </si>
  <si>
    <t>='Februari 43'!C13</t>
  </si>
  <si>
    <t>='Februari 43'!C14</t>
  </si>
  <si>
    <t>='Februari 43'!C15</t>
  </si>
  <si>
    <t>='Februari 43'!C16</t>
  </si>
  <si>
    <t>='Februari 43'!C17</t>
  </si>
  <si>
    <t>='Februari 43'!C18</t>
  </si>
  <si>
    <t>='Februari 43'!C19</t>
  </si>
  <si>
    <t>='Februari 43'!C20</t>
  </si>
  <si>
    <t>='Februari 43'!C21</t>
  </si>
  <si>
    <t>='Februari 43'!C22</t>
  </si>
  <si>
    <t>='Februari 43'!C23</t>
  </si>
  <si>
    <t>='Mars 43'!C13</t>
  </si>
  <si>
    <t>='Mars 43'!C14</t>
  </si>
  <si>
    <t>='Mars 43'!C15</t>
  </si>
  <si>
    <t>='Mars 43'!C16</t>
  </si>
  <si>
    <t>='Mars 43'!C17</t>
  </si>
  <si>
    <t>='Mars 43'!C18</t>
  </si>
  <si>
    <t>='Mars 43'!C19</t>
  </si>
  <si>
    <t>='Mars 43'!C20</t>
  </si>
  <si>
    <t>='Mars 43'!C21</t>
  </si>
  <si>
    <t>='Mars 43'!C22</t>
  </si>
  <si>
    <t>='Mars 43'!C23</t>
  </si>
  <si>
    <t>='April 43'!C13</t>
  </si>
  <si>
    <t>='April 43'!C14</t>
  </si>
  <si>
    <t>='April 43'!C15</t>
  </si>
  <si>
    <t>='April 43'!C16</t>
  </si>
  <si>
    <t>='April 43'!C17</t>
  </si>
  <si>
    <t>='April 43'!C18</t>
  </si>
  <si>
    <t>='April 43'!C19</t>
  </si>
  <si>
    <t>='April 43'!C20</t>
  </si>
  <si>
    <t>='April 43'!C21</t>
  </si>
  <si>
    <t>='April 43'!C22</t>
  </si>
  <si>
    <t>='April 43'!C23</t>
  </si>
  <si>
    <t>='Maj 43'!C13</t>
  </si>
  <si>
    <t>='Maj 43'!C14</t>
  </si>
  <si>
    <t>='Maj 43'!C15</t>
  </si>
  <si>
    <t>='Maj 43'!C16</t>
  </si>
  <si>
    <t>='Maj 43'!C17</t>
  </si>
  <si>
    <t>='Maj 43'!C18</t>
  </si>
  <si>
    <t>='Maj 43'!C19</t>
  </si>
  <si>
    <t>='Maj 43'!C20</t>
  </si>
  <si>
    <t>='Maj 43'!C21</t>
  </si>
  <si>
    <t>='Maj 43'!C22</t>
  </si>
  <si>
    <t>='Maj 43'!C23</t>
  </si>
  <si>
    <t>='Juni 43'!C13</t>
  </si>
  <si>
    <t>='Juni 43'!C14</t>
  </si>
  <si>
    <t>='Juni 43'!C15</t>
  </si>
  <si>
    <t>='Juni 43'!C16</t>
  </si>
  <si>
    <t>='Juni 43'!C17</t>
  </si>
  <si>
    <t>='Juni 43'!C18</t>
  </si>
  <si>
    <t>='Juni 43'!C19</t>
  </si>
  <si>
    <t>='Juni 43'!C20</t>
  </si>
  <si>
    <t>='Juni 43'!C21</t>
  </si>
  <si>
    <t>='Juni 43'!C22</t>
  </si>
  <si>
    <t>='Juni 43'!C23</t>
  </si>
  <si>
    <t>='Juli 43'!C13</t>
  </si>
  <si>
    <t>='Juli 43'!C14</t>
  </si>
  <si>
    <t>='Juli 43'!C15</t>
  </si>
  <si>
    <t>='Juli 43'!C16</t>
  </si>
  <si>
    <t>='Juli 43'!C17</t>
  </si>
  <si>
    <t>='Juli 43'!C18</t>
  </si>
  <si>
    <t>='Juli 43'!C19</t>
  </si>
  <si>
    <t>='Juli 43'!C20</t>
  </si>
  <si>
    <t>='Juli 43'!C21</t>
  </si>
  <si>
    <t>='Juli 43'!C22</t>
  </si>
  <si>
    <t>='Juli 43'!C23</t>
  </si>
  <si>
    <t>='Augusti 43'!C13</t>
  </si>
  <si>
    <t>='Augusti 43'!C14</t>
  </si>
  <si>
    <t>='Augusti 43'!C15</t>
  </si>
  <si>
    <t>='Augusti 43'!C16</t>
  </si>
  <si>
    <t>='Augusti 43'!C17</t>
  </si>
  <si>
    <t>='Augusti 43'!C18</t>
  </si>
  <si>
    <t>='Augusti 43'!C19</t>
  </si>
  <si>
    <t>='Augusti 43'!C20</t>
  </si>
  <si>
    <t>='Augusti 43'!C21</t>
  </si>
  <si>
    <t>='Augusti 43'!C22</t>
  </si>
  <si>
    <t>='Augusti 43'!C23</t>
  </si>
  <si>
    <t>Värde:</t>
  </si>
  <si>
    <t>C24</t>
  </si>
  <si>
    <t>='Augusti 18'!C24</t>
  </si>
  <si>
    <t>='September 18'!C24</t>
  </si>
  <si>
    <t>='Oktober 18'!C24</t>
  </si>
  <si>
    <t>='November 18'!C24</t>
  </si>
  <si>
    <t>='December 18'!C24</t>
  </si>
  <si>
    <t>='Januari 19'!C24</t>
  </si>
  <si>
    <t>='Februari 19'!C24</t>
  </si>
  <si>
    <t>='Mars 19'!C24</t>
  </si>
  <si>
    <t>='April 19'!C24</t>
  </si>
  <si>
    <t>='Maj 19'!C24</t>
  </si>
  <si>
    <t>='Juni 19'!C24</t>
  </si>
  <si>
    <t>='Juli 19'!C24</t>
  </si>
  <si>
    <t>='Augusti 19'!C24</t>
  </si>
  <si>
    <t>='September 19'!C24</t>
  </si>
  <si>
    <t>='Oktober 19'!C24</t>
  </si>
  <si>
    <t>='November 19'!C24</t>
  </si>
  <si>
    <t>='December 19'!C24</t>
  </si>
  <si>
    <t>='Januari 20'!C24</t>
  </si>
  <si>
    <t>='Februari 20'!C24</t>
  </si>
  <si>
    <t>='Mars 20'!C24</t>
  </si>
  <si>
    <t>='April 20'!C24</t>
  </si>
  <si>
    <t>='Maj 20'!C24</t>
  </si>
  <si>
    <t>='Juni 20'!C24</t>
  </si>
  <si>
    <t>='Juli 20'!C24</t>
  </si>
  <si>
    <t>='Augusti 20'!C24</t>
  </si>
  <si>
    <t>='September 20'!C24</t>
  </si>
  <si>
    <t>='Oktober 20'!C24</t>
  </si>
  <si>
    <t>='November 20'!C24</t>
  </si>
  <si>
    <t>='December 20'!C24</t>
  </si>
  <si>
    <t>='Januari 21'!C24</t>
  </si>
  <si>
    <t>='Februari 21'!C24</t>
  </si>
  <si>
    <t>='Mars 21'!C24</t>
  </si>
  <si>
    <t>='April 21'!C24</t>
  </si>
  <si>
    <t>='Maj 21'!C24</t>
  </si>
  <si>
    <t>='Juni 21'!C24</t>
  </si>
  <si>
    <t>='Juli 21'!C24</t>
  </si>
  <si>
    <t>='Augusti 21'!C24</t>
  </si>
  <si>
    <t>='September 21'!C24</t>
  </si>
  <si>
    <t>='Oktober 21'!C24</t>
  </si>
  <si>
    <t>='November 21'!C24</t>
  </si>
  <si>
    <t>='December 21'!C24</t>
  </si>
  <si>
    <t>='Januari 22'!C24</t>
  </si>
  <si>
    <t>='Februari 22'!C24</t>
  </si>
  <si>
    <t>='Mars 22'!C24</t>
  </si>
  <si>
    <t>='April 22'!C24</t>
  </si>
  <si>
    <t>='Maj 22'!C24</t>
  </si>
  <si>
    <t>='Juni 22'!C24</t>
  </si>
  <si>
    <t>='Juli 22'!C24</t>
  </si>
  <si>
    <t>='Augusti 22'!C24</t>
  </si>
  <si>
    <t>='September 22'!C24</t>
  </si>
  <si>
    <t>='Oktober 22'!C24</t>
  </si>
  <si>
    <t>='November 22'!C24</t>
  </si>
  <si>
    <t>='December 22'!C24</t>
  </si>
  <si>
    <t>='Januari 23'!C24</t>
  </si>
  <si>
    <t>='Februari 23'!C24</t>
  </si>
  <si>
    <t>='Mars 23'!C24</t>
  </si>
  <si>
    <t>='April 23'!C24</t>
  </si>
  <si>
    <t>='Maj 23'!C24</t>
  </si>
  <si>
    <t>='Juni 23'!C24</t>
  </si>
  <si>
    <t>='Juli 23'!C24</t>
  </si>
  <si>
    <t>='Augusti 23'!C24</t>
  </si>
  <si>
    <t>='September 23'!C24</t>
  </si>
  <si>
    <t>='Oktober 23'!C24</t>
  </si>
  <si>
    <t>='November 23'!C24</t>
  </si>
  <si>
    <t>='December 23'!C24</t>
  </si>
  <si>
    <t>='Januari 24'!C24</t>
  </si>
  <si>
    <t>='Februari 24'!C24</t>
  </si>
  <si>
    <t>='Mars 24'!C24</t>
  </si>
  <si>
    <t>='April 24'!C24</t>
  </si>
  <si>
    <t>='Maj 24'!C24</t>
  </si>
  <si>
    <t>='Juni 24'!C24</t>
  </si>
  <si>
    <t>='Juli 24'!C24</t>
  </si>
  <si>
    <t>='Augusti 24'!C24</t>
  </si>
  <si>
    <t>='September 24'!C24</t>
  </si>
  <si>
    <t>='Oktober 24'!C24</t>
  </si>
  <si>
    <t>='November 24'!C24</t>
  </si>
  <si>
    <t>='December 24'!C24</t>
  </si>
  <si>
    <t>='Januari 25'!C24</t>
  </si>
  <si>
    <t>='Februari 25'!C24</t>
  </si>
  <si>
    <t>='Mars 25'!C24</t>
  </si>
  <si>
    <t>='April 25'!C24</t>
  </si>
  <si>
    <t>='Maj 25'!C24</t>
  </si>
  <si>
    <t>='Juni 25'!C24</t>
  </si>
  <si>
    <t>='Juli 25'!C24</t>
  </si>
  <si>
    <t>='Augusti 25'!C24</t>
  </si>
  <si>
    <t>='September 25'!C24</t>
  </si>
  <si>
    <t>='Oktober 25'!C24</t>
  </si>
  <si>
    <t>='November 25'!C24</t>
  </si>
  <si>
    <t>='December 25'!C24</t>
  </si>
  <si>
    <t>='Januari 26'!C24</t>
  </si>
  <si>
    <t>='Februari 26'!C24</t>
  </si>
  <si>
    <t>='Mars 26'!C24</t>
  </si>
  <si>
    <t>='April 26'!C24</t>
  </si>
  <si>
    <t>='Maj 26'!C24</t>
  </si>
  <si>
    <t>='Juni 26'!C24</t>
  </si>
  <si>
    <t>='Juli 26'!C24</t>
  </si>
  <si>
    <t>='Augusti 26'!C24</t>
  </si>
  <si>
    <t>='September 26'!C24</t>
  </si>
  <si>
    <t>='Oktober 26'!C24</t>
  </si>
  <si>
    <t>='November 26'!C24</t>
  </si>
  <si>
    <t>='December 26'!C24</t>
  </si>
  <si>
    <t>='Januari 27'!C24</t>
  </si>
  <si>
    <t>='Februari 27'!C24</t>
  </si>
  <si>
    <t>='Mars 27'!C24</t>
  </si>
  <si>
    <t>='April 27'!C24</t>
  </si>
  <si>
    <t>='Maj 27'!C24</t>
  </si>
  <si>
    <t>='Juni 27'!C24</t>
  </si>
  <si>
    <t>='Juli 27'!C24</t>
  </si>
  <si>
    <t>='Augusti 27'!C24</t>
  </si>
  <si>
    <t>='September 27'!C24</t>
  </si>
  <si>
    <t>='Oktober 27'!C24</t>
  </si>
  <si>
    <t>='November 27'!C24</t>
  </si>
  <si>
    <t>='December 27'!C24</t>
  </si>
  <si>
    <t>='Januari 28'!C24</t>
  </si>
  <si>
    <t>='Februari 28'!C24</t>
  </si>
  <si>
    <t>='Mars 28'!C24</t>
  </si>
  <si>
    <t>='April 28'!C24</t>
  </si>
  <si>
    <t>='Maj 28'!C24</t>
  </si>
  <si>
    <t>='Juni 28'!C24</t>
  </si>
  <si>
    <t>='Juli 28'!C24</t>
  </si>
  <si>
    <t>='Augusti 28'!C24</t>
  </si>
  <si>
    <t>='September 28'!C24</t>
  </si>
  <si>
    <t>='Oktober 28'!C24</t>
  </si>
  <si>
    <t>='November 28'!C24</t>
  </si>
  <si>
    <t>='December 28'!C24</t>
  </si>
  <si>
    <t>='Januari 29'!C24</t>
  </si>
  <si>
    <t>='Februari 29'!C24</t>
  </si>
  <si>
    <t>='Mars 29'!C24</t>
  </si>
  <si>
    <t>='April 29'!C24</t>
  </si>
  <si>
    <t>='Maj 29'!C24</t>
  </si>
  <si>
    <t>='Juni 29'!C24</t>
  </si>
  <si>
    <t>='Juli 29'!C24</t>
  </si>
  <si>
    <t>='Augusti 29'!C24</t>
  </si>
  <si>
    <t>='September 29'!C24</t>
  </si>
  <si>
    <t>='Oktober 29'!C24</t>
  </si>
  <si>
    <t>='November 29'!C24</t>
  </si>
  <si>
    <t>='December 29'!C24</t>
  </si>
  <si>
    <t>='Januari 30'!C24</t>
  </si>
  <si>
    <t>='Februari 30'!C24</t>
  </si>
  <si>
    <t>='Mars 30'!C24</t>
  </si>
  <si>
    <t>='April 30'!C24</t>
  </si>
  <si>
    <t>='Maj 30'!C24</t>
  </si>
  <si>
    <t>='Juni 30'!C24</t>
  </si>
  <si>
    <t>='Juli 30'!C24</t>
  </si>
  <si>
    <t>='Augusti 30'!C24</t>
  </si>
  <si>
    <t>='September 30'!C24</t>
  </si>
  <si>
    <t>='Oktober 30'!C24</t>
  </si>
  <si>
    <t>='November 30'!C24</t>
  </si>
  <si>
    <t>='December 30'!C24</t>
  </si>
  <si>
    <t>='Januari 31'!C24</t>
  </si>
  <si>
    <t>='Februari 31'!C24</t>
  </si>
  <si>
    <t>='Mars 31'!C24</t>
  </si>
  <si>
    <t>='April 31'!C24</t>
  </si>
  <si>
    <t>='Maj 31'!C24</t>
  </si>
  <si>
    <t>='Juni 31'!C24</t>
  </si>
  <si>
    <t>='Juli 31'!C24</t>
  </si>
  <si>
    <t>='Augusti 31'!C24</t>
  </si>
  <si>
    <t>='September 31'!C24</t>
  </si>
  <si>
    <t>='Oktober 31'!C24</t>
  </si>
  <si>
    <t>='November 31'!C24</t>
  </si>
  <si>
    <t>='December 31'!C24</t>
  </si>
  <si>
    <t>='Januari 32'!C24</t>
  </si>
  <si>
    <t>='Februari 32'!C24</t>
  </si>
  <si>
    <t>='Mars 32'!C24</t>
  </si>
  <si>
    <t>='April 32'!C24</t>
  </si>
  <si>
    <t>='Maj 32'!C24</t>
  </si>
  <si>
    <t>='Juni 32'!C24</t>
  </si>
  <si>
    <t>='Juli 32'!C24</t>
  </si>
  <si>
    <t>='Augusti 32'!C24</t>
  </si>
  <si>
    <t>='September 32'!C24</t>
  </si>
  <si>
    <t>='Oktober 32'!C24</t>
  </si>
  <si>
    <t>='November 32'!C24</t>
  </si>
  <si>
    <t>='December 32'!C24</t>
  </si>
  <si>
    <t>='Januari 33'!C24</t>
  </si>
  <si>
    <t>='Februari 33'!C24</t>
  </si>
  <si>
    <t>='Mars 33'!C24</t>
  </si>
  <si>
    <t>='April 33'!C24</t>
  </si>
  <si>
    <t>='Maj 33'!C24</t>
  </si>
  <si>
    <t>='Juni 33'!C24</t>
  </si>
  <si>
    <t>='Juli 33'!C24</t>
  </si>
  <si>
    <t>='Augusti 33'!C24</t>
  </si>
  <si>
    <t>='September 33'!C24</t>
  </si>
  <si>
    <t>='Oktober 33'!C24</t>
  </si>
  <si>
    <t>='November 33'!C24</t>
  </si>
  <si>
    <t>='December 33'!C24</t>
  </si>
  <si>
    <t>='Januari 34'!C24</t>
  </si>
  <si>
    <t>='Februari 34'!C24</t>
  </si>
  <si>
    <t>='Mars 34'!C24</t>
  </si>
  <si>
    <t>='April 34'!C24</t>
  </si>
  <si>
    <t>='Maj 34'!C24</t>
  </si>
  <si>
    <t>='Juni 34'!C24</t>
  </si>
  <si>
    <t>='Juli 34'!C24</t>
  </si>
  <si>
    <t>='Augusti 34'!C24</t>
  </si>
  <si>
    <t>='September 34'!C24</t>
  </si>
  <si>
    <t>='Oktober 34'!C24</t>
  </si>
  <si>
    <t>='November 34'!C24</t>
  </si>
  <si>
    <t>='December 34'!C24</t>
  </si>
  <si>
    <t>='Januari 35'!C24</t>
  </si>
  <si>
    <t>='Februari 35'!C24</t>
  </si>
  <si>
    <t>='Mars 35'!C24</t>
  </si>
  <si>
    <t>='April 35'!C24</t>
  </si>
  <si>
    <t>='Maj 35'!C24</t>
  </si>
  <si>
    <t>='Juni 35'!C24</t>
  </si>
  <si>
    <t>='Juli 35'!C24</t>
  </si>
  <si>
    <t>='Augusti 35'!C24</t>
  </si>
  <si>
    <t>='September 35'!C24</t>
  </si>
  <si>
    <t>='Oktober 35'!C24</t>
  </si>
  <si>
    <t>='November 35'!C24</t>
  </si>
  <si>
    <t>='December 35'!C24</t>
  </si>
  <si>
    <t>='Januari 36'!C24</t>
  </si>
  <si>
    <t>='Februari 36'!C24</t>
  </si>
  <si>
    <t>='Mars 36'!C24</t>
  </si>
  <si>
    <t>='April 36'!C24</t>
  </si>
  <si>
    <t>='Maj 36'!C24</t>
  </si>
  <si>
    <t>='Juni 36'!C24</t>
  </si>
  <si>
    <t>='Juli 36'!C24</t>
  </si>
  <si>
    <t>='Augusti 36'!C24</t>
  </si>
  <si>
    <t>='September 36'!C24</t>
  </si>
  <si>
    <t>='Oktober 36'!C24</t>
  </si>
  <si>
    <t>='November 36'!C24</t>
  </si>
  <si>
    <t>='December 36'!C24</t>
  </si>
  <si>
    <t>='Januari 37'!C24</t>
  </si>
  <si>
    <t>='Februari 37'!C24</t>
  </si>
  <si>
    <t>='Mars 37'!C24</t>
  </si>
  <si>
    <t>='April 37'!C24</t>
  </si>
  <si>
    <t>='Maj 37'!C24</t>
  </si>
  <si>
    <t>='Juni 37'!C24</t>
  </si>
  <si>
    <t>='Juli 37'!C24</t>
  </si>
  <si>
    <t>='Augusti 37'!C24</t>
  </si>
  <si>
    <t>='September 37'!C24</t>
  </si>
  <si>
    <t>='Oktober 37'!C24</t>
  </si>
  <si>
    <t>='November 37'!C24</t>
  </si>
  <si>
    <t>='December 37'!C24</t>
  </si>
  <si>
    <t>='Januari 38'!C24</t>
  </si>
  <si>
    <t>='Februari 38'!C24</t>
  </si>
  <si>
    <t>='Mars 38'!C24</t>
  </si>
  <si>
    <t>='April 38'!C24</t>
  </si>
  <si>
    <t>='Maj 38'!C24</t>
  </si>
  <si>
    <t>='Juni 38'!C24</t>
  </si>
  <si>
    <t>='Juli 38'!C24</t>
  </si>
  <si>
    <t>='Augusti 38'!C24</t>
  </si>
  <si>
    <t>='September 38'!C24</t>
  </si>
  <si>
    <t>='Oktober 38'!C24</t>
  </si>
  <si>
    <t>='November 38'!C24</t>
  </si>
  <si>
    <t>='December 38'!C24</t>
  </si>
  <si>
    <t>='Januari 39'!C24</t>
  </si>
  <si>
    <t>='Februari 39'!C24</t>
  </si>
  <si>
    <t>='Mars 39'!C24</t>
  </si>
  <si>
    <t>='April 39'!C24</t>
  </si>
  <si>
    <t>='Maj 39'!C24</t>
  </si>
  <si>
    <t>='Juni 39'!C24</t>
  </si>
  <si>
    <t>='Juli 39'!C24</t>
  </si>
  <si>
    <t>='Augusti 39'!C24</t>
  </si>
  <si>
    <t>='September 39'!C24</t>
  </si>
  <si>
    <t>='Oktober 39'!C24</t>
  </si>
  <si>
    <t>='November 39'!C24</t>
  </si>
  <si>
    <t>='December 39'!C24</t>
  </si>
  <si>
    <t>='Januari 40'!C24</t>
  </si>
  <si>
    <t>='Februari 40'!C24</t>
  </si>
  <si>
    <t>='Mars 40'!C24</t>
  </si>
  <si>
    <t>='April 40'!C24</t>
  </si>
  <si>
    <t>='Maj 40'!C24</t>
  </si>
  <si>
    <t>='Juni 40'!C24</t>
  </si>
  <si>
    <t>='Juli 40'!C24</t>
  </si>
  <si>
    <t>='Augusti 40'!C24</t>
  </si>
  <si>
    <t>='September 40'!C24</t>
  </si>
  <si>
    <t>='Oktober 40'!C24</t>
  </si>
  <si>
    <t>='November 40'!C24</t>
  </si>
  <si>
    <t>='December 40'!C24</t>
  </si>
  <si>
    <t>='Januari 41'!C24</t>
  </si>
  <si>
    <t>='Februari 41'!C24</t>
  </si>
  <si>
    <t>='Mars 41'!C24</t>
  </si>
  <si>
    <t>='April 41'!C24</t>
  </si>
  <si>
    <t>='Maj 41'!C24</t>
  </si>
  <si>
    <t>='Juni 41'!C24</t>
  </si>
  <si>
    <t>='Juli 41'!C24</t>
  </si>
  <si>
    <t>='Augusti 41'!C24</t>
  </si>
  <si>
    <t>='September 41'!C24</t>
  </si>
  <si>
    <t>='Oktober 41'!C24</t>
  </si>
  <si>
    <t>='November 41'!C24</t>
  </si>
  <si>
    <t>='December 41'!C24</t>
  </si>
  <si>
    <t>='Januari 42'!C24</t>
  </si>
  <si>
    <t>='Februari 42'!C24</t>
  </si>
  <si>
    <t>='Mars 42'!C24</t>
  </si>
  <si>
    <t>='April 42'!C24</t>
  </si>
  <si>
    <t>='Maj 42'!C24</t>
  </si>
  <si>
    <t>='Juni 42'!C24</t>
  </si>
  <si>
    <t>='Juli 42'!C24</t>
  </si>
  <si>
    <t>='Augusti 42'!C24</t>
  </si>
  <si>
    <t>='September 42'!C24</t>
  </si>
  <si>
    <t>='Oktober 42'!C24</t>
  </si>
  <si>
    <t>='November 42'!C24</t>
  </si>
  <si>
    <t>='December 42'!C24</t>
  </si>
  <si>
    <t>='Januari 43'!C24</t>
  </si>
  <si>
    <t>='Februari 43'!C24</t>
  </si>
  <si>
    <t>='Mars 43'!C24</t>
  </si>
  <si>
    <t>='April 43'!C24</t>
  </si>
  <si>
    <t>='Maj 43'!C24</t>
  </si>
  <si>
    <t>='Juni 43'!C24</t>
  </si>
  <si>
    <t>='Juli 43'!C24</t>
  </si>
  <si>
    <t>='Augusti 43'!C24</t>
  </si>
  <si>
    <t>Formel1</t>
  </si>
  <si>
    <t>Formel2</t>
  </si>
  <si>
    <t>C25</t>
  </si>
  <si>
    <t>='Augusti 18'!C25</t>
  </si>
  <si>
    <t>='September 18'!C25</t>
  </si>
  <si>
    <t>='Oktober 18'!C25</t>
  </si>
  <si>
    <t>='November 18'!C25</t>
  </si>
  <si>
    <t>='December 18'!C25</t>
  </si>
  <si>
    <t>='Januari 19'!C25</t>
  </si>
  <si>
    <t>='Februari 19'!C25</t>
  </si>
  <si>
    <t>='Mars 19'!C25</t>
  </si>
  <si>
    <t>='April 19'!C25</t>
  </si>
  <si>
    <t>='Maj 19'!C25</t>
  </si>
  <si>
    <t>='Juni 19'!C25</t>
  </si>
  <si>
    <t>='Juli 19'!C25</t>
  </si>
  <si>
    <t>='Augusti 19'!C25</t>
  </si>
  <si>
    <t>='September 19'!C25</t>
  </si>
  <si>
    <t>='Oktober 19'!C25</t>
  </si>
  <si>
    <t>='November 19'!C25</t>
  </si>
  <si>
    <t>='December 19'!C25</t>
  </si>
  <si>
    <t>='Januari 20'!C25</t>
  </si>
  <si>
    <t>='Februari 20'!C25</t>
  </si>
  <si>
    <t>='Mars 20'!C25</t>
  </si>
  <si>
    <t>='April 20'!C25</t>
  </si>
  <si>
    <t>='Maj 20'!C25</t>
  </si>
  <si>
    <t>='Juni 20'!C25</t>
  </si>
  <si>
    <t>='Juli 20'!C25</t>
  </si>
  <si>
    <t>='Augusti 20'!C25</t>
  </si>
  <si>
    <t>='September 20'!C25</t>
  </si>
  <si>
    <t>='Oktober 20'!C25</t>
  </si>
  <si>
    <t>='November 20'!C25</t>
  </si>
  <si>
    <t>='December 20'!C25</t>
  </si>
  <si>
    <t>='Januari 21'!C25</t>
  </si>
  <si>
    <t>='Februari 21'!C25</t>
  </si>
  <si>
    <t>='Mars 21'!C25</t>
  </si>
  <si>
    <t>='April 21'!C25</t>
  </si>
  <si>
    <t>='Maj 21'!C25</t>
  </si>
  <si>
    <t>='Juni 21'!C25</t>
  </si>
  <si>
    <t>='Juli 21'!C25</t>
  </si>
  <si>
    <t>='Augusti 21'!C25</t>
  </si>
  <si>
    <t>='September 21'!C25</t>
  </si>
  <si>
    <t>='Oktober 21'!C25</t>
  </si>
  <si>
    <t>='November 21'!C25</t>
  </si>
  <si>
    <t>='December 21'!C25</t>
  </si>
  <si>
    <t>='Januari 22'!C25</t>
  </si>
  <si>
    <t>='Februari 22'!C25</t>
  </si>
  <si>
    <t>='Mars 22'!C25</t>
  </si>
  <si>
    <t>='April 22'!C25</t>
  </si>
  <si>
    <t>='Maj 22'!C25</t>
  </si>
  <si>
    <t>='Juni 22'!C25</t>
  </si>
  <si>
    <t>='Juli 22'!C25</t>
  </si>
  <si>
    <t>='Augusti 22'!C25</t>
  </si>
  <si>
    <t>='September 22'!C25</t>
  </si>
  <si>
    <t>='Oktober 22'!C25</t>
  </si>
  <si>
    <t>='November 22'!C25</t>
  </si>
  <si>
    <t>='December 22'!C25</t>
  </si>
  <si>
    <t>='Januari 23'!C25</t>
  </si>
  <si>
    <t>='Februari 23'!C25</t>
  </si>
  <si>
    <t>='Mars 23'!C25</t>
  </si>
  <si>
    <t>='April 23'!C25</t>
  </si>
  <si>
    <t>='Maj 23'!C25</t>
  </si>
  <si>
    <t>='Juni 23'!C25</t>
  </si>
  <si>
    <t>='Juli 23'!C25</t>
  </si>
  <si>
    <t>='Augusti 23'!C25</t>
  </si>
  <si>
    <t>='September 23'!C25</t>
  </si>
  <si>
    <t>='Oktober 23'!C25</t>
  </si>
  <si>
    <t>='November 23'!C25</t>
  </si>
  <si>
    <t>='December 23'!C25</t>
  </si>
  <si>
    <t>='Januari 24'!C25</t>
  </si>
  <si>
    <t>='Februari 24'!C25</t>
  </si>
  <si>
    <t>='Mars 24'!C25</t>
  </si>
  <si>
    <t>='April 24'!C25</t>
  </si>
  <si>
    <t>='Maj 24'!C25</t>
  </si>
  <si>
    <t>='Juni 24'!C25</t>
  </si>
  <si>
    <t>='Juli 24'!C25</t>
  </si>
  <si>
    <t>='Augusti 24'!C25</t>
  </si>
  <si>
    <t>='September 24'!C25</t>
  </si>
  <si>
    <t>='Oktober 24'!C25</t>
  </si>
  <si>
    <t>='November 24'!C25</t>
  </si>
  <si>
    <t>='December 24'!C25</t>
  </si>
  <si>
    <t>='Januari 25'!C25</t>
  </si>
  <si>
    <t>='Februari 25'!C25</t>
  </si>
  <si>
    <t>='Mars 25'!C25</t>
  </si>
  <si>
    <t>='April 25'!C25</t>
  </si>
  <si>
    <t>='Maj 25'!C25</t>
  </si>
  <si>
    <t>='Juni 25'!C25</t>
  </si>
  <si>
    <t>='Juli 25'!C25</t>
  </si>
  <si>
    <t>='Augusti 25'!C25</t>
  </si>
  <si>
    <t>='September 25'!C25</t>
  </si>
  <si>
    <t>='Oktober 25'!C25</t>
  </si>
  <si>
    <t>='November 25'!C25</t>
  </si>
  <si>
    <t>='December 25'!C25</t>
  </si>
  <si>
    <t>='Januari 26'!C25</t>
  </si>
  <si>
    <t>='Februari 26'!C25</t>
  </si>
  <si>
    <t>='Mars 26'!C25</t>
  </si>
  <si>
    <t>='April 26'!C25</t>
  </si>
  <si>
    <t>='Maj 26'!C25</t>
  </si>
  <si>
    <t>='Juni 26'!C25</t>
  </si>
  <si>
    <t>='Juli 26'!C25</t>
  </si>
  <si>
    <t>='Augusti 26'!C25</t>
  </si>
  <si>
    <t>='September 26'!C25</t>
  </si>
  <si>
    <t>='Oktober 26'!C25</t>
  </si>
  <si>
    <t>='November 26'!C25</t>
  </si>
  <si>
    <t>='December 26'!C25</t>
  </si>
  <si>
    <t>='Januari 27'!C25</t>
  </si>
  <si>
    <t>='Februari 27'!C25</t>
  </si>
  <si>
    <t>='Mars 27'!C25</t>
  </si>
  <si>
    <t>='April 27'!C25</t>
  </si>
  <si>
    <t>='Maj 27'!C25</t>
  </si>
  <si>
    <t>='Juni 27'!C25</t>
  </si>
  <si>
    <t>='Juli 27'!C25</t>
  </si>
  <si>
    <t>='Augusti 27'!C25</t>
  </si>
  <si>
    <t>='September 27'!C25</t>
  </si>
  <si>
    <t>='Oktober 27'!C25</t>
  </si>
  <si>
    <t>='November 27'!C25</t>
  </si>
  <si>
    <t>='December 27'!C25</t>
  </si>
  <si>
    <t>='Januari 28'!C25</t>
  </si>
  <si>
    <t>='Februari 28'!C25</t>
  </si>
  <si>
    <t>='Mars 28'!C25</t>
  </si>
  <si>
    <t>='April 28'!C25</t>
  </si>
  <si>
    <t>='Maj 28'!C25</t>
  </si>
  <si>
    <t>='Juni 28'!C25</t>
  </si>
  <si>
    <t>='Juli 28'!C25</t>
  </si>
  <si>
    <t>='Augusti 28'!C25</t>
  </si>
  <si>
    <t>='September 28'!C25</t>
  </si>
  <si>
    <t>='Oktober 28'!C25</t>
  </si>
  <si>
    <t>='November 28'!C25</t>
  </si>
  <si>
    <t>='December 28'!C25</t>
  </si>
  <si>
    <t>='Januari 29'!C25</t>
  </si>
  <si>
    <t>='Februari 29'!C25</t>
  </si>
  <si>
    <t>='Mars 29'!C25</t>
  </si>
  <si>
    <t>='April 29'!C25</t>
  </si>
  <si>
    <t>='Maj 29'!C25</t>
  </si>
  <si>
    <t>='Juni 29'!C25</t>
  </si>
  <si>
    <t>='Juli 29'!C25</t>
  </si>
  <si>
    <t>='Augusti 29'!C25</t>
  </si>
  <si>
    <t>='September 29'!C25</t>
  </si>
  <si>
    <t>='Oktober 29'!C25</t>
  </si>
  <si>
    <t>='November 29'!C25</t>
  </si>
  <si>
    <t>='December 29'!C25</t>
  </si>
  <si>
    <t>='Januari 30'!C25</t>
  </si>
  <si>
    <t>='Februari 30'!C25</t>
  </si>
  <si>
    <t>='Mars 30'!C25</t>
  </si>
  <si>
    <t>='April 30'!C25</t>
  </si>
  <si>
    <t>='Maj 30'!C25</t>
  </si>
  <si>
    <t>='Juni 30'!C25</t>
  </si>
  <si>
    <t>='Juli 30'!C25</t>
  </si>
  <si>
    <t>='Augusti 30'!C25</t>
  </si>
  <si>
    <t>='September 30'!C25</t>
  </si>
  <si>
    <t>='Oktober 30'!C25</t>
  </si>
  <si>
    <t>='November 30'!C25</t>
  </si>
  <si>
    <t>='December 30'!C25</t>
  </si>
  <si>
    <t>='Januari 31'!C25</t>
  </si>
  <si>
    <t>='Februari 31'!C25</t>
  </si>
  <si>
    <t>='Mars 31'!C25</t>
  </si>
  <si>
    <t>='April 31'!C25</t>
  </si>
  <si>
    <t>='Maj 31'!C25</t>
  </si>
  <si>
    <t>='Juni 31'!C25</t>
  </si>
  <si>
    <t>='Juli 31'!C25</t>
  </si>
  <si>
    <t>='Augusti 31'!C25</t>
  </si>
  <si>
    <t>='September 31'!C25</t>
  </si>
  <si>
    <t>='Oktober 31'!C25</t>
  </si>
  <si>
    <t>='November 31'!C25</t>
  </si>
  <si>
    <t>='December 31'!C25</t>
  </si>
  <si>
    <t>='Januari 32'!C25</t>
  </si>
  <si>
    <t>='Februari 32'!C25</t>
  </si>
  <si>
    <t>='Mars 32'!C25</t>
  </si>
  <si>
    <t>='April 32'!C25</t>
  </si>
  <si>
    <t>='Maj 32'!C25</t>
  </si>
  <si>
    <t>='Juni 32'!C25</t>
  </si>
  <si>
    <t>='Juli 32'!C25</t>
  </si>
  <si>
    <t>='Augusti 32'!C25</t>
  </si>
  <si>
    <t>='September 32'!C25</t>
  </si>
  <si>
    <t>='Oktober 32'!C25</t>
  </si>
  <si>
    <t>='November 32'!C25</t>
  </si>
  <si>
    <t>='December 32'!C25</t>
  </si>
  <si>
    <t>='Januari 33'!C25</t>
  </si>
  <si>
    <t>='Februari 33'!C25</t>
  </si>
  <si>
    <t>='Mars 33'!C25</t>
  </si>
  <si>
    <t>='April 33'!C25</t>
  </si>
  <si>
    <t>='Maj 33'!C25</t>
  </si>
  <si>
    <t>='Juni 33'!C25</t>
  </si>
  <si>
    <t>='Juli 33'!C25</t>
  </si>
  <si>
    <t>='Augusti 33'!C25</t>
  </si>
  <si>
    <t>='September 33'!C25</t>
  </si>
  <si>
    <t>='Oktober 33'!C25</t>
  </si>
  <si>
    <t>='November 33'!C25</t>
  </si>
  <si>
    <t>='December 33'!C25</t>
  </si>
  <si>
    <t>='Januari 34'!C25</t>
  </si>
  <si>
    <t>='Februari 34'!C25</t>
  </si>
  <si>
    <t>='Mars 34'!C25</t>
  </si>
  <si>
    <t>='April 34'!C25</t>
  </si>
  <si>
    <t>='Maj 34'!C25</t>
  </si>
  <si>
    <t>='Juni 34'!C25</t>
  </si>
  <si>
    <t>='Juli 34'!C25</t>
  </si>
  <si>
    <t>='Augusti 34'!C25</t>
  </si>
  <si>
    <t>='September 34'!C25</t>
  </si>
  <si>
    <t>='Oktober 34'!C25</t>
  </si>
  <si>
    <t>='November 34'!C25</t>
  </si>
  <si>
    <t>='December 34'!C25</t>
  </si>
  <si>
    <t>='Januari 35'!C25</t>
  </si>
  <si>
    <t>='Februari 35'!C25</t>
  </si>
  <si>
    <t>='Mars 35'!C25</t>
  </si>
  <si>
    <t>='April 35'!C25</t>
  </si>
  <si>
    <t>='Maj 35'!C25</t>
  </si>
  <si>
    <t>='Juni 35'!C25</t>
  </si>
  <si>
    <t>='Juli 35'!C25</t>
  </si>
  <si>
    <t>='Augusti 35'!C25</t>
  </si>
  <si>
    <t>='September 35'!C25</t>
  </si>
  <si>
    <t>='Oktober 35'!C25</t>
  </si>
  <si>
    <t>='November 35'!C25</t>
  </si>
  <si>
    <t>='December 35'!C25</t>
  </si>
  <si>
    <t>='Januari 36'!C25</t>
  </si>
  <si>
    <t>='Februari 36'!C25</t>
  </si>
  <si>
    <t>='Mars 36'!C25</t>
  </si>
  <si>
    <t>='April 36'!C25</t>
  </si>
  <si>
    <t>='Maj 36'!C25</t>
  </si>
  <si>
    <t>='Juni 36'!C25</t>
  </si>
  <si>
    <t>='Juli 36'!C25</t>
  </si>
  <si>
    <t>='Augusti 36'!C25</t>
  </si>
  <si>
    <t>='September 36'!C25</t>
  </si>
  <si>
    <t>='Oktober 36'!C25</t>
  </si>
  <si>
    <t>='November 36'!C25</t>
  </si>
  <si>
    <t>='December 36'!C25</t>
  </si>
  <si>
    <t>='Januari 37'!C25</t>
  </si>
  <si>
    <t>='Februari 37'!C25</t>
  </si>
  <si>
    <t>='Mars 37'!C25</t>
  </si>
  <si>
    <t>='April 37'!C25</t>
  </si>
  <si>
    <t>='Maj 37'!C25</t>
  </si>
  <si>
    <t>='Juni 37'!C25</t>
  </si>
  <si>
    <t>='Juli 37'!C25</t>
  </si>
  <si>
    <t>='Augusti 37'!C25</t>
  </si>
  <si>
    <t>='September 37'!C25</t>
  </si>
  <si>
    <t>='Oktober 37'!C25</t>
  </si>
  <si>
    <t>='November 37'!C25</t>
  </si>
  <si>
    <t>='December 37'!C25</t>
  </si>
  <si>
    <t>='Januari 38'!C25</t>
  </si>
  <si>
    <t>='Februari 38'!C25</t>
  </si>
  <si>
    <t>='Mars 38'!C25</t>
  </si>
  <si>
    <t>='April 38'!C25</t>
  </si>
  <si>
    <t>='Maj 38'!C25</t>
  </si>
  <si>
    <t>='Juni 38'!C25</t>
  </si>
  <si>
    <t>='Juli 38'!C25</t>
  </si>
  <si>
    <t>='Augusti 38'!C25</t>
  </si>
  <si>
    <t>='September 38'!C25</t>
  </si>
  <si>
    <t>='Oktober 38'!C25</t>
  </si>
  <si>
    <t>='November 38'!C25</t>
  </si>
  <si>
    <t>='December 38'!C25</t>
  </si>
  <si>
    <t>='Januari 39'!C25</t>
  </si>
  <si>
    <t>='Februari 39'!C25</t>
  </si>
  <si>
    <t>='Mars 39'!C25</t>
  </si>
  <si>
    <t>='April 39'!C25</t>
  </si>
  <si>
    <t>='Maj 39'!C25</t>
  </si>
  <si>
    <t>='Juni 39'!C25</t>
  </si>
  <si>
    <t>='Juli 39'!C25</t>
  </si>
  <si>
    <t>='Augusti 39'!C25</t>
  </si>
  <si>
    <t>='September 39'!C25</t>
  </si>
  <si>
    <t>='Oktober 39'!C25</t>
  </si>
  <si>
    <t>='November 39'!C25</t>
  </si>
  <si>
    <t>='December 39'!C25</t>
  </si>
  <si>
    <t>='Januari 40'!C25</t>
  </si>
  <si>
    <t>='Februari 40'!C25</t>
  </si>
  <si>
    <t>='Mars 40'!C25</t>
  </si>
  <si>
    <t>='April 40'!C25</t>
  </si>
  <si>
    <t>='Maj 40'!C25</t>
  </si>
  <si>
    <t>='Juni 40'!C25</t>
  </si>
  <si>
    <t>='Juli 40'!C25</t>
  </si>
  <si>
    <t>='Augusti 40'!C25</t>
  </si>
  <si>
    <t>='September 40'!C25</t>
  </si>
  <si>
    <t>='Oktober 40'!C25</t>
  </si>
  <si>
    <t>='November 40'!C25</t>
  </si>
  <si>
    <t>='December 40'!C25</t>
  </si>
  <si>
    <t>='Januari 41'!C25</t>
  </si>
  <si>
    <t>='Februari 41'!C25</t>
  </si>
  <si>
    <t>='Mars 41'!C25</t>
  </si>
  <si>
    <t>='April 41'!C25</t>
  </si>
  <si>
    <t>='Maj 41'!C25</t>
  </si>
  <si>
    <t>='Juni 41'!C25</t>
  </si>
  <si>
    <t>='Juli 41'!C25</t>
  </si>
  <si>
    <t>='Augusti 41'!C25</t>
  </si>
  <si>
    <t>='September 41'!C25</t>
  </si>
  <si>
    <t>='Oktober 41'!C25</t>
  </si>
  <si>
    <t>='November 41'!C25</t>
  </si>
  <si>
    <t>='December 41'!C25</t>
  </si>
  <si>
    <t>='Januari 42'!C25</t>
  </si>
  <si>
    <t>='Februari 42'!C25</t>
  </si>
  <si>
    <t>='Mars 42'!C25</t>
  </si>
  <si>
    <t>='April 42'!C25</t>
  </si>
  <si>
    <t>='Maj 42'!C25</t>
  </si>
  <si>
    <t>='Juni 42'!C25</t>
  </si>
  <si>
    <t>='Juli 42'!C25</t>
  </si>
  <si>
    <t>='Augusti 42'!C25</t>
  </si>
  <si>
    <t>='September 42'!C25</t>
  </si>
  <si>
    <t>='Oktober 42'!C25</t>
  </si>
  <si>
    <t>='November 42'!C25</t>
  </si>
  <si>
    <t>='December 42'!C25</t>
  </si>
  <si>
    <t>='Januari 43'!C25</t>
  </si>
  <si>
    <t>='Februari 43'!C25</t>
  </si>
  <si>
    <t>='Mars 43'!C25</t>
  </si>
  <si>
    <t>='April 43'!C25</t>
  </si>
  <si>
    <t>='Maj 43'!C25</t>
  </si>
  <si>
    <t>='Juni 43'!C25</t>
  </si>
  <si>
    <t>='Juli 43'!C25</t>
  </si>
  <si>
    <t>='Augusti 43'!C25</t>
  </si>
  <si>
    <t>='September 18'!C6</t>
  </si>
  <si>
    <t>='Oktober 18'!C6</t>
  </si>
  <si>
    <t>Övriga utgifter3</t>
  </si>
  <si>
    <t>Övriga utgifter4</t>
  </si>
  <si>
    <t>Övriga utgifter5</t>
  </si>
  <si>
    <t>Övriga utgifter6</t>
  </si>
  <si>
    <t>Övriga utgifter7</t>
  </si>
  <si>
    <t>Övriga utgifter8</t>
  </si>
  <si>
    <t>Övriga utgifter9</t>
  </si>
  <si>
    <t>Övriga utgifter10</t>
  </si>
  <si>
    <t>Övriga utgifter11</t>
  </si>
  <si>
    <t>Övriga utgifter12</t>
  </si>
  <si>
    <t>Övriga utgifter13</t>
  </si>
  <si>
    <t>Övriga utgifter14</t>
  </si>
  <si>
    <t>Övriga utgifter15</t>
  </si>
  <si>
    <t>Övriga utgifter16</t>
  </si>
  <si>
    <t>Övriga utgifter17</t>
  </si>
  <si>
    <t>Övriga utgifter18</t>
  </si>
  <si>
    <t>Övriga utgifter19</t>
  </si>
  <si>
    <t>Övriga utgifter20</t>
  </si>
  <si>
    <t>Övriga utgifter21</t>
  </si>
  <si>
    <t>Övriga utgifter22</t>
  </si>
  <si>
    <t>Övriga utgifter23</t>
  </si>
  <si>
    <t>Övriga utgifter24</t>
  </si>
  <si>
    <t>Övriga utgifter25</t>
  </si>
  <si>
    <t>Övriga utgifter26</t>
  </si>
  <si>
    <t>Övriga utgifter27</t>
  </si>
  <si>
    <t>Övriga utgifter28</t>
  </si>
  <si>
    <t>Övriga utgifter29</t>
  </si>
  <si>
    <t>Övriga utgifter30</t>
  </si>
  <si>
    <t>Övriga utgifter31</t>
  </si>
  <si>
    <t>Övriga utgifter32</t>
  </si>
  <si>
    <t>Övriga utgifter33</t>
  </si>
  <si>
    <t>Övriga utgifter34</t>
  </si>
  <si>
    <t>Övriga utgifter35</t>
  </si>
  <si>
    <t>Övriga utgifter36</t>
  </si>
  <si>
    <t>Övriga utgifter37</t>
  </si>
  <si>
    <t>Övriga utgifter38</t>
  </si>
  <si>
    <t>Övriga utgifter39</t>
  </si>
  <si>
    <t>Övriga utgifter40</t>
  </si>
  <si>
    <t>Övriga utgifter41</t>
  </si>
  <si>
    <t>Övriga utgifter42</t>
  </si>
  <si>
    <t>Övriga utgifter43</t>
  </si>
  <si>
    <t>Övriga utgifter44</t>
  </si>
  <si>
    <t>Övriga utgifter45</t>
  </si>
  <si>
    <t>Övriga utgifter46</t>
  </si>
  <si>
    <t>Övriga utgifter47</t>
  </si>
  <si>
    <t>Övriga utgifter48</t>
  </si>
  <si>
    <t>Övriga utgifter49</t>
  </si>
  <si>
    <t>Övriga utgifter50</t>
  </si>
  <si>
    <t>Övriga utgifter51</t>
  </si>
  <si>
    <t>Övriga utgifter52</t>
  </si>
  <si>
    <t>Övriga utgifter53</t>
  </si>
  <si>
    <t>Övriga utgifter54</t>
  </si>
  <si>
    <t>Övriga utgifter55</t>
  </si>
  <si>
    <t>Övriga utgifter56</t>
  </si>
  <si>
    <t>Övriga utgifter57</t>
  </si>
  <si>
    <t>Övriga utgifter58</t>
  </si>
  <si>
    <t>Övriga utgifter59</t>
  </si>
  <si>
    <t>Övriga utgifter60</t>
  </si>
  <si>
    <t>Övriga utgifter61</t>
  </si>
  <si>
    <t>Övriga utgifter62</t>
  </si>
  <si>
    <t>Övriga utgifter63</t>
  </si>
  <si>
    <t>Övriga utgifter64</t>
  </si>
  <si>
    <t>Övriga utgifter65</t>
  </si>
  <si>
    <t>Övriga utgifter66</t>
  </si>
  <si>
    <t>Övriga utgifter67</t>
  </si>
  <si>
    <t>Övriga utgifter68</t>
  </si>
  <si>
    <t>Övriga utgifter69</t>
  </si>
  <si>
    <t>Övriga utgifter70</t>
  </si>
  <si>
    <t>Övriga utgifter71</t>
  </si>
  <si>
    <t>Övriga utgifter72</t>
  </si>
  <si>
    <t>Övriga utgifter73</t>
  </si>
  <si>
    <t>Övriga utgifter74</t>
  </si>
  <si>
    <t>Övriga utgifter75</t>
  </si>
  <si>
    <t>Övriga utgifter76</t>
  </si>
  <si>
    <t>Övriga utgifter77</t>
  </si>
  <si>
    <t>Övriga utgifter78</t>
  </si>
  <si>
    <t>Övriga utgifter79</t>
  </si>
  <si>
    <t>Övriga utgifter80</t>
  </si>
  <si>
    <t>Övriga utgifter81</t>
  </si>
  <si>
    <t>Övriga utgifter82</t>
  </si>
  <si>
    <t>Övriga utgifter83</t>
  </si>
  <si>
    <t>Övriga utgifter84</t>
  </si>
  <si>
    <t>Övriga utgifter85</t>
  </si>
  <si>
    <t>Övriga utgifter86</t>
  </si>
  <si>
    <t>Övriga utgifter87</t>
  </si>
  <si>
    <t>Övriga utgifter88</t>
  </si>
  <si>
    <t>Övriga utgifter89</t>
  </si>
  <si>
    <t>Övriga utgifter90</t>
  </si>
  <si>
    <t>Övriga utgifter91</t>
  </si>
  <si>
    <t>Övriga utgifter92</t>
  </si>
  <si>
    <t>Övriga utgifter93</t>
  </si>
  <si>
    <t>Övriga utgifter94</t>
  </si>
  <si>
    <t>Övriga utgifter95</t>
  </si>
  <si>
    <t>Övriga utgifter96</t>
  </si>
  <si>
    <t>Övriga utgifter97</t>
  </si>
  <si>
    <t>Övriga utgifter98</t>
  </si>
  <si>
    <t>Övriga utgifter99</t>
  </si>
  <si>
    <t>Övriga utgifter100</t>
  </si>
  <si>
    <t>Övriga utgifter101</t>
  </si>
  <si>
    <t>Övriga utgifter102</t>
  </si>
  <si>
    <t>Övriga utgifter103</t>
  </si>
  <si>
    <t>Övriga utgifter104</t>
  </si>
  <si>
    <t>Övriga utgifter105</t>
  </si>
  <si>
    <t>Övriga utgifter106</t>
  </si>
  <si>
    <t>Övriga utgifter107</t>
  </si>
  <si>
    <t>Övriga utgifter108</t>
  </si>
  <si>
    <t>Övriga utgifter109</t>
  </si>
  <si>
    <t>Övriga utgifter110</t>
  </si>
  <si>
    <t>Övriga utgifter111</t>
  </si>
  <si>
    <t>Övriga utgifter112</t>
  </si>
  <si>
    <t>Övriga utgifter113</t>
  </si>
  <si>
    <t>Övriga utgifter114</t>
  </si>
  <si>
    <t>Övriga utgifter115</t>
  </si>
  <si>
    <t>Övriga utgifter116</t>
  </si>
  <si>
    <t>Övriga utgifter117</t>
  </si>
  <si>
    <t>Övriga utgifter118</t>
  </si>
  <si>
    <t>Övriga utgifter119</t>
  </si>
  <si>
    <t>Övriga utgifter120</t>
  </si>
  <si>
    <t>Övriga utgifter121</t>
  </si>
  <si>
    <t>Övriga utgifter122</t>
  </si>
  <si>
    <t>Övriga utgifter123</t>
  </si>
  <si>
    <t>Övriga utgifter124</t>
  </si>
  <si>
    <t>Övriga utgifter125</t>
  </si>
  <si>
    <t>Övriga utgifter126</t>
  </si>
  <si>
    <t>Övriga utgifter127</t>
  </si>
  <si>
    <t>Övriga utgifter128</t>
  </si>
  <si>
    <t>Övriga utgifter129</t>
  </si>
  <si>
    <t>Övriga utgifter130</t>
  </si>
  <si>
    <t>Övriga utgifter131</t>
  </si>
  <si>
    <t>Övriga utgifter132</t>
  </si>
  <si>
    <t>Övriga utgifter133</t>
  </si>
  <si>
    <t>Övriga utgifter134</t>
  </si>
  <si>
    <t>Övriga utgifter135</t>
  </si>
  <si>
    <t>Övriga utgifter136</t>
  </si>
  <si>
    <t>Övriga utgifter137</t>
  </si>
  <si>
    <t>Övriga utgifter138</t>
  </si>
  <si>
    <t>Övriga utgifter139</t>
  </si>
  <si>
    <t>Övriga utgifter140</t>
  </si>
  <si>
    <t>Övriga utgifter141</t>
  </si>
  <si>
    <t>Övriga utgifter142</t>
  </si>
  <si>
    <t>Övriga utgifter143</t>
  </si>
  <si>
    <t>Övriga utgifter144</t>
  </si>
  <si>
    <t>Övriga utgifter145</t>
  </si>
  <si>
    <t>Övriga utgifter146</t>
  </si>
  <si>
    <t>Övriga utgifter147</t>
  </si>
  <si>
    <t>Övriga utgifter148</t>
  </si>
  <si>
    <t>Övriga utgifter149</t>
  </si>
  <si>
    <t>Övriga utgifter150</t>
  </si>
  <si>
    <t>Övriga utgifter151</t>
  </si>
  <si>
    <t>Övriga utgifter152</t>
  </si>
  <si>
    <t>Övriga utgifter153</t>
  </si>
  <si>
    <t>Övriga utgifter154</t>
  </si>
  <si>
    <t>Övriga utgifter155</t>
  </si>
  <si>
    <t>Övriga utgifter156</t>
  </si>
  <si>
    <t>Övriga utgifter157</t>
  </si>
  <si>
    <t>Övriga utgifter158</t>
  </si>
  <si>
    <t>Övriga utgifter159</t>
  </si>
  <si>
    <t>Övriga utgifter160</t>
  </si>
  <si>
    <t>Övriga utgifter161</t>
  </si>
  <si>
    <t>Övriga utgifter162</t>
  </si>
  <si>
    <t>Övriga utgifter163</t>
  </si>
  <si>
    <t>Övriga utgifter164</t>
  </si>
  <si>
    <t>Övriga utgifter165</t>
  </si>
  <si>
    <t>Övriga utgifter166</t>
  </si>
  <si>
    <t>Övriga utgifter167</t>
  </si>
  <si>
    <t>Övriga utgifter168</t>
  </si>
  <si>
    <t>Övriga utgifter169</t>
  </si>
  <si>
    <t>Övriga utgifter170</t>
  </si>
  <si>
    <t>Övriga utgifter171</t>
  </si>
  <si>
    <t>Övriga utgifter172</t>
  </si>
  <si>
    <t>Övriga utgifter173</t>
  </si>
  <si>
    <t>Övriga utgifter174</t>
  </si>
  <si>
    <t>Övriga utgifter175</t>
  </si>
  <si>
    <t>Övriga utgifter176</t>
  </si>
  <si>
    <t>Övriga utgifter177</t>
  </si>
  <si>
    <t>Övriga utgifter178</t>
  </si>
  <si>
    <t>Övriga utgifter179</t>
  </si>
  <si>
    <t>Övriga utgifter180</t>
  </si>
  <si>
    <t>Övriga utgifter181</t>
  </si>
  <si>
    <t>Övriga utgifter182</t>
  </si>
  <si>
    <t>Övriga utgifter183</t>
  </si>
  <si>
    <t>Övriga utgifter184</t>
  </si>
  <si>
    <t>Övriga utgifter185</t>
  </si>
  <si>
    <t>Övriga utgifter186</t>
  </si>
  <si>
    <t>Övriga utgifter187</t>
  </si>
  <si>
    <t>Övriga utgifter188</t>
  </si>
  <si>
    <t>Övriga utgifter189</t>
  </si>
  <si>
    <t>Övriga utgifter190</t>
  </si>
  <si>
    <t>Övriga utgifter191</t>
  </si>
  <si>
    <t>Övriga utgifter192</t>
  </si>
  <si>
    <t>Övriga utgifter193</t>
  </si>
  <si>
    <t>Övriga utgifter194</t>
  </si>
  <si>
    <t>Övriga utgifter195</t>
  </si>
  <si>
    <t>Övriga utgifter196</t>
  </si>
  <si>
    <t>Övriga utgifter197</t>
  </si>
  <si>
    <t>Övriga utgifter198</t>
  </si>
  <si>
    <t>Övriga utgifter199</t>
  </si>
  <si>
    <t>Övriga utgifter200</t>
  </si>
  <si>
    <t>Övriga utgifter201</t>
  </si>
  <si>
    <t>Övriga utgifter202</t>
  </si>
  <si>
    <t>Övriga utgifter203</t>
  </si>
  <si>
    <t>Övriga utgifter204</t>
  </si>
  <si>
    <t>Övriga utgifter205</t>
  </si>
  <si>
    <t>Övriga utgifter206</t>
  </si>
  <si>
    <t>Övriga utgifter207</t>
  </si>
  <si>
    <t>Övriga utgifter208</t>
  </si>
  <si>
    <t>Övriga utgifter209</t>
  </si>
  <si>
    <t>Övriga utgifter210</t>
  </si>
  <si>
    <t>Övriga utgifter211</t>
  </si>
  <si>
    <t>Övriga utgifter212</t>
  </si>
  <si>
    <t>Övriga utgifter213</t>
  </si>
  <si>
    <t>Övriga utgifter214</t>
  </si>
  <si>
    <t>Övriga utgifter215</t>
  </si>
  <si>
    <t>Övriga utgifter216</t>
  </si>
  <si>
    <t>Övriga utgifter217</t>
  </si>
  <si>
    <t>Övriga utgifter218</t>
  </si>
  <si>
    <t>Övriga utgifter219</t>
  </si>
  <si>
    <t>Övriga utgifter220</t>
  </si>
  <si>
    <t>Övriga utgifter221</t>
  </si>
  <si>
    <t>Övriga utgifter222</t>
  </si>
  <si>
    <t>Övriga utgifter223</t>
  </si>
  <si>
    <t>Övriga utgifter224</t>
  </si>
  <si>
    <t>Övriga utgifter225</t>
  </si>
  <si>
    <t>Övriga utgifter226</t>
  </si>
  <si>
    <t>Övriga utgifter227</t>
  </si>
  <si>
    <t>Övriga utgifter228</t>
  </si>
  <si>
    <t>Övriga utgifter229</t>
  </si>
  <si>
    <t>Övriga utgifter230</t>
  </si>
  <si>
    <t>Övriga utgifter231</t>
  </si>
  <si>
    <t>Övriga utgifter232</t>
  </si>
  <si>
    <t>Övriga utgifter233</t>
  </si>
  <si>
    <t>Övriga utgifter234</t>
  </si>
  <si>
    <t>Övriga utgifter235</t>
  </si>
  <si>
    <t>Övriga utgifter236</t>
  </si>
  <si>
    <t>Övriga utgifter237</t>
  </si>
  <si>
    <t>Övriga utgifter238</t>
  </si>
  <si>
    <t>Övriga utgifter239</t>
  </si>
  <si>
    <t>Övriga utgifter240</t>
  </si>
  <si>
    <t>Övriga utgifter241</t>
  </si>
  <si>
    <t>Övriga utgifter242</t>
  </si>
  <si>
    <t>Övriga utgifter243</t>
  </si>
  <si>
    <t>Övriga utgifter244</t>
  </si>
  <si>
    <t>Övriga utgifter245</t>
  </si>
  <si>
    <t>Övriga utgifter246</t>
  </si>
  <si>
    <t>Övriga utgifter247</t>
  </si>
  <si>
    <t>Övriga utgifter248</t>
  </si>
  <si>
    <t>Övriga utgifter249</t>
  </si>
  <si>
    <t>Övriga utgifter250</t>
  </si>
  <si>
    <t>Övriga utgifter251</t>
  </si>
  <si>
    <t>Övriga utgifter252</t>
  </si>
  <si>
    <t>Övriga utgifter253</t>
  </si>
  <si>
    <t>Övriga utgifter254</t>
  </si>
  <si>
    <t>Övriga utgifter255</t>
  </si>
  <si>
    <t>Övriga utgifter256</t>
  </si>
  <si>
    <t>Övriga utgifter257</t>
  </si>
  <si>
    <t>Övriga utgifter258</t>
  </si>
  <si>
    <t>Övriga utgifter259</t>
  </si>
  <si>
    <t>Övriga utgifter260</t>
  </si>
  <si>
    <t>Övriga utgifter261</t>
  </si>
  <si>
    <t>Övriga utgifter262</t>
  </si>
  <si>
    <t>Övriga utgifter263</t>
  </si>
  <si>
    <t>Övriga utgifter264</t>
  </si>
  <si>
    <t>Övriga utgifter265</t>
  </si>
  <si>
    <t>Övriga utgifter266</t>
  </si>
  <si>
    <t>Övriga utgifter267</t>
  </si>
  <si>
    <t>Övriga utgifter268</t>
  </si>
  <si>
    <t>Övriga utgifter269</t>
  </si>
  <si>
    <t>Övriga utgifter270</t>
  </si>
  <si>
    <t>Övriga utgifter271</t>
  </si>
  <si>
    <t>Övriga utgifter272</t>
  </si>
  <si>
    <t>Övriga utgifter273</t>
  </si>
  <si>
    <t>Övriga utgifter274</t>
  </si>
  <si>
    <t>Övriga utgifter275</t>
  </si>
  <si>
    <t>Övriga utgifter276</t>
  </si>
  <si>
    <t>Övriga utgifter277</t>
  </si>
  <si>
    <t>Övriga utgifter278</t>
  </si>
  <si>
    <t>Övriga utgifter279</t>
  </si>
  <si>
    <t>Övriga utgifter280</t>
  </si>
  <si>
    <t>Övriga utgifter281</t>
  </si>
  <si>
    <t>Övriga utgifter282</t>
  </si>
  <si>
    <t>Övriga utgifter283</t>
  </si>
  <si>
    <t>Övriga utgifter284</t>
  </si>
  <si>
    <t>Övriga utgifter285</t>
  </si>
  <si>
    <t>Övriga utgifter286</t>
  </si>
  <si>
    <t>Övriga utgifter287</t>
  </si>
  <si>
    <t>Övriga utgifter288</t>
  </si>
  <si>
    <t>Övriga utgifter289</t>
  </si>
  <si>
    <t>Övriga utgifter290</t>
  </si>
  <si>
    <t>Övriga utgifter291</t>
  </si>
  <si>
    <t>Övriga utgifter292</t>
  </si>
  <si>
    <t>Övriga utgifter293</t>
  </si>
  <si>
    <t>Övriga utgifter294</t>
  </si>
  <si>
    <t>Övriga utgifter295</t>
  </si>
  <si>
    <t>Övriga utgifter296</t>
  </si>
  <si>
    <t>Övriga utgifter297</t>
  </si>
  <si>
    <t>Övriga utgifter298</t>
  </si>
  <si>
    <t>Övriga utgifter299</t>
  </si>
  <si>
    <t>Övriga utgifter300</t>
  </si>
  <si>
    <t>Övriga utgifter301</t>
  </si>
  <si>
    <t>Övriga utgifter302</t>
  </si>
  <si>
    <t>Övriga utgifter303</t>
  </si>
  <si>
    <t>Övriga utgifter304</t>
  </si>
  <si>
    <t>Övriga utgifter305</t>
  </si>
  <si>
    <t>Övriga utgifter306</t>
  </si>
  <si>
    <t>Övriga utgifter307</t>
  </si>
  <si>
    <t>Övriga utgifter308</t>
  </si>
  <si>
    <t>Övriga utgifter309</t>
  </si>
  <si>
    <t>Övriga utgifter310</t>
  </si>
  <si>
    <t>Övriga utgifter311</t>
  </si>
  <si>
    <t>Övriga utgifter312</t>
  </si>
  <si>
    <t>Övriga utgifter313</t>
  </si>
  <si>
    <t>Övriga utgifter314</t>
  </si>
  <si>
    <t>Övriga utgifter315</t>
  </si>
  <si>
    <t>Övriga utgifter316</t>
  </si>
  <si>
    <t>Övriga utgifter317</t>
  </si>
  <si>
    <t>Övriga utgifter318</t>
  </si>
  <si>
    <t>Övriga utgifter319</t>
  </si>
  <si>
    <t>Övriga utgifter320</t>
  </si>
  <si>
    <t>Övriga utgifter321</t>
  </si>
  <si>
    <t>Övriga utgifter322</t>
  </si>
  <si>
    <t>Övriga utgifter323</t>
  </si>
  <si>
    <t>Övriga utgifter324</t>
  </si>
  <si>
    <t>Övriga utgifter325</t>
  </si>
  <si>
    <t>Övriga utgifter326</t>
  </si>
  <si>
    <t>Visa objekt:</t>
  </si>
  <si>
    <t>Visa period från:</t>
  </si>
  <si>
    <t>Visa period till:</t>
  </si>
  <si>
    <t>Startmånad:</t>
  </si>
  <si>
    <t>Tot intäkter</t>
  </si>
  <si>
    <t>Tot utgifter</t>
  </si>
  <si>
    <t>Godis och snacks</t>
  </si>
  <si>
    <t>Utemat</t>
  </si>
  <si>
    <t>Kostym</t>
  </si>
  <si>
    <t>Lön augusti</t>
  </si>
  <si>
    <t>MC-skor</t>
  </si>
  <si>
    <t>Böcker + IELTS</t>
  </si>
  <si>
    <t>Cykel</t>
  </si>
  <si>
    <t>Spa</t>
  </si>
  <si>
    <t>Rock</t>
  </si>
  <si>
    <t>Deposition tillbaka</t>
  </si>
  <si>
    <t>Parfym</t>
  </si>
  <si>
    <t>Flytt</t>
  </si>
  <si>
    <t>update</t>
  </si>
  <si>
    <t>Två skjortor</t>
  </si>
  <si>
    <t>Skatteåterbäring</t>
  </si>
  <si>
    <t>TV</t>
  </si>
  <si>
    <t>Hyresintäkt gbg</t>
  </si>
  <si>
    <t>MC+försäkring(29000+1491)+deposition singapore</t>
  </si>
  <si>
    <t>MC strypningskit 1317, Besiktning 1495, MC kläder 1995, Flygbiljett Singapore 4419, Felpark 750</t>
  </si>
  <si>
    <t>Gotland + Västerås</t>
  </si>
  <si>
    <t>spar</t>
  </si>
  <si>
    <t>mm</t>
  </si>
  <si>
    <t>vlookup</t>
  </si>
  <si>
    <t>2,5 % avkastning</t>
  </si>
  <si>
    <t>spar 4,5%</t>
  </si>
  <si>
    <t>sparbas</t>
  </si>
  <si>
    <t>7 % avkastning</t>
  </si>
  <si>
    <t>4,5% avkastning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</si>
</sst>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* #,##0.00\ &quot;kr&quot;_-;\-* #,##0.00\ &quot;kr&quot;_-;_-* &quot;-&quot;??\ &quot;kr&quot;_-;_-@_-"/>
    <numFmt numFmtId="164" formatCode="#,##0\ &quot;kr&quot;"/>
    <numFmt numFmtId="165" formatCode="_-* #,##0\ &quot;kr&quot;_-;\-* #,##0\ &quot;kr&quot;_-;_-* &quot;-&quot;??\ &quot;kr&quot;_-;_-@_-"/>
    <numFmt numFmtId="166" formatCode="0;;;@"/>
  </numFmts>
  <fonts count="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101">
    <xf numFmtId="0" fontId="0" fillId="0" borderId="0" xfId="0"/>
    <xf numFmtId="164" fontId="2" fillId="0" borderId="0" xfId="0" applyNumberFormat="1" applyFont="1" applyBorder="1" applyProtection="1">
      <protection hidden="1"/>
    </xf>
    <xf numFmtId="164" fontId="2" fillId="0" borderId="0" xfId="0" applyNumberFormat="1" applyFont="1" applyProtection="1">
      <protection hidden="1"/>
    </xf>
    <xf numFmtId="164" fontId="1" fillId="0" borderId="0" xfId="0" applyNumberFormat="1" applyFont="1" applyProtection="1">
      <protection hidden="1"/>
    </xf>
    <xf numFmtId="9" fontId="1" fillId="0" borderId="0" xfId="0" applyNumberFormat="1" applyFont="1" applyProtection="1">
      <protection hidden="1"/>
    </xf>
    <xf numFmtId="164" fontId="2" fillId="2" borderId="0" xfId="0" applyNumberFormat="1" applyFont="1" applyFill="1" applyBorder="1" applyProtection="1">
      <protection hidden="1"/>
    </xf>
    <xf numFmtId="0" fontId="2" fillId="2" borderId="0" xfId="0" applyFont="1" applyFill="1" applyBorder="1" applyProtection="1">
      <protection hidden="1"/>
    </xf>
    <xf numFmtId="0" fontId="2" fillId="2" borderId="0" xfId="0" applyNumberFormat="1" applyFont="1" applyFill="1" applyBorder="1" applyProtection="1">
      <protection hidden="1"/>
    </xf>
    <xf numFmtId="164" fontId="2" fillId="0" borderId="7" xfId="0" applyNumberFormat="1" applyFont="1" applyBorder="1" applyProtection="1">
      <protection hidden="1"/>
    </xf>
    <xf numFmtId="9" fontId="2" fillId="0" borderId="7" xfId="0" applyNumberFormat="1" applyFont="1" applyBorder="1" applyProtection="1">
      <protection hidden="1"/>
    </xf>
    <xf numFmtId="0" fontId="2" fillId="2" borderId="0" xfId="0" applyFont="1" applyFill="1" applyBorder="1" applyAlignment="1" applyProtection="1">
      <alignment horizontal="left"/>
      <protection hidden="1"/>
    </xf>
    <xf numFmtId="9" fontId="2" fillId="2" borderId="0" xfId="0" applyNumberFormat="1" applyFont="1" applyFill="1" applyBorder="1" applyProtection="1">
      <protection hidden="1"/>
    </xf>
    <xf numFmtId="164" fontId="4" fillId="0" borderId="0" xfId="0" applyNumberFormat="1" applyFont="1" applyBorder="1" applyProtection="1">
      <protection hidden="1"/>
    </xf>
    <xf numFmtId="164" fontId="2" fillId="0" borderId="1" xfId="0" applyNumberFormat="1" applyFont="1" applyBorder="1" applyProtection="1">
      <protection hidden="1"/>
    </xf>
    <xf numFmtId="9" fontId="2" fillId="0" borderId="2" xfId="0" applyNumberFormat="1" applyFont="1" applyBorder="1" applyProtection="1">
      <protection hidden="1"/>
    </xf>
    <xf numFmtId="164" fontId="2" fillId="0" borderId="5" xfId="0" applyNumberFormat="1" applyFont="1" applyBorder="1" applyProtection="1">
      <protection locked="0"/>
    </xf>
    <xf numFmtId="164" fontId="2" fillId="0" borderId="3" xfId="0" applyNumberFormat="1" applyFont="1" applyBorder="1" applyProtection="1">
      <protection hidden="1"/>
    </xf>
    <xf numFmtId="9" fontId="2" fillId="0" borderId="8" xfId="0" applyNumberFormat="1" applyFont="1" applyBorder="1" applyProtection="1">
      <protection hidden="1"/>
    </xf>
    <xf numFmtId="9" fontId="2" fillId="0" borderId="8" xfId="0" applyNumberFormat="1" applyFont="1" applyBorder="1" applyProtection="1">
      <protection locked="0" hidden="1"/>
    </xf>
    <xf numFmtId="9" fontId="2" fillId="0" borderId="3" xfId="0" applyNumberFormat="1" applyFont="1" applyBorder="1" applyProtection="1">
      <protection hidden="1"/>
    </xf>
    <xf numFmtId="9" fontId="2" fillId="0" borderId="3" xfId="0" applyNumberFormat="1" applyFont="1" applyBorder="1" applyProtection="1">
      <protection locked="0" hidden="1"/>
    </xf>
    <xf numFmtId="164" fontId="2" fillId="0" borderId="6" xfId="0" applyNumberFormat="1" applyFont="1" applyBorder="1" applyProtection="1">
      <protection locked="0"/>
    </xf>
    <xf numFmtId="164" fontId="2" fillId="0" borderId="2" xfId="0" applyNumberFormat="1" applyFont="1" applyBorder="1" applyProtection="1">
      <protection hidden="1"/>
    </xf>
    <xf numFmtId="9" fontId="2" fillId="0" borderId="2" xfId="0" applyNumberFormat="1" applyFont="1" applyBorder="1" applyProtection="1">
      <protection locked="0" hidden="1"/>
    </xf>
    <xf numFmtId="164" fontId="2" fillId="0" borderId="9" xfId="0" applyNumberFormat="1" applyFont="1" applyBorder="1" applyProtection="1">
      <protection hidden="1"/>
    </xf>
    <xf numFmtId="164" fontId="2" fillId="0" borderId="11" xfId="0" applyNumberFormat="1" applyFont="1" applyBorder="1" applyProtection="1">
      <protection hidden="1"/>
    </xf>
    <xf numFmtId="9" fontId="2" fillId="0" borderId="11" xfId="0" applyNumberFormat="1" applyFont="1" applyBorder="1" applyProtection="1">
      <protection hidden="1"/>
    </xf>
    <xf numFmtId="9" fontId="2" fillId="0" borderId="0" xfId="0" applyNumberFormat="1" applyFont="1" applyBorder="1" applyProtection="1">
      <protection locked="0" hidden="1"/>
    </xf>
    <xf numFmtId="9" fontId="2" fillId="0" borderId="0" xfId="0" applyNumberFormat="1" applyFont="1" applyBorder="1" applyProtection="1">
      <protection hidden="1"/>
    </xf>
    <xf numFmtId="164" fontId="1" fillId="0" borderId="0" xfId="0" applyNumberFormat="1" applyFont="1" applyBorder="1" applyProtection="1">
      <protection hidden="1"/>
    </xf>
    <xf numFmtId="9" fontId="1" fillId="0" borderId="0" xfId="0" applyNumberFormat="1" applyFont="1" applyBorder="1" applyProtection="1">
      <protection hidden="1"/>
    </xf>
    <xf numFmtId="164" fontId="1" fillId="0" borderId="0" xfId="0" applyNumberFormat="1" applyFont="1" applyFill="1" applyBorder="1" applyProtection="1">
      <protection hidden="1"/>
    </xf>
    <xf numFmtId="164" fontId="6" fillId="0" borderId="0" xfId="0" applyNumberFormat="1" applyFont="1" applyBorder="1" applyProtection="1">
      <protection hidden="1"/>
    </xf>
    <xf numFmtId="164" fontId="4" fillId="0" borderId="1" xfId="0" applyNumberFormat="1" applyFont="1" applyBorder="1" applyProtection="1">
      <protection hidden="1"/>
    </xf>
    <xf numFmtId="164" fontId="4" fillId="0" borderId="7" xfId="0" applyNumberFormat="1" applyFont="1" applyBorder="1" applyProtection="1">
      <protection hidden="1"/>
    </xf>
    <xf numFmtId="9" fontId="4" fillId="0" borderId="2" xfId="0" applyNumberFormat="1" applyFont="1" applyBorder="1" applyAlignment="1" applyProtection="1">
      <alignment horizontal="left"/>
      <protection hidden="1"/>
    </xf>
    <xf numFmtId="9" fontId="4" fillId="0" borderId="2" xfId="0" applyNumberFormat="1" applyFont="1" applyBorder="1" applyProtection="1">
      <protection hidden="1"/>
    </xf>
    <xf numFmtId="0" fontId="2" fillId="0" borderId="0" xfId="0" applyNumberFormat="1" applyFont="1" applyBorder="1" applyProtection="1">
      <protection hidden="1"/>
    </xf>
    <xf numFmtId="0" fontId="7" fillId="0" borderId="0" xfId="0" applyNumberFormat="1" applyFont="1" applyAlignment="1" applyProtection="1">
      <alignment horizontal="right"/>
      <protection hidden="1"/>
    </xf>
    <xf numFmtId="16" fontId="2" fillId="0" borderId="0" xfId="0" applyNumberFormat="1" applyFont="1" applyBorder="1" applyProtection="1">
      <protection hidden="1"/>
    </xf>
    <xf numFmtId="0" fontId="2" fillId="0" borderId="0" xfId="0" applyNumberFormat="1" applyFont="1" applyProtection="1">
      <protection hidden="1"/>
    </xf>
    <xf numFmtId="0" fontId="2" fillId="0" borderId="15" xfId="0" applyNumberFormat="1" applyFont="1" applyBorder="1" applyProtection="1">
      <protection hidden="1"/>
    </xf>
    <xf numFmtId="0" fontId="2" fillId="0" borderId="13" xfId="0" applyNumberFormat="1" applyFont="1" applyBorder="1" applyProtection="1">
      <protection hidden="1"/>
    </xf>
    <xf numFmtId="0" fontId="2" fillId="0" borderId="16" xfId="0" applyNumberFormat="1" applyFont="1" applyBorder="1" applyProtection="1">
      <protection hidden="1"/>
    </xf>
    <xf numFmtId="0" fontId="4" fillId="0" borderId="1" xfId="0" applyNumberFormat="1" applyFont="1" applyBorder="1" applyProtection="1">
      <protection hidden="1"/>
    </xf>
    <xf numFmtId="165" fontId="2" fillId="0" borderId="5" xfId="1" applyNumberFormat="1" applyFont="1" applyBorder="1" applyProtection="1">
      <protection locked="0"/>
    </xf>
    <xf numFmtId="9" fontId="2" fillId="0" borderId="5" xfId="2" applyFont="1" applyBorder="1" applyProtection="1">
      <protection locked="0"/>
    </xf>
    <xf numFmtId="165" fontId="2" fillId="0" borderId="4" xfId="1" applyNumberFormat="1" applyFont="1" applyBorder="1" applyProtection="1">
      <protection locked="0"/>
    </xf>
    <xf numFmtId="9" fontId="2" fillId="0" borderId="4" xfId="2" applyFont="1" applyBorder="1" applyProtection="1">
      <protection locked="0"/>
    </xf>
    <xf numFmtId="0" fontId="2" fillId="0" borderId="1" xfId="0" applyNumberFormat="1" applyFont="1" applyBorder="1" applyProtection="1">
      <protection hidden="1"/>
    </xf>
    <xf numFmtId="165" fontId="2" fillId="0" borderId="6" xfId="1" applyNumberFormat="1" applyFont="1" applyBorder="1" applyProtection="1">
      <protection locked="0"/>
    </xf>
    <xf numFmtId="9" fontId="2" fillId="0" borderId="6" xfId="2" applyFont="1" applyBorder="1" applyProtection="1">
      <protection locked="0"/>
    </xf>
    <xf numFmtId="0" fontId="4" fillId="0" borderId="0" xfId="0" applyNumberFormat="1" applyFont="1" applyProtection="1">
      <protection hidden="1"/>
    </xf>
    <xf numFmtId="165" fontId="2" fillId="0" borderId="8" xfId="1" applyNumberFormat="1" applyFont="1" applyBorder="1" applyProtection="1">
      <protection hidden="1"/>
    </xf>
    <xf numFmtId="0" fontId="2" fillId="0" borderId="9" xfId="0" applyNumberFormat="1" applyFont="1" applyBorder="1" applyProtection="1">
      <protection hidden="1"/>
    </xf>
    <xf numFmtId="44" fontId="2" fillId="0" borderId="0" xfId="1" applyFont="1" applyBorder="1" applyProtection="1">
      <protection hidden="1"/>
    </xf>
    <xf numFmtId="165" fontId="2" fillId="0" borderId="10" xfId="1" applyNumberFormat="1" applyFont="1" applyBorder="1" applyProtection="1">
      <protection locked="0"/>
    </xf>
    <xf numFmtId="9" fontId="2" fillId="0" borderId="10" xfId="2" applyFont="1" applyBorder="1" applyProtection="1">
      <protection locked="0"/>
    </xf>
    <xf numFmtId="9" fontId="2" fillId="0" borderId="9" xfId="2" applyFont="1" applyBorder="1" applyProtection="1">
      <protection hidden="1"/>
    </xf>
    <xf numFmtId="0" fontId="2" fillId="0" borderId="12" xfId="0" applyNumberFormat="1" applyFont="1" applyBorder="1" applyProtection="1">
      <protection hidden="1"/>
    </xf>
    <xf numFmtId="165" fontId="2" fillId="0" borderId="0" xfId="0" applyNumberFormat="1" applyFont="1" applyProtection="1">
      <protection hidden="1"/>
    </xf>
    <xf numFmtId="165" fontId="2" fillId="0" borderId="2" xfId="1" applyNumberFormat="1" applyFont="1" applyBorder="1" applyProtection="1">
      <protection hidden="1"/>
    </xf>
    <xf numFmtId="9" fontId="2" fillId="0" borderId="2" xfId="2" applyFont="1" applyBorder="1" applyProtection="1">
      <protection hidden="1"/>
    </xf>
    <xf numFmtId="0" fontId="2" fillId="0" borderId="2" xfId="0" applyNumberFormat="1" applyFont="1" applyBorder="1" applyProtection="1">
      <protection hidden="1"/>
    </xf>
    <xf numFmtId="0" fontId="2" fillId="3" borderId="14" xfId="0" applyNumberFormat="1" applyFont="1" applyFill="1" applyBorder="1" applyProtection="1">
      <protection hidden="1"/>
    </xf>
    <xf numFmtId="0" fontId="2" fillId="3" borderId="19" xfId="0" applyNumberFormat="1" applyFont="1" applyFill="1" applyBorder="1" applyProtection="1">
      <protection hidden="1"/>
    </xf>
    <xf numFmtId="0" fontId="2" fillId="3" borderId="17" xfId="0" applyNumberFormat="1" applyFont="1" applyFill="1" applyBorder="1" applyProtection="1">
      <protection hidden="1"/>
    </xf>
    <xf numFmtId="0" fontId="2" fillId="3" borderId="20" xfId="0" applyNumberFormat="1" applyFont="1" applyFill="1" applyBorder="1" applyProtection="1">
      <protection hidden="1"/>
    </xf>
    <xf numFmtId="0" fontId="2" fillId="3" borderId="16" xfId="0" applyNumberFormat="1" applyFont="1" applyFill="1" applyBorder="1" applyProtection="1">
      <protection hidden="1"/>
    </xf>
    <xf numFmtId="0" fontId="2" fillId="3" borderId="21" xfId="0" applyNumberFormat="1" applyFont="1" applyFill="1" applyBorder="1" applyProtection="1">
      <protection hidden="1"/>
    </xf>
    <xf numFmtId="0" fontId="4" fillId="0" borderId="23" xfId="0" applyNumberFormat="1" applyFont="1" applyBorder="1" applyProtection="1">
      <protection hidden="1"/>
    </xf>
    <xf numFmtId="0" fontId="2" fillId="0" borderId="22" xfId="0" applyNumberFormat="1" applyFont="1" applyBorder="1" applyProtection="1">
      <protection hidden="1"/>
    </xf>
    <xf numFmtId="0" fontId="2" fillId="0" borderId="18" xfId="0" applyNumberFormat="1" applyFont="1" applyBorder="1" applyProtection="1">
      <protection hidden="1"/>
    </xf>
    <xf numFmtId="49" fontId="2" fillId="0" borderId="2" xfId="0" applyNumberFormat="1" applyFont="1" applyBorder="1" applyProtection="1">
      <protection locked="0"/>
    </xf>
    <xf numFmtId="0" fontId="2" fillId="0" borderId="0" xfId="0" applyNumberFormat="1" applyFont="1" applyProtection="1">
      <protection locked="0"/>
    </xf>
    <xf numFmtId="0" fontId="2" fillId="0" borderId="1" xfId="0" applyNumberFormat="1" applyFont="1" applyBorder="1" applyProtection="1">
      <protection locked="0"/>
    </xf>
    <xf numFmtId="0" fontId="2" fillId="0" borderId="0" xfId="0" applyNumberFormat="1" applyFont="1" applyBorder="1" applyProtection="1">
      <protection locked="0"/>
    </xf>
    <xf numFmtId="164" fontId="0" fillId="0" borderId="4" xfId="0" applyNumberFormat="1" applyBorder="1" applyProtection="1">
      <protection locked="0"/>
    </xf>
    <xf numFmtId="164" fontId="0" fillId="0" borderId="6" xfId="0" applyNumberFormat="1" applyBorder="1" applyProtection="1">
      <protection locked="0"/>
    </xf>
    <xf numFmtId="9" fontId="2" fillId="0" borderId="1" xfId="0" applyNumberFormat="1" applyFont="1" applyBorder="1" applyProtection="1">
      <protection locked="0"/>
    </xf>
    <xf numFmtId="49" fontId="4" fillId="0" borderId="24" xfId="0" applyNumberFormat="1" applyFont="1" applyBorder="1" applyProtection="1">
      <protection locked="0"/>
    </xf>
    <xf numFmtId="0" fontId="1" fillId="0" borderId="0" xfId="0" applyNumberFormat="1" applyFont="1" applyBorder="1" applyProtection="1">
      <protection hidden="1"/>
    </xf>
    <xf numFmtId="0" fontId="1" fillId="0" borderId="0" xfId="0" quotePrefix="1" applyNumberFormat="1" applyFont="1" applyBorder="1" applyProtection="1">
      <protection hidden="1"/>
    </xf>
    <xf numFmtId="0" fontId="1" fillId="0" borderId="0" xfId="0" applyNumberFormat="1" applyFont="1" applyProtection="1">
      <protection hidden="1"/>
    </xf>
    <xf numFmtId="166" fontId="1" fillId="0" borderId="0" xfId="0" applyNumberFormat="1" applyFont="1" applyBorder="1" applyProtection="1">
      <protection hidden="1"/>
    </xf>
    <xf numFmtId="165" fontId="1" fillId="0" borderId="0" xfId="1" applyNumberFormat="1" applyFont="1" applyBorder="1" applyProtection="1">
      <protection hidden="1"/>
    </xf>
    <xf numFmtId="0" fontId="6" fillId="0" borderId="0" xfId="0" applyNumberFormat="1" applyFont="1" applyBorder="1" applyProtection="1">
      <protection hidden="1"/>
    </xf>
    <xf numFmtId="0" fontId="1" fillId="0" borderId="0" xfId="0" applyFont="1" applyProtection="1">
      <protection hidden="1"/>
    </xf>
    <xf numFmtId="9" fontId="1" fillId="0" borderId="0" xfId="2" applyFont="1" applyBorder="1" applyProtection="1">
      <protection hidden="1"/>
    </xf>
    <xf numFmtId="1" fontId="1" fillId="0" borderId="0" xfId="0" applyNumberFormat="1" applyFont="1" applyBorder="1" applyProtection="1">
      <protection hidden="1"/>
    </xf>
    <xf numFmtId="0" fontId="1" fillId="0" borderId="0" xfId="2" applyNumberFormat="1" applyFont="1" applyBorder="1" applyProtection="1">
      <protection hidden="1"/>
    </xf>
    <xf numFmtId="49" fontId="1" fillId="0" borderId="0" xfId="0" applyNumberFormat="1" applyFont="1" applyBorder="1" applyProtection="1">
      <protection hidden="1"/>
    </xf>
    <xf numFmtId="0" fontId="1" fillId="0" borderId="0" xfId="1" applyNumberFormat="1" applyFont="1" applyBorder="1" applyProtection="1">
      <protection hidden="1"/>
    </xf>
    <xf numFmtId="0" fontId="2" fillId="0" borderId="17" xfId="0" applyNumberFormat="1" applyFont="1" applyBorder="1" applyProtection="1">
      <protection hidden="1"/>
    </xf>
    <xf numFmtId="49" fontId="4" fillId="0" borderId="25" xfId="0" applyNumberFormat="1" applyFont="1" applyBorder="1" applyProtection="1">
      <protection locked="0"/>
    </xf>
    <xf numFmtId="0" fontId="2" fillId="0" borderId="26" xfId="0" applyNumberFormat="1" applyFont="1" applyBorder="1" applyProtection="1">
      <protection hidden="1"/>
    </xf>
    <xf numFmtId="0" fontId="4" fillId="0" borderId="24" xfId="0" applyNumberFormat="1" applyFont="1" applyBorder="1" applyProtection="1">
      <protection locked="0"/>
    </xf>
    <xf numFmtId="0" fontId="1" fillId="2" borderId="0" xfId="0" applyNumberFormat="1" applyFont="1" applyFill="1" applyBorder="1" applyProtection="1">
      <protection hidden="1"/>
    </xf>
    <xf numFmtId="165" fontId="1" fillId="0" borderId="0" xfId="0" applyNumberFormat="1" applyFont="1" applyBorder="1" applyProtection="1">
      <protection hidden="1"/>
    </xf>
    <xf numFmtId="0" fontId="1" fillId="0" borderId="0" xfId="0" applyFont="1"/>
    <xf numFmtId="10" fontId="1" fillId="0" borderId="0" xfId="0" applyNumberFormat="1" applyFont="1" applyBorder="1" applyProtection="1">
      <protection hidden="1"/>
    </xf>
  </cellXfs>
  <cellStyles count="3">
    <cellStyle name="Currency" xfId="1" builtinId="4"/>
    <cellStyle name="Normal" xfId="0" builtinId="0"/>
    <cellStyle name="Percent" xfId="2" builtinId="5"/>
  </cellStyles>
  <dxfs count="91">
    <dxf>
      <fill>
        <patternFill>
          <bgColor theme="0"/>
        </patternFill>
      </fill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theme="7"/>
        </patternFill>
      </fill>
    </dxf>
    <dxf>
      <fill>
        <patternFill>
          <bgColor theme="0"/>
        </patternFill>
      </fill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theme="7"/>
        </patternFill>
      </fill>
    </dxf>
    <dxf>
      <fill>
        <patternFill>
          <bgColor theme="0"/>
        </patternFill>
      </fill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theme="7"/>
        </patternFill>
      </fill>
    </dxf>
    <dxf>
      <fill>
        <patternFill>
          <bgColor theme="0"/>
        </patternFill>
      </fill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theme="7"/>
        </patternFill>
      </fill>
    </dxf>
    <dxf>
      <fill>
        <patternFill>
          <bgColor theme="0"/>
        </patternFill>
      </fill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theme="7"/>
        </patternFill>
      </fill>
    </dxf>
    <dxf>
      <fill>
        <patternFill>
          <bgColor theme="0"/>
        </patternFill>
      </fill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theme="7"/>
        </patternFill>
      </fill>
    </dxf>
    <dxf>
      <fill>
        <patternFill>
          <bgColor theme="0"/>
        </patternFill>
      </fill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theme="7"/>
        </patternFill>
      </fill>
    </dxf>
    <dxf>
      <fill>
        <patternFill>
          <bgColor theme="0"/>
        </patternFill>
      </fill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theme="7"/>
        </patternFill>
      </fill>
    </dxf>
    <dxf>
      <fill>
        <patternFill>
          <bgColor theme="0"/>
        </patternFill>
      </fill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theme="7"/>
        </patternFill>
      </fill>
    </dxf>
    <dxf>
      <fill>
        <patternFill>
          <bgColor theme="0"/>
        </patternFill>
      </fill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theme="7"/>
        </patternFill>
      </fill>
    </dxf>
    <dxf>
      <fill>
        <patternFill>
          <bgColor theme="0"/>
        </patternFill>
      </fill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theme="7"/>
        </patternFill>
      </fill>
    </dxf>
    <dxf>
      <fill>
        <patternFill>
          <bgColor theme="0"/>
        </patternFill>
      </fill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theme="7"/>
        </patternFill>
      </fill>
    </dxf>
    <dxf>
      <fill>
        <patternFill>
          <bgColor theme="0"/>
        </patternFill>
      </fill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theme="7"/>
        </patternFill>
      </fill>
    </dxf>
  </dxfs>
  <tableStyles count="0" defaultTableStyle="TableStyleMedium2" defaultPivotStyle="PivotStyleLight16"/>
  <colors>
    <mruColors>
      <color rgb="FFFF7C8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v-SE" sz="1400" b="1"/>
              <a:t>Utgifter</a:t>
            </a:r>
            <a:endParaRPr lang="sv-SE" b="1"/>
          </a:p>
        </c:rich>
      </c:tx>
      <c:layout>
        <c:manualLayout>
          <c:xMode val="edge"/>
          <c:yMode val="edge"/>
          <c:x val="0.82017419508957312"/>
          <c:y val="0.111790940408997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C6-4CDF-A349-36469E0308A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C6-4CDF-A349-36469E0308A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C6-4CDF-A349-36469E0308A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C6-4CDF-A349-36469E0308A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6C6-4CDF-A349-36469E0308A0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6C6-4CDF-A349-36469E0308A0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A6C6-4CDF-A349-36469E0308A0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A6C6-4CDF-A349-36469E0308A0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A6C6-4CDF-A349-36469E0308A0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A6C6-4CDF-A349-36469E0308A0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A6C6-4CDF-A349-36469E0308A0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A6C6-4CDF-A349-36469E0308A0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F544-42A5-ADD7-215FAF99C56D}"/>
              </c:ext>
            </c:extLst>
          </c:dPt>
          <c:dLbls>
            <c:dLbl>
              <c:idx val="0"/>
              <c:layout>
                <c:manualLayout>
                  <c:x val="5.0546498450561375E-2"/>
                  <c:y val="-2.698351691156453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4.5916284852036658E-2"/>
                      <c:h val="9.321360324930998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6C6-4CDF-A349-36469E0308A0}"/>
                </c:ext>
              </c:extLst>
            </c:dLbl>
            <c:dLbl>
              <c:idx val="1"/>
              <c:layout>
                <c:manualLayout>
                  <c:x val="-1.5396395492707902E-16"/>
                  <c:y val="-2.989094043253378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6C6-4CDF-A349-36469E0308A0}"/>
                </c:ext>
              </c:extLst>
            </c:dLbl>
            <c:dLbl>
              <c:idx val="2"/>
              <c:layout>
                <c:manualLayout>
                  <c:x val="2.0833333333333332E-2"/>
                  <c:y val="8.887005572844465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6C6-4CDF-A349-36469E0308A0}"/>
                </c:ext>
              </c:extLst>
            </c:dLbl>
            <c:dLbl>
              <c:idx val="3"/>
              <c:layout>
                <c:manualLayout>
                  <c:x val="-7.9861111111111105E-2"/>
                  <c:y val="8.8870055728444836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6C6-4CDF-A349-36469E0308A0}"/>
                </c:ext>
              </c:extLst>
            </c:dLbl>
            <c:dLbl>
              <c:idx val="4"/>
              <c:layout>
                <c:manualLayout>
                  <c:x val="-9.4638834908120639E-2"/>
                  <c:y val="0.1101201074473395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6C6-4CDF-A349-36469E0308A0}"/>
                </c:ext>
              </c:extLst>
            </c:dLbl>
            <c:dLbl>
              <c:idx val="5"/>
              <c:layout>
                <c:manualLayout>
                  <c:x val="-3.1492990949691393E-2"/>
                  <c:y val="9.266191534085428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6C6-4CDF-A349-36469E0308A0}"/>
                </c:ext>
              </c:extLst>
            </c:dLbl>
            <c:dLbl>
              <c:idx val="6"/>
              <c:layout>
                <c:manualLayout>
                  <c:x val="-9.884666219758257E-3"/>
                  <c:y val="3.818932450946495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6C6-4CDF-A349-36469E0308A0}"/>
                </c:ext>
              </c:extLst>
            </c:dLbl>
            <c:dLbl>
              <c:idx val="7"/>
              <c:layout>
                <c:manualLayout>
                  <c:x val="-3.124991808140087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6C6-4CDF-A349-36469E0308A0}"/>
                </c:ext>
              </c:extLst>
            </c:dLbl>
            <c:dLbl>
              <c:idx val="8"/>
              <c:layout>
                <c:manualLayout>
                  <c:x val="-0.10218210884010735"/>
                  <c:y val="1.974896787994856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6C6-4CDF-A349-36469E0308A0}"/>
                </c:ext>
              </c:extLst>
            </c:dLbl>
            <c:dLbl>
              <c:idx val="9"/>
              <c:layout>
                <c:manualLayout>
                  <c:x val="-4.8030200207804144E-2"/>
                  <c:y val="-8.430822125603616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6C6-4CDF-A349-36469E0308A0}"/>
                </c:ext>
              </c:extLst>
            </c:dLbl>
            <c:dLbl>
              <c:idx val="10"/>
              <c:layout>
                <c:manualLayout>
                  <c:x val="1.3888888888888888E-2"/>
                  <c:y val="-0.1135561823196795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A6C6-4CDF-A349-36469E0308A0}"/>
                </c:ext>
              </c:extLst>
            </c:dLbl>
            <c:dLbl>
              <c:idx val="11"/>
              <c:layout>
                <c:manualLayout>
                  <c:x val="0.10804178896720353"/>
                  <c:y val="-7.029596032177715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6C6-4CDF-A349-36469E0308A0}"/>
                </c:ext>
              </c:extLst>
            </c:dLbl>
            <c:dLbl>
              <c:idx val="12"/>
              <c:layout>
                <c:manualLayout>
                  <c:x val="0.15366446987211854"/>
                  <c:y val="-2.078997283690208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F544-42A5-ADD7-215FAF99C56D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overflow" horzOverflow="overflow" vert="horz" wrap="square" lIns="3600" tIns="0" rIns="360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Överblick!$AC$4:$AC$16</c:f>
              <c:strCache>
                <c:ptCount val="13"/>
                <c:pt idx="0">
                  <c:v>Hyra</c:v>
                </c:pt>
                <c:pt idx="1">
                  <c:v>Mat/förbrukningsvaror</c:v>
                </c:pt>
                <c:pt idx="2">
                  <c:v>Kläder och accessoarer</c:v>
                </c:pt>
                <c:pt idx="3">
                  <c:v>Utemat</c:v>
                </c:pt>
                <c:pt idx="4">
                  <c:v>Studiematerial</c:v>
                </c:pt>
                <c:pt idx="5">
                  <c:v>Teknik och prylar</c:v>
                </c:pt>
                <c:pt idx="6">
                  <c:v>Dricka och aktiviteter</c:v>
                </c:pt>
                <c:pt idx="7">
                  <c:v>Hushåll</c:v>
                </c:pt>
                <c:pt idx="8">
                  <c:v>Transport</c:v>
                </c:pt>
                <c:pt idx="9">
                  <c:v>Sport och gym</c:v>
                </c:pt>
                <c:pt idx="10">
                  <c:v>Date night</c:v>
                </c:pt>
                <c:pt idx="11">
                  <c:v>Godis och snacks</c:v>
                </c:pt>
                <c:pt idx="12">
                  <c:v>Övriga utgifter</c:v>
                </c:pt>
              </c:strCache>
            </c:strRef>
          </c:cat>
          <c:val>
            <c:numRef>
              <c:f>Överblick!$AD$4:$AD$16</c:f>
              <c:numCache>
                <c:formatCode>General</c:formatCode>
                <c:ptCount val="13"/>
                <c:pt idx="0">
                  <c:v>34213</c:v>
                </c:pt>
                <c:pt idx="1">
                  <c:v>10408</c:v>
                </c:pt>
                <c:pt idx="2">
                  <c:v>9478</c:v>
                </c:pt>
                <c:pt idx="3">
                  <c:v>3383</c:v>
                </c:pt>
                <c:pt idx="4">
                  <c:v>5524</c:v>
                </c:pt>
                <c:pt idx="5">
                  <c:v>3910</c:v>
                </c:pt>
                <c:pt idx="6">
                  <c:v>2063</c:v>
                </c:pt>
                <c:pt idx="7">
                  <c:v>6613</c:v>
                </c:pt>
                <c:pt idx="8">
                  <c:v>2515</c:v>
                </c:pt>
                <c:pt idx="9">
                  <c:v>100</c:v>
                </c:pt>
                <c:pt idx="10">
                  <c:v>5411</c:v>
                </c:pt>
                <c:pt idx="11">
                  <c:v>1716</c:v>
                </c:pt>
                <c:pt idx="12">
                  <c:v>10093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F-4379-BD02-B7062CF9C0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Sparande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Överblick!$W$3</c:f>
              <c:strCache>
                <c:ptCount val="1"/>
                <c:pt idx="0">
                  <c:v>Sparande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[0]!Chart_Månad</c:f>
              <c:strCache>
                <c:ptCount val="12"/>
                <c:pt idx="0">
                  <c:v>September 18</c:v>
                </c:pt>
                <c:pt idx="1">
                  <c:v>Oktober 18</c:v>
                </c:pt>
                <c:pt idx="2">
                  <c:v>November 18</c:v>
                </c:pt>
                <c:pt idx="3">
                  <c:v>December 18</c:v>
                </c:pt>
                <c:pt idx="4">
                  <c:v>Januari 19</c:v>
                </c:pt>
                <c:pt idx="5">
                  <c:v>Februari 19</c:v>
                </c:pt>
                <c:pt idx="6">
                  <c:v>Mars 19</c:v>
                </c:pt>
                <c:pt idx="7">
                  <c:v>April 19</c:v>
                </c:pt>
                <c:pt idx="8">
                  <c:v>Maj 19</c:v>
                </c:pt>
                <c:pt idx="9">
                  <c:v>Juni 19</c:v>
                </c:pt>
                <c:pt idx="10">
                  <c:v>Juli 19</c:v>
                </c:pt>
                <c:pt idx="11">
                  <c:v>Augusti 19</c:v>
                </c:pt>
              </c:strCache>
            </c:strRef>
          </c:cat>
          <c:val>
            <c:numRef>
              <c:f>[0]!Chart_Sparande</c:f>
              <c:numCache>
                <c:formatCode>General</c:formatCode>
                <c:ptCount val="12"/>
                <c:pt idx="0">
                  <c:v>6447</c:v>
                </c:pt>
                <c:pt idx="1">
                  <c:v>2014</c:v>
                </c:pt>
                <c:pt idx="2">
                  <c:v>1263</c:v>
                </c:pt>
                <c:pt idx="3">
                  <c:v>2853</c:v>
                </c:pt>
                <c:pt idx="4">
                  <c:v>4391</c:v>
                </c:pt>
                <c:pt idx="5">
                  <c:v>-2064</c:v>
                </c:pt>
                <c:pt idx="6">
                  <c:v>-3951</c:v>
                </c:pt>
                <c:pt idx="7">
                  <c:v>10175</c:v>
                </c:pt>
                <c:pt idx="8">
                  <c:v>3825</c:v>
                </c:pt>
                <c:pt idx="9">
                  <c:v>-15243</c:v>
                </c:pt>
                <c:pt idx="10">
                  <c:v>4924</c:v>
                </c:pt>
                <c:pt idx="11">
                  <c:v>4592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E-4574-A24B-FDE4D43E2277}"/>
            </c:ext>
          </c:extLst>
        </c:ser>
        <c:ser>
          <c:idx val="1"/>
          <c:order val="1"/>
          <c:tx>
            <c:strRef>
              <c:f>Överblick!$X$3</c:f>
              <c:strCache>
                <c:ptCount val="1"/>
                <c:pt idx="0">
                  <c:v>Kolumn1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[0]!Chart_Månad</c:f>
              <c:strCache>
                <c:ptCount val="12"/>
                <c:pt idx="0">
                  <c:v>September 18</c:v>
                </c:pt>
                <c:pt idx="1">
                  <c:v>Oktober 18</c:v>
                </c:pt>
                <c:pt idx="2">
                  <c:v>November 18</c:v>
                </c:pt>
                <c:pt idx="3">
                  <c:v>December 18</c:v>
                </c:pt>
                <c:pt idx="4">
                  <c:v>Januari 19</c:v>
                </c:pt>
                <c:pt idx="5">
                  <c:v>Februari 19</c:v>
                </c:pt>
                <c:pt idx="6">
                  <c:v>Mars 19</c:v>
                </c:pt>
                <c:pt idx="7">
                  <c:v>April 19</c:v>
                </c:pt>
                <c:pt idx="8">
                  <c:v>Maj 19</c:v>
                </c:pt>
                <c:pt idx="9">
                  <c:v>Juni 19</c:v>
                </c:pt>
                <c:pt idx="10">
                  <c:v>Juli 19</c:v>
                </c:pt>
                <c:pt idx="11">
                  <c:v>Augusti 19</c:v>
                </c:pt>
              </c:strCache>
            </c:strRef>
          </c:cat>
          <c:val>
            <c:numRef>
              <c:f>[0]!Chart_Kolumn1</c:f>
              <c:numCache>
                <c:formatCode>General</c:formatCode>
                <c:ptCount val="12"/>
                <c:pt idx="0">
                  <c:v>6447</c:v>
                </c:pt>
                <c:pt idx="1">
                  <c:v>2014</c:v>
                </c:pt>
                <c:pt idx="2">
                  <c:v>0</c:v>
                </c:pt>
                <c:pt idx="3">
                  <c:v>2853</c:v>
                </c:pt>
                <c:pt idx="4">
                  <c:v>4391</c:v>
                </c:pt>
                <c:pt idx="5">
                  <c:v>0</c:v>
                </c:pt>
                <c:pt idx="6">
                  <c:v>0</c:v>
                </c:pt>
                <c:pt idx="7">
                  <c:v>10175</c:v>
                </c:pt>
                <c:pt idx="8">
                  <c:v>3825</c:v>
                </c:pt>
                <c:pt idx="9">
                  <c:v>0</c:v>
                </c:pt>
                <c:pt idx="10">
                  <c:v>4924</c:v>
                </c:pt>
                <c:pt idx="11">
                  <c:v>4592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EE-4574-A24B-FDE4D43E2277}"/>
            </c:ext>
          </c:extLst>
        </c:ser>
        <c:ser>
          <c:idx val="2"/>
          <c:order val="2"/>
          <c:tx>
            <c:strRef>
              <c:f>Överblick!$Y$3</c:f>
              <c:strCache>
                <c:ptCount val="1"/>
                <c:pt idx="0">
                  <c:v>Kolumn2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[0]!Chart_Månad</c:f>
              <c:strCache>
                <c:ptCount val="12"/>
                <c:pt idx="0">
                  <c:v>September 18</c:v>
                </c:pt>
                <c:pt idx="1">
                  <c:v>Oktober 18</c:v>
                </c:pt>
                <c:pt idx="2">
                  <c:v>November 18</c:v>
                </c:pt>
                <c:pt idx="3">
                  <c:v>December 18</c:v>
                </c:pt>
                <c:pt idx="4">
                  <c:v>Januari 19</c:v>
                </c:pt>
                <c:pt idx="5">
                  <c:v>Februari 19</c:v>
                </c:pt>
                <c:pt idx="6">
                  <c:v>Mars 19</c:v>
                </c:pt>
                <c:pt idx="7">
                  <c:v>April 19</c:v>
                </c:pt>
                <c:pt idx="8">
                  <c:v>Maj 19</c:v>
                </c:pt>
                <c:pt idx="9">
                  <c:v>Juni 19</c:v>
                </c:pt>
                <c:pt idx="10">
                  <c:v>Juli 19</c:v>
                </c:pt>
                <c:pt idx="11">
                  <c:v>Augusti 19</c:v>
                </c:pt>
              </c:strCache>
            </c:strRef>
          </c:cat>
          <c:val>
            <c:numRef>
              <c:f>[0]!Chart_Kolumn2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-2064</c:v>
                </c:pt>
                <c:pt idx="6">
                  <c:v>-3951</c:v>
                </c:pt>
                <c:pt idx="7">
                  <c:v>0</c:v>
                </c:pt>
                <c:pt idx="8">
                  <c:v>0</c:v>
                </c:pt>
                <c:pt idx="9">
                  <c:v>-15243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EE-4574-A24B-FDE4D43E227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1"/>
        <c:overlap val="100"/>
        <c:axId val="490860320"/>
        <c:axId val="378612992"/>
      </c:barChart>
      <c:scatterChart>
        <c:scatterStyle val="lineMarker"/>
        <c:varyColors val="0"/>
        <c:ser>
          <c:idx val="3"/>
          <c:order val="3"/>
          <c:tx>
            <c:strRef>
              <c:f>Överblick!$A$33</c:f>
              <c:strCache>
                <c:ptCount val="1"/>
                <c:pt idx="0">
                  <c:v>Sparande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753-4373-BC51-14B6F92EBE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Dir val="y"/>
            <c:errBarType val="both"/>
            <c:errValType val="fixedVal"/>
            <c:noEndCap val="0"/>
            <c:val val="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x"/>
            <c:errBarType val="plus"/>
            <c:errValType val="fixedVal"/>
            <c:noEndCap val="0"/>
            <c:val val="11"/>
            <c:spPr>
              <a:noFill/>
              <a:ln w="19050" cap="flat" cmpd="sng" algn="ctr">
                <a:solidFill>
                  <a:schemeClr val="accent6">
                    <a:lumMod val="50000"/>
                  </a:schemeClr>
                </a:solidFill>
                <a:prstDash val="sysDash"/>
                <a:round/>
                <a:headEnd w="sm" len="sm"/>
                <a:tailEnd w="sm" len="sm"/>
              </a:ln>
              <a:effectLst/>
            </c:spPr>
          </c:errBars>
          <c:yVal>
            <c:numRef>
              <c:f>Överblick!$B$33</c:f>
              <c:numCache>
                <c:formatCode>_-* #\ ##0\ "kr"_-;\-* #\ ##0\ "kr"_-;_-* "-"??\ "kr"_-;_-@_-</c:formatCode>
                <c:ptCount val="1"/>
                <c:pt idx="0">
                  <c:v>1544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53-4373-BC51-14B6F92EB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860320"/>
        <c:axId val="378612992"/>
      </c:scatterChart>
      <c:catAx>
        <c:axId val="490860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378612992"/>
        <c:crosses val="autoZero"/>
        <c:auto val="1"/>
        <c:lblAlgn val="ctr"/>
        <c:lblOffset val="100"/>
        <c:noMultiLvlLbl val="0"/>
      </c:catAx>
      <c:valAx>
        <c:axId val="378612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490860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Överblick!$A$5</c:f>
          <c:strCache>
            <c:ptCount val="1"/>
            <c:pt idx="0">
              <c:v>Hyra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Överblick!$BQ$3</c:f>
              <c:strCache>
                <c:ptCount val="1"/>
                <c:pt idx="0">
                  <c:v>Hyra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[0]!Chart_Månad</c:f>
              <c:strCache>
                <c:ptCount val="12"/>
                <c:pt idx="0">
                  <c:v>September 18</c:v>
                </c:pt>
                <c:pt idx="1">
                  <c:v>Oktober 18</c:v>
                </c:pt>
                <c:pt idx="2">
                  <c:v>November 18</c:v>
                </c:pt>
                <c:pt idx="3">
                  <c:v>December 18</c:v>
                </c:pt>
                <c:pt idx="4">
                  <c:v>Januari 19</c:v>
                </c:pt>
                <c:pt idx="5">
                  <c:v>Februari 19</c:v>
                </c:pt>
                <c:pt idx="6">
                  <c:v>Mars 19</c:v>
                </c:pt>
                <c:pt idx="7">
                  <c:v>April 19</c:v>
                </c:pt>
                <c:pt idx="8">
                  <c:v>Maj 19</c:v>
                </c:pt>
                <c:pt idx="9">
                  <c:v>Juni 19</c:v>
                </c:pt>
                <c:pt idx="10">
                  <c:v>Juli 19</c:v>
                </c:pt>
                <c:pt idx="11">
                  <c:v>Augusti 19</c:v>
                </c:pt>
              </c:strCache>
            </c:strRef>
          </c:cat>
          <c:val>
            <c:numRef>
              <c:f>[0]!Chart_Hyra</c:f>
              <c:numCache>
                <c:formatCode>General</c:formatCode>
                <c:ptCount val="12"/>
                <c:pt idx="0">
                  <c:v>5000</c:v>
                </c:pt>
                <c:pt idx="1">
                  <c:v>5000</c:v>
                </c:pt>
                <c:pt idx="2">
                  <c:v>5000</c:v>
                </c:pt>
                <c:pt idx="3">
                  <c:v>5000</c:v>
                </c:pt>
                <c:pt idx="4">
                  <c:v>5000</c:v>
                </c:pt>
                <c:pt idx="5">
                  <c:v>6465</c:v>
                </c:pt>
                <c:pt idx="6">
                  <c:v>2748</c:v>
                </c:pt>
                <c:pt idx="7">
                  <c:v>2750</c:v>
                </c:pt>
                <c:pt idx="8">
                  <c:v>2730</c:v>
                </c:pt>
                <c:pt idx="9">
                  <c:v>830</c:v>
                </c:pt>
                <c:pt idx="10">
                  <c:v>830</c:v>
                </c:pt>
                <c:pt idx="11">
                  <c:v>7854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E-4574-A24B-FDE4D43E2277}"/>
            </c:ext>
          </c:extLst>
        </c:ser>
        <c:ser>
          <c:idx val="1"/>
          <c:order val="1"/>
          <c:tx>
            <c:strRef>
              <c:f>Överblick!$BR$3</c:f>
              <c:strCache>
                <c:ptCount val="1"/>
                <c:pt idx="0">
                  <c:v>Hyra1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[0]!Chart_Månad</c:f>
              <c:strCache>
                <c:ptCount val="12"/>
                <c:pt idx="0">
                  <c:v>September 18</c:v>
                </c:pt>
                <c:pt idx="1">
                  <c:v>Oktober 18</c:v>
                </c:pt>
                <c:pt idx="2">
                  <c:v>November 18</c:v>
                </c:pt>
                <c:pt idx="3">
                  <c:v>December 18</c:v>
                </c:pt>
                <c:pt idx="4">
                  <c:v>Januari 19</c:v>
                </c:pt>
                <c:pt idx="5">
                  <c:v>Februari 19</c:v>
                </c:pt>
                <c:pt idx="6">
                  <c:v>Mars 19</c:v>
                </c:pt>
                <c:pt idx="7">
                  <c:v>April 19</c:v>
                </c:pt>
                <c:pt idx="8">
                  <c:v>Maj 19</c:v>
                </c:pt>
                <c:pt idx="9">
                  <c:v>Juni 19</c:v>
                </c:pt>
                <c:pt idx="10">
                  <c:v>Juli 19</c:v>
                </c:pt>
                <c:pt idx="11">
                  <c:v>Augusti 19</c:v>
                </c:pt>
              </c:strCache>
            </c:strRef>
          </c:cat>
          <c:val>
            <c:numRef>
              <c:f>[0]!Chart_Hyra1</c:f>
              <c:numCache>
                <c:formatCode>0;;;@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2748</c:v>
                </c:pt>
                <c:pt idx="7">
                  <c:v>2750</c:v>
                </c:pt>
                <c:pt idx="8">
                  <c:v>2730</c:v>
                </c:pt>
                <c:pt idx="9">
                  <c:v>830</c:v>
                </c:pt>
                <c:pt idx="10">
                  <c:v>830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EE-4574-A24B-FDE4D43E2277}"/>
            </c:ext>
          </c:extLst>
        </c:ser>
        <c:ser>
          <c:idx val="2"/>
          <c:order val="2"/>
          <c:tx>
            <c:strRef>
              <c:f>Överblick!$BS$3</c:f>
              <c:strCache>
                <c:ptCount val="1"/>
                <c:pt idx="0">
                  <c:v>Hyra2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[0]!Chart_Månad</c:f>
              <c:strCache>
                <c:ptCount val="12"/>
                <c:pt idx="0">
                  <c:v>September 18</c:v>
                </c:pt>
                <c:pt idx="1">
                  <c:v>Oktober 18</c:v>
                </c:pt>
                <c:pt idx="2">
                  <c:v>November 18</c:v>
                </c:pt>
                <c:pt idx="3">
                  <c:v>December 18</c:v>
                </c:pt>
                <c:pt idx="4">
                  <c:v>Januari 19</c:v>
                </c:pt>
                <c:pt idx="5">
                  <c:v>Februari 19</c:v>
                </c:pt>
                <c:pt idx="6">
                  <c:v>Mars 19</c:v>
                </c:pt>
                <c:pt idx="7">
                  <c:v>April 19</c:v>
                </c:pt>
                <c:pt idx="8">
                  <c:v>Maj 19</c:v>
                </c:pt>
                <c:pt idx="9">
                  <c:v>Juni 19</c:v>
                </c:pt>
                <c:pt idx="10">
                  <c:v>Juli 19</c:v>
                </c:pt>
                <c:pt idx="11">
                  <c:v>Augusti 19</c:v>
                </c:pt>
              </c:strCache>
            </c:strRef>
          </c:cat>
          <c:val>
            <c:numRef>
              <c:f>[0]!Chart_Hyra2</c:f>
              <c:numCache>
                <c:formatCode>0;;;@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6465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7854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EE-4574-A24B-FDE4D43E227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1"/>
        <c:overlap val="100"/>
        <c:axId val="490860320"/>
        <c:axId val="378612992"/>
      </c:barChart>
      <c:scatterChart>
        <c:scatterStyle val="lineMarker"/>
        <c:varyColors val="0"/>
        <c:ser>
          <c:idx val="3"/>
          <c:order val="3"/>
          <c:tx>
            <c:strRef>
              <c:f>Överblick!$A$5</c:f>
              <c:strCache>
                <c:ptCount val="1"/>
                <c:pt idx="0">
                  <c:v>Hyra</c:v>
                </c:pt>
              </c:strCache>
            </c:strRef>
          </c:tx>
          <c:spPr>
            <a:ln w="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errBars>
            <c:errDir val="y"/>
            <c:errBarType val="both"/>
            <c:errValType val="fixedVal"/>
            <c:noEndCap val="0"/>
            <c:val val="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x"/>
            <c:errBarType val="plus"/>
            <c:errValType val="fixedVal"/>
            <c:noEndCap val="0"/>
            <c:val val="11"/>
            <c:spPr>
              <a:noFill/>
              <a:ln w="19050" cap="rnd" cmpd="sng" algn="ctr">
                <a:solidFill>
                  <a:schemeClr val="accent6">
                    <a:lumMod val="50000"/>
                  </a:schemeClr>
                </a:solidFill>
                <a:prstDash val="sysDash"/>
                <a:round/>
                <a:tailEnd w="sm" len="sm"/>
              </a:ln>
              <a:effectLst/>
            </c:spPr>
          </c:errBars>
          <c:yVal>
            <c:numRef>
              <c:f>Överblick!$AF$23</c:f>
              <c:numCache>
                <c:formatCode>General</c:formatCode>
                <c:ptCount val="1"/>
                <c:pt idx="0">
                  <c:v>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1B-475C-BC20-E31AEBBF5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860320"/>
        <c:axId val="378612992"/>
      </c:scatterChart>
      <c:catAx>
        <c:axId val="490860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378612992"/>
        <c:crosses val="autoZero"/>
        <c:auto val="1"/>
        <c:lblAlgn val="ctr"/>
        <c:lblOffset val="100"/>
        <c:noMultiLvlLbl val="0"/>
      </c:catAx>
      <c:valAx>
        <c:axId val="378612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490860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Ackumulerat</a:t>
            </a:r>
            <a:r>
              <a:rPr lang="en-US" sz="1200" b="1" baseline="0"/>
              <a:t> sparande och varierande årlig avkastning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0EB-4B0C-A333-B860B90B183A}"/>
              </c:ext>
            </c:extLst>
          </c:dPt>
          <c:dPt>
            <c:idx val="2"/>
            <c:invertIfNegative val="0"/>
            <c:bubble3D val="0"/>
            <c:spPr>
              <a:solidFill>
                <a:srgbClr val="FF7C8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0EB-4B0C-A333-B860B90B183A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0EB-4B0C-A333-B860B90B183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Överblick!$T$1:$W$1</c:f>
              <c:strCache>
                <c:ptCount val="4"/>
                <c:pt idx="0">
                  <c:v>7 % avkastning</c:v>
                </c:pt>
                <c:pt idx="1">
                  <c:v>4,5% avkastning</c:v>
                </c:pt>
                <c:pt idx="2">
                  <c:v>2,5 % avkastning</c:v>
                </c:pt>
                <c:pt idx="3">
                  <c:v>Sparande</c:v>
                </c:pt>
              </c:strCache>
            </c:strRef>
          </c:cat>
          <c:val>
            <c:numRef>
              <c:f>Överblick!$T$2:$W$2</c:f>
              <c:numCache>
                <c:formatCode>General</c:formatCode>
                <c:ptCount val="4"/>
                <c:pt idx="0" formatCode="_-* #\ ##0\ &quot;kr&quot;_-;\-* #\ ##0\ &quot;kr&quot;_-;_-* &quot;-&quot;??\ &quot;kr&quot;_-;_-@_-">
                  <c:v>804</c:v>
                </c:pt>
                <c:pt idx="1">
                  <c:v>598</c:v>
                </c:pt>
                <c:pt idx="2" formatCode="#\ ##0\ &quot;kr&quot;">
                  <c:v>328</c:v>
                </c:pt>
                <c:pt idx="3" formatCode="_-* #\ ##0\ &quot;kr&quot;_-;\-* #\ ##0\ &quot;kr&quot;_-;_-* &quot;-&quot;??\ &quot;kr&quot;_-;_-@_-">
                  <c:v>19226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EB-4B0C-A333-B860B90B183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"/>
        <c:axId val="542327888"/>
        <c:axId val="542326904"/>
      </c:barChart>
      <c:catAx>
        <c:axId val="5423278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542326904"/>
        <c:crosses val="autoZero"/>
        <c:auto val="1"/>
        <c:lblAlgn val="ctr"/>
        <c:lblOffset val="100"/>
        <c:noMultiLvlLbl val="0"/>
      </c:catAx>
      <c:valAx>
        <c:axId val="542326904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\ ##0\ &quot;kr&quot;_-;\-* #\ ##0\ &quot;kr&quot;_-;_-* &quot;-&quot;??\ &quot;kr&quot;_-;_-@_-" sourceLinked="1"/>
        <c:majorTickMark val="out"/>
        <c:minorTickMark val="none"/>
        <c:tickLblPos val="nextTo"/>
        <c:crossAx val="542327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248-4729-BAFB-C97D777B732E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('September 18'!$B$5:$B$7,'September 18'!$B$9,'September 18'!$B$12:$B$24,'September 18'!$B$26:$B$27)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('September 18'!$C$5:$C$7,'September 18'!$C$9,'September 18'!$C$12:$C$24,'September 18'!$C$26:$C$27)</c:f>
              <c:numCache>
                <c:formatCode>#\ ##0\ "kr"</c:formatCode>
                <c:ptCount val="19"/>
                <c:pt idx="0">
                  <c:v>10444</c:v>
                </c:pt>
                <c:pt idx="1">
                  <c:v>13913</c:v>
                </c:pt>
                <c:pt idx="4">
                  <c:v>5000</c:v>
                </c:pt>
                <c:pt idx="5">
                  <c:v>1042</c:v>
                </c:pt>
                <c:pt idx="6">
                  <c:v>6550</c:v>
                </c:pt>
                <c:pt idx="7">
                  <c:v>147</c:v>
                </c:pt>
                <c:pt idx="8">
                  <c:v>450</c:v>
                </c:pt>
                <c:pt idx="9">
                  <c:v>80</c:v>
                </c:pt>
                <c:pt idx="11">
                  <c:v>289</c:v>
                </c:pt>
                <c:pt idx="14">
                  <c:v>560</c:v>
                </c:pt>
                <c:pt idx="15">
                  <c:v>249</c:v>
                </c:pt>
                <c:pt idx="16">
                  <c:v>3543</c:v>
                </c:pt>
                <c:pt idx="18">
                  <c:v>6447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248-4729-BAFB-C97D777B732E}"/>
            </c:ext>
          </c:extLst>
        </c:ser>
        <c:ser>
          <c:idx val="1"/>
          <c:order val="1"/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4248-4729-BAFB-C97D777B732E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('September 18'!$B$5:$B$7,'September 18'!$B$9,'September 18'!$B$12:$B$24,'September 18'!$B$26:$B$27)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('September 18'!$G$5:$G$7,'September 18'!$G$9,'September 18'!$G$12:$G$26)</c:f>
              <c:numCache>
                <c:formatCode>#\ ##0\ "kr"</c:formatCode>
                <c:ptCount val="19"/>
                <c:pt idx="0">
                  <c:v>0</c:v>
                </c:pt>
                <c:pt idx="1">
                  <c:v>13913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147</c:v>
                </c:pt>
                <c:pt idx="8">
                  <c:v>0</c:v>
                </c:pt>
                <c:pt idx="9">
                  <c:v>80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8">
                  <c:v>6447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248-4729-BAFB-C97D777B732E}"/>
            </c:ext>
          </c:extLst>
        </c:ser>
        <c:ser>
          <c:idx val="2"/>
          <c:order val="2"/>
          <c:spPr>
            <a:solidFill>
              <a:srgbClr val="FF7C80"/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248-4729-BAFB-C97D777B732E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('September 18'!$B$5:$B$7,'September 18'!$B$9,'September 18'!$B$12:$B$24,'September 18'!$B$26:$B$27)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('September 18'!$H$5:$H$7,'September 18'!$H$9,'September 18'!$H$12:$H$26)</c:f>
              <c:numCache>
                <c:formatCode>#\ ##0\ "kr"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6550</c:v>
                </c:pt>
                <c:pt idx="7">
                  <c:v>0</c:v>
                </c:pt>
                <c:pt idx="8">
                  <c:v>450</c:v>
                </c:pt>
                <c:pt idx="9">
                  <c:v>0</c:v>
                </c:pt>
                <c:pt idx="10">
                  <c:v>0</c:v>
                </c:pt>
                <c:pt idx="11">
                  <c:v>289</c:v>
                </c:pt>
                <c:pt idx="12">
                  <c:v>0</c:v>
                </c:pt>
                <c:pt idx="13">
                  <c:v>0</c:v>
                </c:pt>
                <c:pt idx="14">
                  <c:v>560</c:v>
                </c:pt>
                <c:pt idx="15">
                  <c:v>249</c:v>
                </c:pt>
                <c:pt idx="16">
                  <c:v>3543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248-4729-BAFB-C97D777B732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2"/>
        <c:overlap val="100"/>
        <c:axId val="578878144"/>
        <c:axId val="578879784"/>
      </c:barChart>
      <c:catAx>
        <c:axId val="578878144"/>
        <c:scaling>
          <c:orientation val="maxMin"/>
        </c:scaling>
        <c:delete val="0"/>
        <c:axPos val="l"/>
        <c:numFmt formatCode="#&quot;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578879784"/>
        <c:crosses val="autoZero"/>
        <c:auto val="1"/>
        <c:lblAlgn val="ctr"/>
        <c:lblOffset val="100"/>
        <c:noMultiLvlLbl val="0"/>
      </c:catAx>
      <c:valAx>
        <c:axId val="578879784"/>
        <c:scaling>
          <c:orientation val="minMax"/>
          <c:max val="6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\ &quot;kr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578878144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3DE-46D0-9560-4EE1FF8F8216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('Oktober 18'!$B$5:$B$7,'Oktober 18'!$B$9,'Oktober 18'!$B$12:$B$24,'Oktober 18'!$B$26:$B$27)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('Oktober 18'!$C$5:$C$7,'Oktober 18'!$C$9,'Oktober 18'!$C$12:$C$24,'Oktober 18'!$C$26:$C$27)</c:f>
              <c:numCache>
                <c:formatCode>#\ ##0\ "kr"</c:formatCode>
                <c:ptCount val="19"/>
                <c:pt idx="0">
                  <c:v>10444</c:v>
                </c:pt>
                <c:pt idx="4">
                  <c:v>5000</c:v>
                </c:pt>
                <c:pt idx="5">
                  <c:v>1280</c:v>
                </c:pt>
                <c:pt idx="6">
                  <c:v>262</c:v>
                </c:pt>
                <c:pt idx="7">
                  <c:v>210</c:v>
                </c:pt>
                <c:pt idx="8">
                  <c:v>350</c:v>
                </c:pt>
                <c:pt idx="9">
                  <c:v>165</c:v>
                </c:pt>
                <c:pt idx="10">
                  <c:v>120</c:v>
                </c:pt>
                <c:pt idx="11">
                  <c:v>70</c:v>
                </c:pt>
                <c:pt idx="12">
                  <c:v>20</c:v>
                </c:pt>
                <c:pt idx="14">
                  <c:v>600</c:v>
                </c:pt>
                <c:pt idx="15">
                  <c:v>353</c:v>
                </c:pt>
                <c:pt idx="18">
                  <c:v>2014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3DE-46D0-9560-4EE1FF8F8216}"/>
            </c:ext>
          </c:extLst>
        </c:ser>
        <c:ser>
          <c:idx val="1"/>
          <c:order val="1"/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3DE-46D0-9560-4EE1FF8F8216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('Oktober 18'!$B$5:$B$7,'Oktober 18'!$B$9,'Oktober 18'!$B$12:$B$24,'Oktober 18'!$B$26:$B$27)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('Oktober 18'!$G$5:$G$7,'Oktober 18'!$G$9,'Oktober 18'!$G$12:$G$26)</c:f>
              <c:numCache>
                <c:formatCode>#\ ##0\ "kr"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262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120</c:v>
                </c:pt>
                <c:pt idx="11">
                  <c:v>70</c:v>
                </c:pt>
                <c:pt idx="12">
                  <c:v>20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8">
                  <c:v>2014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3DE-46D0-9560-4EE1FF8F8216}"/>
            </c:ext>
          </c:extLst>
        </c:ser>
        <c:ser>
          <c:idx val="2"/>
          <c:order val="2"/>
          <c:spPr>
            <a:solidFill>
              <a:srgbClr val="FF7C80"/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A3DE-46D0-9560-4EE1FF8F8216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('Oktober 18'!$B$5:$B$7,'Oktober 18'!$B$9,'Oktober 18'!$B$12:$B$24,'Oktober 18'!$B$26:$B$27)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('Oktober 18'!$H$5:$H$7,'Oktober 18'!$H$9,'Oktober 18'!$H$12:$H$26)</c:f>
              <c:numCache>
                <c:formatCode>#\ ##0\ "kr"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600</c:v>
                </c:pt>
                <c:pt idx="15">
                  <c:v>353</c:v>
                </c:pt>
                <c:pt idx="16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3DE-46D0-9560-4EE1FF8F821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2"/>
        <c:overlap val="100"/>
        <c:axId val="578878144"/>
        <c:axId val="578879784"/>
      </c:barChart>
      <c:catAx>
        <c:axId val="578878144"/>
        <c:scaling>
          <c:orientation val="maxMin"/>
        </c:scaling>
        <c:delete val="0"/>
        <c:axPos val="l"/>
        <c:numFmt formatCode="#&quot;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578879784"/>
        <c:crosses val="autoZero"/>
        <c:auto val="1"/>
        <c:lblAlgn val="ctr"/>
        <c:lblOffset val="100"/>
        <c:noMultiLvlLbl val="0"/>
      </c:catAx>
      <c:valAx>
        <c:axId val="578879784"/>
        <c:scaling>
          <c:orientation val="minMax"/>
          <c:max val="6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\ &quot;kr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578878144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0C3-4AC6-865F-344B95E19976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('November 18'!$B$5:$B$7,'November 18'!$B$9,'November 18'!$B$12:$B$24,'November 18'!$B$26:$B$27)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('November 18'!$C$5:$C$7,'November 18'!$C$9,'November 18'!$C$12:$C$24,'November 18'!$C$26:$C$27)</c:f>
              <c:numCache>
                <c:formatCode>#\ ##0\ "kr"</c:formatCode>
                <c:ptCount val="19"/>
                <c:pt idx="0">
                  <c:v>10444</c:v>
                </c:pt>
                <c:pt idx="1">
                  <c:v>2570</c:v>
                </c:pt>
                <c:pt idx="4">
                  <c:v>5000</c:v>
                </c:pt>
                <c:pt idx="5">
                  <c:v>1678</c:v>
                </c:pt>
                <c:pt idx="7">
                  <c:v>335</c:v>
                </c:pt>
                <c:pt idx="8">
                  <c:v>515</c:v>
                </c:pt>
                <c:pt idx="9">
                  <c:v>99</c:v>
                </c:pt>
                <c:pt idx="10">
                  <c:v>355</c:v>
                </c:pt>
                <c:pt idx="11">
                  <c:v>162</c:v>
                </c:pt>
                <c:pt idx="12">
                  <c:v>445</c:v>
                </c:pt>
                <c:pt idx="14">
                  <c:v>360</c:v>
                </c:pt>
                <c:pt idx="15">
                  <c:v>365</c:v>
                </c:pt>
                <c:pt idx="16">
                  <c:v>2437</c:v>
                </c:pt>
                <c:pt idx="18">
                  <c:v>1263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C3-4AC6-865F-344B95E19976}"/>
            </c:ext>
          </c:extLst>
        </c:ser>
        <c:ser>
          <c:idx val="1"/>
          <c:order val="1"/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0C3-4AC6-865F-344B95E19976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('November 18'!$B$5:$B$7,'November 18'!$B$9,'November 18'!$B$12:$B$24,'November 18'!$B$26:$B$27)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('November 18'!$G$5:$G$7,'November 18'!$G$9,'November 18'!$G$12:$G$26)</c:f>
              <c:numCache>
                <c:formatCode>#\ ##0\ "kr"</c:formatCode>
                <c:ptCount val="19"/>
                <c:pt idx="0">
                  <c:v>0</c:v>
                </c:pt>
                <c:pt idx="1">
                  <c:v>2570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0C3-4AC6-865F-344B95E19976}"/>
            </c:ext>
          </c:extLst>
        </c:ser>
        <c:ser>
          <c:idx val="2"/>
          <c:order val="2"/>
          <c:spPr>
            <a:solidFill>
              <a:srgbClr val="FF7C80"/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0C3-4AC6-865F-344B95E19976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('November 18'!$B$5:$B$7,'November 18'!$B$9,'November 18'!$B$12:$B$24,'November 18'!$B$26:$B$27)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('November 18'!$H$5:$H$7,'November 18'!$H$9,'November 18'!$H$12:$H$26)</c:f>
              <c:numCache>
                <c:formatCode>#\ ##0\ "kr"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1678</c:v>
                </c:pt>
                <c:pt idx="6">
                  <c:v>0</c:v>
                </c:pt>
                <c:pt idx="7">
                  <c:v>335</c:v>
                </c:pt>
                <c:pt idx="8">
                  <c:v>515</c:v>
                </c:pt>
                <c:pt idx="9">
                  <c:v>0</c:v>
                </c:pt>
                <c:pt idx="10">
                  <c:v>0</c:v>
                </c:pt>
                <c:pt idx="11">
                  <c:v>162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365</c:v>
                </c:pt>
                <c:pt idx="16">
                  <c:v>2437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0C3-4AC6-865F-344B95E1997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2"/>
        <c:overlap val="100"/>
        <c:axId val="578878144"/>
        <c:axId val="578879784"/>
      </c:barChart>
      <c:catAx>
        <c:axId val="578878144"/>
        <c:scaling>
          <c:orientation val="maxMin"/>
        </c:scaling>
        <c:delete val="0"/>
        <c:axPos val="l"/>
        <c:numFmt formatCode="#&quot;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578879784"/>
        <c:crosses val="autoZero"/>
        <c:auto val="1"/>
        <c:lblAlgn val="ctr"/>
        <c:lblOffset val="100"/>
        <c:noMultiLvlLbl val="0"/>
      </c:catAx>
      <c:valAx>
        <c:axId val="578879784"/>
        <c:scaling>
          <c:orientation val="minMax"/>
          <c:max val="6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\ &quot;kr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578878144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8B8-4F7B-8991-9FBEDCEB48C8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('December 18'!$B$5:$B$7,'December 18'!$B$9,'December 18'!$B$12:$B$24,'December 18'!$B$26:$B$27)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('December 18'!$C$5:$C$7,'December 18'!$C$9,'December 18'!$C$12:$C$24,'December 18'!$C$26:$C$27)</c:f>
              <c:numCache>
                <c:formatCode>#\ ##0\ "kr"</c:formatCode>
                <c:ptCount val="19"/>
                <c:pt idx="0">
                  <c:v>10618</c:v>
                </c:pt>
                <c:pt idx="1">
                  <c:v>2645</c:v>
                </c:pt>
                <c:pt idx="2">
                  <c:v>95</c:v>
                </c:pt>
                <c:pt idx="4">
                  <c:v>5000</c:v>
                </c:pt>
                <c:pt idx="5">
                  <c:v>1162</c:v>
                </c:pt>
                <c:pt idx="7">
                  <c:v>919</c:v>
                </c:pt>
                <c:pt idx="9">
                  <c:v>399</c:v>
                </c:pt>
                <c:pt idx="10">
                  <c:v>975</c:v>
                </c:pt>
                <c:pt idx="11">
                  <c:v>80</c:v>
                </c:pt>
                <c:pt idx="12">
                  <c:v>625</c:v>
                </c:pt>
                <c:pt idx="13">
                  <c:v>100</c:v>
                </c:pt>
                <c:pt idx="15">
                  <c:v>173</c:v>
                </c:pt>
                <c:pt idx="16">
                  <c:v>1072</c:v>
                </c:pt>
                <c:pt idx="18">
                  <c:v>2853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8B8-4F7B-8991-9FBEDCEB48C8}"/>
            </c:ext>
          </c:extLst>
        </c:ser>
        <c:ser>
          <c:idx val="1"/>
          <c:order val="1"/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8B8-4F7B-8991-9FBEDCEB48C8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('December 18'!$B$5:$B$7,'December 18'!$B$9,'December 18'!$B$12:$B$24,'December 18'!$B$26:$B$27)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('December 18'!$G$5:$G$7,'December 18'!$G$9,'December 18'!$G$12:$G$26)</c:f>
              <c:numCache>
                <c:formatCode>#\ ##0\ "kr"</c:formatCode>
                <c:ptCount val="19"/>
                <c:pt idx="0">
                  <c:v>0</c:v>
                </c:pt>
                <c:pt idx="1">
                  <c:v>2645</c:v>
                </c:pt>
                <c:pt idx="2">
                  <c:v>95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100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8">
                  <c:v>2853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8B8-4F7B-8991-9FBEDCEB48C8}"/>
            </c:ext>
          </c:extLst>
        </c:ser>
        <c:ser>
          <c:idx val="2"/>
          <c:order val="2"/>
          <c:spPr>
            <a:solidFill>
              <a:srgbClr val="FF7C80"/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8B8-4F7B-8991-9FBEDCEB48C8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('December 18'!$B$5:$B$7,'December 18'!$B$9,'December 18'!$B$12:$B$24,'December 18'!$B$26:$B$27)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('December 18'!$H$5:$H$7,'December 18'!$H$9,'December 18'!$H$12:$H$26)</c:f>
              <c:numCache>
                <c:formatCode>#\ ##0\ "kr"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919</c:v>
                </c:pt>
                <c:pt idx="8">
                  <c:v>0</c:v>
                </c:pt>
                <c:pt idx="9">
                  <c:v>399</c:v>
                </c:pt>
                <c:pt idx="10">
                  <c:v>975</c:v>
                </c:pt>
                <c:pt idx="11">
                  <c:v>0</c:v>
                </c:pt>
                <c:pt idx="12">
                  <c:v>625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1072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8B8-4F7B-8991-9FBEDCEB48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2"/>
        <c:overlap val="100"/>
        <c:axId val="578878144"/>
        <c:axId val="578879784"/>
      </c:barChart>
      <c:catAx>
        <c:axId val="578878144"/>
        <c:scaling>
          <c:orientation val="maxMin"/>
        </c:scaling>
        <c:delete val="0"/>
        <c:axPos val="l"/>
        <c:numFmt formatCode="#&quot;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578879784"/>
        <c:crosses val="autoZero"/>
        <c:auto val="1"/>
        <c:lblAlgn val="ctr"/>
        <c:lblOffset val="100"/>
        <c:noMultiLvlLbl val="0"/>
      </c:catAx>
      <c:valAx>
        <c:axId val="578879784"/>
        <c:scaling>
          <c:orientation val="minMax"/>
          <c:max val="6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\ &quot;kr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578878144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FA7-4286-BFFB-2AF3D6273745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('Januari 19'!$B$5:$B$7,'Januari 19'!$B$9,'Januari 19'!$B$12:$B$24,'Januari 19'!$B$26:$B$27)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('Januari 19'!$C$5:$C$7,'Januari 19'!$C$9,'Januari 19'!$C$12:$C$24,'Januari 19'!$C$26:$C$27)</c:f>
              <c:numCache>
                <c:formatCode>#\ ##0\ "kr"</c:formatCode>
                <c:ptCount val="19"/>
                <c:pt idx="0">
                  <c:v>13195</c:v>
                </c:pt>
                <c:pt idx="1">
                  <c:v>7738</c:v>
                </c:pt>
                <c:pt idx="2">
                  <c:v>370</c:v>
                </c:pt>
                <c:pt idx="4">
                  <c:v>5000</c:v>
                </c:pt>
                <c:pt idx="5">
                  <c:v>1969</c:v>
                </c:pt>
                <c:pt idx="7">
                  <c:v>486</c:v>
                </c:pt>
                <c:pt idx="8">
                  <c:v>3813</c:v>
                </c:pt>
                <c:pt idx="9">
                  <c:v>99</c:v>
                </c:pt>
                <c:pt idx="10">
                  <c:v>156</c:v>
                </c:pt>
                <c:pt idx="11">
                  <c:v>35</c:v>
                </c:pt>
                <c:pt idx="12">
                  <c:v>1225</c:v>
                </c:pt>
                <c:pt idx="14">
                  <c:v>2845</c:v>
                </c:pt>
                <c:pt idx="15">
                  <c:v>171</c:v>
                </c:pt>
                <c:pt idx="16">
                  <c:v>1113</c:v>
                </c:pt>
                <c:pt idx="18">
                  <c:v>4391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A7-4286-BFFB-2AF3D6273745}"/>
            </c:ext>
          </c:extLst>
        </c:ser>
        <c:ser>
          <c:idx val="1"/>
          <c:order val="1"/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4FA7-4286-BFFB-2AF3D6273745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('Januari 19'!$B$5:$B$7,'Januari 19'!$B$9,'Januari 19'!$B$12:$B$24,'Januari 19'!$B$26:$B$27)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('Januari 19'!$G$5:$G$7,'Januari 19'!$G$9,'Januari 19'!$G$12:$G$26)</c:f>
              <c:numCache>
                <c:formatCode>#\ ##0\ "kr"</c:formatCode>
                <c:ptCount val="19"/>
                <c:pt idx="0">
                  <c:v>13195</c:v>
                </c:pt>
                <c:pt idx="1">
                  <c:v>7738</c:v>
                </c:pt>
                <c:pt idx="2">
                  <c:v>370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99</c:v>
                </c:pt>
                <c:pt idx="10">
                  <c:v>156</c:v>
                </c:pt>
                <c:pt idx="11">
                  <c:v>35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8">
                  <c:v>4391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FA7-4286-BFFB-2AF3D6273745}"/>
            </c:ext>
          </c:extLst>
        </c:ser>
        <c:ser>
          <c:idx val="2"/>
          <c:order val="2"/>
          <c:spPr>
            <a:solidFill>
              <a:srgbClr val="FF7C80"/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FA7-4286-BFFB-2AF3D6273745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('Januari 19'!$B$5:$B$7,'Januari 19'!$B$9,'Januari 19'!$B$12:$B$24,'Januari 19'!$B$26:$B$27)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('Januari 19'!$H$5:$H$7,'Januari 19'!$H$9,'Januari 19'!$H$12:$H$26)</c:f>
              <c:numCache>
                <c:formatCode>#\ ##0\ "kr"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1969</c:v>
                </c:pt>
                <c:pt idx="6">
                  <c:v>0</c:v>
                </c:pt>
                <c:pt idx="7">
                  <c:v>486</c:v>
                </c:pt>
                <c:pt idx="8">
                  <c:v>3813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1225</c:v>
                </c:pt>
                <c:pt idx="13">
                  <c:v>0</c:v>
                </c:pt>
                <c:pt idx="14">
                  <c:v>2845</c:v>
                </c:pt>
                <c:pt idx="15">
                  <c:v>0</c:v>
                </c:pt>
                <c:pt idx="16">
                  <c:v>1113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FA7-4286-BFFB-2AF3D627374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2"/>
        <c:overlap val="100"/>
        <c:axId val="578878144"/>
        <c:axId val="578879784"/>
      </c:barChart>
      <c:catAx>
        <c:axId val="578878144"/>
        <c:scaling>
          <c:orientation val="maxMin"/>
        </c:scaling>
        <c:delete val="0"/>
        <c:axPos val="l"/>
        <c:numFmt formatCode="#&quot;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578879784"/>
        <c:crosses val="autoZero"/>
        <c:auto val="1"/>
        <c:lblAlgn val="ctr"/>
        <c:lblOffset val="100"/>
        <c:noMultiLvlLbl val="0"/>
      </c:catAx>
      <c:valAx>
        <c:axId val="578879784"/>
        <c:scaling>
          <c:orientation val="minMax"/>
          <c:max val="6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\ &quot;kr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578878144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599-411B-B476-6BBF0DB4E0B0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('Februari 19'!$B$5:$B$7,'Februari 19'!$B$9,'Februari 19'!$B$12:$B$24,'Februari 19'!$B$26:$B$27)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('Februari 19'!$C$5:$C$7,'Februari 19'!$C$9,'Februari 19'!$C$12:$C$24,'Februari 19'!$C$26:$C$27)</c:f>
              <c:numCache>
                <c:formatCode>#\ ##0\ "kr"</c:formatCode>
                <c:ptCount val="19"/>
                <c:pt idx="0">
                  <c:v>10676</c:v>
                </c:pt>
                <c:pt idx="1">
                  <c:v>2352</c:v>
                </c:pt>
                <c:pt idx="2">
                  <c:v>200</c:v>
                </c:pt>
                <c:pt idx="4">
                  <c:v>6465</c:v>
                </c:pt>
                <c:pt idx="5">
                  <c:v>1190</c:v>
                </c:pt>
                <c:pt idx="6">
                  <c:v>1801</c:v>
                </c:pt>
                <c:pt idx="7">
                  <c:v>315</c:v>
                </c:pt>
                <c:pt idx="8">
                  <c:v>396</c:v>
                </c:pt>
                <c:pt idx="9">
                  <c:v>2877</c:v>
                </c:pt>
                <c:pt idx="10">
                  <c:v>291</c:v>
                </c:pt>
                <c:pt idx="11">
                  <c:v>340</c:v>
                </c:pt>
                <c:pt idx="14">
                  <c:v>471</c:v>
                </c:pt>
                <c:pt idx="15">
                  <c:v>279</c:v>
                </c:pt>
                <c:pt idx="16">
                  <c:v>867</c:v>
                </c:pt>
                <c:pt idx="18">
                  <c:v>-2064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599-411B-B476-6BBF0DB4E0B0}"/>
            </c:ext>
          </c:extLst>
        </c:ser>
        <c:ser>
          <c:idx val="1"/>
          <c:order val="1"/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599-411B-B476-6BBF0DB4E0B0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('Februari 19'!$B$5:$B$7,'Februari 19'!$B$9,'Februari 19'!$B$12:$B$24,'Februari 19'!$B$26:$B$27)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('Februari 19'!$G$5:$G$7,'Februari 19'!$G$9,'Februari 19'!$G$12:$G$26)</c:f>
              <c:numCache>
                <c:formatCode>#\ ##0\ "kr"</c:formatCode>
                <c:ptCount val="19"/>
                <c:pt idx="0">
                  <c:v>0</c:v>
                </c:pt>
                <c:pt idx="1">
                  <c:v>2352</c:v>
                </c:pt>
                <c:pt idx="2">
                  <c:v>200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599-411B-B476-6BBF0DB4E0B0}"/>
            </c:ext>
          </c:extLst>
        </c:ser>
        <c:ser>
          <c:idx val="2"/>
          <c:order val="2"/>
          <c:spPr>
            <a:solidFill>
              <a:srgbClr val="FF7C80"/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599-411B-B476-6BBF0DB4E0B0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('Februari 19'!$B$5:$B$7,'Februari 19'!$B$9,'Februari 19'!$B$12:$B$24,'Februari 19'!$B$26:$B$27)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('Februari 19'!$H$5:$H$7,'Februari 19'!$H$9,'Februari 19'!$H$12:$H$26)</c:f>
              <c:numCache>
                <c:formatCode>#\ ##0\ "kr"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6465</c:v>
                </c:pt>
                <c:pt idx="5">
                  <c:v>0</c:v>
                </c:pt>
                <c:pt idx="6">
                  <c:v>1801</c:v>
                </c:pt>
                <c:pt idx="7">
                  <c:v>315</c:v>
                </c:pt>
                <c:pt idx="8">
                  <c:v>396</c:v>
                </c:pt>
                <c:pt idx="9">
                  <c:v>2877</c:v>
                </c:pt>
                <c:pt idx="10">
                  <c:v>0</c:v>
                </c:pt>
                <c:pt idx="11">
                  <c:v>340</c:v>
                </c:pt>
                <c:pt idx="12">
                  <c:v>0</c:v>
                </c:pt>
                <c:pt idx="13">
                  <c:v>0</c:v>
                </c:pt>
                <c:pt idx="14">
                  <c:v>471</c:v>
                </c:pt>
                <c:pt idx="15">
                  <c:v>279</c:v>
                </c:pt>
                <c:pt idx="16">
                  <c:v>867</c:v>
                </c:pt>
                <c:pt idx="18">
                  <c:v>-2064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599-411B-B476-6BBF0DB4E0B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2"/>
        <c:overlap val="100"/>
        <c:axId val="578878144"/>
        <c:axId val="578879784"/>
      </c:barChart>
      <c:catAx>
        <c:axId val="578878144"/>
        <c:scaling>
          <c:orientation val="maxMin"/>
        </c:scaling>
        <c:delete val="0"/>
        <c:axPos val="l"/>
        <c:numFmt formatCode="#&quot;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578879784"/>
        <c:crosses val="autoZero"/>
        <c:auto val="1"/>
        <c:lblAlgn val="ctr"/>
        <c:lblOffset val="100"/>
        <c:noMultiLvlLbl val="0"/>
      </c:catAx>
      <c:valAx>
        <c:axId val="578879784"/>
        <c:scaling>
          <c:orientation val="minMax"/>
          <c:max val="6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\ &quot;kr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578878144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317-4794-B8B1-7D185C99667E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('Mars 19'!$B$5:$B$7,'Mars 19'!$B$9,'Mars 19'!$B$12:$B$24,'Mars 19'!$B$26:$B$27)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('Mars 19'!$C$5:$C$7,'Mars 19'!$C$9,'Mars 19'!$C$12:$C$24,'Mars 19'!$C$26:$C$27)</c:f>
              <c:numCache>
                <c:formatCode>#\ ##0\ "kr"</c:formatCode>
                <c:ptCount val="19"/>
                <c:pt idx="0">
                  <c:v>10676</c:v>
                </c:pt>
                <c:pt idx="4">
                  <c:v>2748</c:v>
                </c:pt>
                <c:pt idx="5">
                  <c:v>2087</c:v>
                </c:pt>
                <c:pt idx="6">
                  <c:v>865</c:v>
                </c:pt>
                <c:pt idx="7">
                  <c:v>971</c:v>
                </c:pt>
                <c:pt idx="9">
                  <c:v>191</c:v>
                </c:pt>
                <c:pt idx="10">
                  <c:v>166</c:v>
                </c:pt>
                <c:pt idx="11">
                  <c:v>5637</c:v>
                </c:pt>
                <c:pt idx="12">
                  <c:v>200</c:v>
                </c:pt>
                <c:pt idx="14">
                  <c:v>575</c:v>
                </c:pt>
                <c:pt idx="15">
                  <c:v>126</c:v>
                </c:pt>
                <c:pt idx="16">
                  <c:v>1061</c:v>
                </c:pt>
                <c:pt idx="18">
                  <c:v>-3951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317-4794-B8B1-7D185C99667E}"/>
            </c:ext>
          </c:extLst>
        </c:ser>
        <c:ser>
          <c:idx val="1"/>
          <c:order val="1"/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3317-4794-B8B1-7D185C99667E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('Mars 19'!$B$5:$B$7,'Mars 19'!$B$9,'Mars 19'!$B$12:$B$24,'Mars 19'!$B$26:$B$27)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('Mars 19'!$G$5:$G$7,'Mars 19'!$G$9,'Mars 19'!$G$12:$G$26)</c:f>
              <c:numCache>
                <c:formatCode>#\ ##0\ "kr"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2748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166</c:v>
                </c:pt>
                <c:pt idx="11">
                  <c:v>0</c:v>
                </c:pt>
                <c:pt idx="12">
                  <c:v>200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317-4794-B8B1-7D185C99667E}"/>
            </c:ext>
          </c:extLst>
        </c:ser>
        <c:ser>
          <c:idx val="2"/>
          <c:order val="2"/>
          <c:spPr>
            <a:solidFill>
              <a:srgbClr val="FF7C80"/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317-4794-B8B1-7D185C99667E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('Mars 19'!$B$5:$B$7,'Mars 19'!$B$9,'Mars 19'!$B$12:$B$24,'Mars 19'!$B$26:$B$27)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('Mars 19'!$H$5:$H$7,'Mars 19'!$H$9,'Mars 19'!$H$12:$H$26)</c:f>
              <c:numCache>
                <c:formatCode>#\ ##0\ "kr"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2087</c:v>
                </c:pt>
                <c:pt idx="6">
                  <c:v>865</c:v>
                </c:pt>
                <c:pt idx="7">
                  <c:v>971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5637</c:v>
                </c:pt>
                <c:pt idx="12">
                  <c:v>0</c:v>
                </c:pt>
                <c:pt idx="13">
                  <c:v>0</c:v>
                </c:pt>
                <c:pt idx="14">
                  <c:v>575</c:v>
                </c:pt>
                <c:pt idx="15">
                  <c:v>0</c:v>
                </c:pt>
                <c:pt idx="16">
                  <c:v>1061</c:v>
                </c:pt>
                <c:pt idx="18">
                  <c:v>-3951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317-4794-B8B1-7D185C99667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2"/>
        <c:overlap val="100"/>
        <c:axId val="578878144"/>
        <c:axId val="578879784"/>
      </c:barChart>
      <c:catAx>
        <c:axId val="578878144"/>
        <c:scaling>
          <c:orientation val="maxMin"/>
        </c:scaling>
        <c:delete val="0"/>
        <c:axPos val="l"/>
        <c:numFmt formatCode="#&quot;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578879784"/>
        <c:crosses val="autoZero"/>
        <c:auto val="1"/>
        <c:lblAlgn val="ctr"/>
        <c:lblOffset val="100"/>
        <c:noMultiLvlLbl val="0"/>
      </c:catAx>
      <c:valAx>
        <c:axId val="578879784"/>
        <c:scaling>
          <c:orientation val="minMax"/>
          <c:max val="6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\ &quot;kr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578878144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35E-4CB5-96B9-46E27DC428D0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(Basmånad!$B$5:$B$7,Basmånad!$B$9,Basmånad!$B$12:$B$24,Basmånad!$B$26:$B$27)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(Basmånad!$C$5:$C$7,Basmånad!$C$9,Basmånad!$C$12:$C$24,Basmånad!$C$26:$C$27)</c:f>
              <c:numCache>
                <c:formatCode>#\ ##0\ "kr"</c:formatCode>
                <c:ptCount val="1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A-4393-8205-8FFF9440C45A}"/>
            </c:ext>
          </c:extLst>
        </c:ser>
        <c:ser>
          <c:idx val="1"/>
          <c:order val="1"/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35E-4CB5-96B9-46E27DC428D0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(Basmånad!$B$5:$B$7,Basmånad!$B$9,Basmånad!$B$12:$B$24,Basmånad!$B$26:$B$27)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(Basmånad!$G$5:$G$7,Basmånad!$G$9,Basmånad!$G$12:$G$26)</c:f>
              <c:numCache>
                <c:formatCode>#\ ##0\ "kr"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A-4393-8205-8FFF9440C45A}"/>
            </c:ext>
          </c:extLst>
        </c:ser>
        <c:ser>
          <c:idx val="2"/>
          <c:order val="2"/>
          <c:spPr>
            <a:solidFill>
              <a:srgbClr val="FF7C80"/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35E-4CB5-96B9-46E27DC428D0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(Basmånad!$B$5:$B$7,Basmånad!$B$9,Basmånad!$B$12:$B$24,Basmånad!$B$26:$B$27)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(Basmånad!$H$5:$H$7,Basmånad!$H$9,Basmånad!$H$12:$H$26)</c:f>
              <c:numCache>
                <c:formatCode>#\ ##0\ "kr"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8BA-4393-8205-8FFF9440C45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2"/>
        <c:overlap val="100"/>
        <c:axId val="578878144"/>
        <c:axId val="578879784"/>
      </c:barChart>
      <c:catAx>
        <c:axId val="578878144"/>
        <c:scaling>
          <c:orientation val="maxMin"/>
        </c:scaling>
        <c:delete val="0"/>
        <c:axPos val="l"/>
        <c:numFmt formatCode="#&quot;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578879784"/>
        <c:crosses val="autoZero"/>
        <c:auto val="1"/>
        <c:lblAlgn val="ctr"/>
        <c:lblOffset val="100"/>
        <c:noMultiLvlLbl val="0"/>
      </c:catAx>
      <c:valAx>
        <c:axId val="578879784"/>
        <c:scaling>
          <c:orientation val="minMax"/>
          <c:max val="6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\ &quot;kr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578878144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0A3-4AF5-9ACA-4D1C3ACAF255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('April 19'!$B$5:$B$7,'April 19'!$B$9,'April 19'!$B$12:$B$24,'April 19'!$B$26:$B$27)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('April 19'!$C$5:$C$7,'April 19'!$C$9,'April 19'!$C$12:$C$24,'April 19'!$C$26:$C$27)</c:f>
              <c:numCache>
                <c:formatCode>#\ ##0\ "kr"</c:formatCode>
                <c:ptCount val="19"/>
                <c:pt idx="0">
                  <c:v>10676</c:v>
                </c:pt>
                <c:pt idx="1">
                  <c:v>7270</c:v>
                </c:pt>
                <c:pt idx="2">
                  <c:v>360</c:v>
                </c:pt>
                <c:pt idx="4">
                  <c:v>2750</c:v>
                </c:pt>
                <c:pt idx="5">
                  <c:v>1686</c:v>
                </c:pt>
                <c:pt idx="6">
                  <c:v>1200</c:v>
                </c:pt>
                <c:pt idx="7">
                  <c:v>245</c:v>
                </c:pt>
                <c:pt idx="9">
                  <c:v>169</c:v>
                </c:pt>
                <c:pt idx="10">
                  <c:v>33</c:v>
                </c:pt>
                <c:pt idx="11">
                  <c:v>1233</c:v>
                </c:pt>
                <c:pt idx="14">
                  <c:v>128</c:v>
                </c:pt>
                <c:pt idx="15">
                  <c:v>165</c:v>
                </c:pt>
                <c:pt idx="16">
                  <c:v>522</c:v>
                </c:pt>
                <c:pt idx="18">
                  <c:v>10175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A3-4AF5-9ACA-4D1C3ACAF255}"/>
            </c:ext>
          </c:extLst>
        </c:ser>
        <c:ser>
          <c:idx val="1"/>
          <c:order val="1"/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C0A3-4AF5-9ACA-4D1C3ACAF255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('April 19'!$B$5:$B$7,'April 19'!$B$9,'April 19'!$B$12:$B$24,'April 19'!$B$26:$B$27)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('April 19'!$G$5:$G$7,'April 19'!$G$9,'April 19'!$G$12:$G$26)</c:f>
              <c:numCache>
                <c:formatCode>#\ ##0\ "kr"</c:formatCode>
                <c:ptCount val="19"/>
                <c:pt idx="0">
                  <c:v>0</c:v>
                </c:pt>
                <c:pt idx="1">
                  <c:v>7270</c:v>
                </c:pt>
                <c:pt idx="2">
                  <c:v>360</c:v>
                </c:pt>
                <c:pt idx="4">
                  <c:v>2750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128</c:v>
                </c:pt>
                <c:pt idx="15">
                  <c:v>0</c:v>
                </c:pt>
                <c:pt idx="16">
                  <c:v>0</c:v>
                </c:pt>
                <c:pt idx="18">
                  <c:v>10175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0A3-4AF5-9ACA-4D1C3ACAF255}"/>
            </c:ext>
          </c:extLst>
        </c:ser>
        <c:ser>
          <c:idx val="2"/>
          <c:order val="2"/>
          <c:spPr>
            <a:solidFill>
              <a:srgbClr val="FF7C80"/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0A3-4AF5-9ACA-4D1C3ACAF255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('April 19'!$B$5:$B$7,'April 19'!$B$9,'April 19'!$B$12:$B$24,'April 19'!$B$26:$B$27)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('April 19'!$H$5:$H$7,'April 19'!$H$9,'April 19'!$H$12:$H$26)</c:f>
              <c:numCache>
                <c:formatCode>#\ ##0\ "kr"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1686</c:v>
                </c:pt>
                <c:pt idx="6">
                  <c:v>1200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1233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0A3-4AF5-9ACA-4D1C3ACAF25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2"/>
        <c:overlap val="100"/>
        <c:axId val="578878144"/>
        <c:axId val="578879784"/>
      </c:barChart>
      <c:catAx>
        <c:axId val="578878144"/>
        <c:scaling>
          <c:orientation val="maxMin"/>
        </c:scaling>
        <c:delete val="0"/>
        <c:axPos val="l"/>
        <c:numFmt formatCode="#&quot;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578879784"/>
        <c:crosses val="autoZero"/>
        <c:auto val="1"/>
        <c:lblAlgn val="ctr"/>
        <c:lblOffset val="100"/>
        <c:noMultiLvlLbl val="0"/>
      </c:catAx>
      <c:valAx>
        <c:axId val="578879784"/>
        <c:scaling>
          <c:orientation val="minMax"/>
          <c:max val="6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\ &quot;kr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578878144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406-4EB7-997C-E4D2A831A9D9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('Maj 19'!$B$5:$B$7,'Maj 19'!$B$9,'Maj 19'!$B$12:$B$24,'Maj 19'!$B$26:$B$27)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('Maj 19'!$C$5:$C$7,'Maj 19'!$C$9,'Maj 19'!$C$12:$C$24,'Maj 19'!$C$26:$C$27)</c:f>
              <c:numCache>
                <c:formatCode>#\ ##0\ "kr"</c:formatCode>
                <c:ptCount val="19"/>
                <c:pt idx="0">
                  <c:v>8007</c:v>
                </c:pt>
                <c:pt idx="1">
                  <c:v>2156</c:v>
                </c:pt>
                <c:pt idx="2">
                  <c:v>263</c:v>
                </c:pt>
                <c:pt idx="4">
                  <c:v>2730</c:v>
                </c:pt>
                <c:pt idx="5">
                  <c:v>1274</c:v>
                </c:pt>
                <c:pt idx="7">
                  <c:v>702</c:v>
                </c:pt>
                <c:pt idx="9">
                  <c:v>99</c:v>
                </c:pt>
                <c:pt idx="10">
                  <c:v>45</c:v>
                </c:pt>
                <c:pt idx="11">
                  <c:v>206</c:v>
                </c:pt>
                <c:pt idx="12">
                  <c:v>56</c:v>
                </c:pt>
                <c:pt idx="14">
                  <c:v>200</c:v>
                </c:pt>
                <c:pt idx="15">
                  <c:v>151</c:v>
                </c:pt>
                <c:pt idx="16">
                  <c:v>1138</c:v>
                </c:pt>
                <c:pt idx="18">
                  <c:v>3825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406-4EB7-997C-E4D2A831A9D9}"/>
            </c:ext>
          </c:extLst>
        </c:ser>
        <c:ser>
          <c:idx val="1"/>
          <c:order val="1"/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8406-4EB7-997C-E4D2A831A9D9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('Maj 19'!$B$5:$B$7,'Maj 19'!$B$9,'Maj 19'!$B$12:$B$24,'Maj 19'!$B$26:$B$27)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('Maj 19'!$G$5:$G$7,'Maj 19'!$G$9,'Maj 19'!$G$12:$G$26)</c:f>
              <c:numCache>
                <c:formatCode>#\ ##0\ "kr"</c:formatCode>
                <c:ptCount val="19"/>
                <c:pt idx="0">
                  <c:v>0</c:v>
                </c:pt>
                <c:pt idx="1">
                  <c:v>2156</c:v>
                </c:pt>
                <c:pt idx="2">
                  <c:v>263</c:v>
                </c:pt>
                <c:pt idx="4">
                  <c:v>2730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99</c:v>
                </c:pt>
                <c:pt idx="10">
                  <c:v>45</c:v>
                </c:pt>
                <c:pt idx="11">
                  <c:v>0</c:v>
                </c:pt>
                <c:pt idx="12">
                  <c:v>56</c:v>
                </c:pt>
                <c:pt idx="13">
                  <c:v>0</c:v>
                </c:pt>
                <c:pt idx="14">
                  <c:v>200</c:v>
                </c:pt>
                <c:pt idx="15">
                  <c:v>0</c:v>
                </c:pt>
                <c:pt idx="16">
                  <c:v>0</c:v>
                </c:pt>
                <c:pt idx="18">
                  <c:v>3825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406-4EB7-997C-E4D2A831A9D9}"/>
            </c:ext>
          </c:extLst>
        </c:ser>
        <c:ser>
          <c:idx val="2"/>
          <c:order val="2"/>
          <c:spPr>
            <a:solidFill>
              <a:srgbClr val="FF7C80"/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406-4EB7-997C-E4D2A831A9D9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('Maj 19'!$B$5:$B$7,'Maj 19'!$B$9,'Maj 19'!$B$12:$B$24,'Maj 19'!$B$26:$B$27)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('Maj 19'!$H$5:$H$7,'Maj 19'!$H$9,'Maj 19'!$H$12:$H$26)</c:f>
              <c:numCache>
                <c:formatCode>#\ ##0\ "kr"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702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206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1138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406-4EB7-997C-E4D2A831A9D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2"/>
        <c:overlap val="100"/>
        <c:axId val="578878144"/>
        <c:axId val="578879784"/>
      </c:barChart>
      <c:catAx>
        <c:axId val="578878144"/>
        <c:scaling>
          <c:orientation val="maxMin"/>
        </c:scaling>
        <c:delete val="0"/>
        <c:axPos val="l"/>
        <c:numFmt formatCode="#&quot;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578879784"/>
        <c:crosses val="autoZero"/>
        <c:auto val="1"/>
        <c:lblAlgn val="ctr"/>
        <c:lblOffset val="100"/>
        <c:noMultiLvlLbl val="0"/>
      </c:catAx>
      <c:valAx>
        <c:axId val="578879784"/>
        <c:scaling>
          <c:orientation val="minMax"/>
          <c:max val="6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\ &quot;kr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578878144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CA7-4697-B546-45CD3E31AA96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('Juni 19'!$B$5:$B$7,'Juni 19'!$B$9,'Juni 19'!$B$12:$B$24,'Juni 19'!$B$26:$B$27)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('Juni 19'!$C$5:$C$7,'Juni 19'!$C$9,'Juni 19'!$C$12:$C$24,'Juni 19'!$C$26:$C$27)</c:f>
              <c:numCache>
                <c:formatCode>#\ ##0\ "kr"</c:formatCode>
                <c:ptCount val="19"/>
                <c:pt idx="1">
                  <c:v>2026</c:v>
                </c:pt>
                <c:pt idx="2">
                  <c:v>412</c:v>
                </c:pt>
                <c:pt idx="4">
                  <c:v>830</c:v>
                </c:pt>
                <c:pt idx="5">
                  <c:v>1577</c:v>
                </c:pt>
                <c:pt idx="6">
                  <c:v>1349</c:v>
                </c:pt>
                <c:pt idx="7">
                  <c:v>925</c:v>
                </c:pt>
                <c:pt idx="8">
                  <c:v>95</c:v>
                </c:pt>
                <c:pt idx="9">
                  <c:v>148</c:v>
                </c:pt>
                <c:pt idx="10">
                  <c:v>390</c:v>
                </c:pt>
                <c:pt idx="11">
                  <c:v>35</c:v>
                </c:pt>
                <c:pt idx="12">
                  <c:v>772</c:v>
                </c:pt>
                <c:pt idx="13">
                  <c:v>208</c:v>
                </c:pt>
                <c:pt idx="15">
                  <c:v>158</c:v>
                </c:pt>
                <c:pt idx="16">
                  <c:v>11194</c:v>
                </c:pt>
                <c:pt idx="18">
                  <c:v>-15243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A7-4697-B546-45CD3E31AA96}"/>
            </c:ext>
          </c:extLst>
        </c:ser>
        <c:ser>
          <c:idx val="1"/>
          <c:order val="1"/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0CA7-4697-B546-45CD3E31AA96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('Juni 19'!$B$5:$B$7,'Juni 19'!$B$9,'Juni 19'!$B$12:$B$24,'Juni 19'!$B$26:$B$27)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('Juni 19'!$G$5:$G$7,'Juni 19'!$G$9,'Juni 19'!$G$12:$G$26)</c:f>
              <c:numCache>
                <c:formatCode>#\ ##0\ "kr"</c:formatCode>
                <c:ptCount val="19"/>
                <c:pt idx="0">
                  <c:v>0</c:v>
                </c:pt>
                <c:pt idx="1">
                  <c:v>2026</c:v>
                </c:pt>
                <c:pt idx="2">
                  <c:v>412</c:v>
                </c:pt>
                <c:pt idx="4">
                  <c:v>830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95</c:v>
                </c:pt>
                <c:pt idx="9">
                  <c:v>148</c:v>
                </c:pt>
                <c:pt idx="10">
                  <c:v>0</c:v>
                </c:pt>
                <c:pt idx="11">
                  <c:v>35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CA7-4697-B546-45CD3E31AA96}"/>
            </c:ext>
          </c:extLst>
        </c:ser>
        <c:ser>
          <c:idx val="2"/>
          <c:order val="2"/>
          <c:spPr>
            <a:solidFill>
              <a:srgbClr val="FF7C80"/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CA7-4697-B546-45CD3E31AA96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('Juni 19'!$B$5:$B$7,'Juni 19'!$B$9,'Juni 19'!$B$12:$B$24,'Juni 19'!$B$26:$B$27)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('Juni 19'!$H$5:$H$7,'Juni 19'!$H$9,'Juni 19'!$H$12:$H$26)</c:f>
              <c:numCache>
                <c:formatCode>#\ ##0\ "kr"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1577</c:v>
                </c:pt>
                <c:pt idx="6">
                  <c:v>1349</c:v>
                </c:pt>
                <c:pt idx="7">
                  <c:v>925</c:v>
                </c:pt>
                <c:pt idx="8">
                  <c:v>0</c:v>
                </c:pt>
                <c:pt idx="9">
                  <c:v>0</c:v>
                </c:pt>
                <c:pt idx="10">
                  <c:v>390</c:v>
                </c:pt>
                <c:pt idx="11">
                  <c:v>0</c:v>
                </c:pt>
                <c:pt idx="12">
                  <c:v>772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11194</c:v>
                </c:pt>
                <c:pt idx="18">
                  <c:v>-15243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CA7-4697-B546-45CD3E31AA9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2"/>
        <c:overlap val="100"/>
        <c:axId val="578878144"/>
        <c:axId val="578879784"/>
      </c:barChart>
      <c:catAx>
        <c:axId val="578878144"/>
        <c:scaling>
          <c:orientation val="maxMin"/>
        </c:scaling>
        <c:delete val="0"/>
        <c:axPos val="l"/>
        <c:numFmt formatCode="#&quot;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578879784"/>
        <c:crosses val="autoZero"/>
        <c:auto val="1"/>
        <c:lblAlgn val="ctr"/>
        <c:lblOffset val="100"/>
        <c:noMultiLvlLbl val="0"/>
      </c:catAx>
      <c:valAx>
        <c:axId val="578879784"/>
        <c:scaling>
          <c:orientation val="minMax"/>
          <c:max val="6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\ &quot;kr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578878144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533-488C-93BD-0A786578412C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('Juli 19'!$B$5:$B$7,'Juli 19'!$B$9,'Juli 19'!$B$12:$B$24,'Juli 19'!$B$26:$B$27)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('Juli 19'!$C$5:$C$7,'Juli 19'!$C$9,'Juli 19'!$C$12:$C$24,'Juli 19'!$C$26:$C$27)</c:f>
              <c:numCache>
                <c:formatCode>#\ ##0\ "kr"</c:formatCode>
                <c:ptCount val="19"/>
                <c:pt idx="1">
                  <c:v>15830</c:v>
                </c:pt>
                <c:pt idx="2">
                  <c:v>525</c:v>
                </c:pt>
                <c:pt idx="4">
                  <c:v>830</c:v>
                </c:pt>
                <c:pt idx="5">
                  <c:v>337.5</c:v>
                </c:pt>
                <c:pt idx="7">
                  <c:v>1751</c:v>
                </c:pt>
                <c:pt idx="9">
                  <c:v>241</c:v>
                </c:pt>
                <c:pt idx="10">
                  <c:v>121</c:v>
                </c:pt>
                <c:pt idx="11">
                  <c:v>90</c:v>
                </c:pt>
                <c:pt idx="12">
                  <c:v>2522</c:v>
                </c:pt>
                <c:pt idx="14">
                  <c:v>210</c:v>
                </c:pt>
                <c:pt idx="15">
                  <c:v>228</c:v>
                </c:pt>
                <c:pt idx="16">
                  <c:v>5101</c:v>
                </c:pt>
                <c:pt idx="18">
                  <c:v>4924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533-488C-93BD-0A786578412C}"/>
            </c:ext>
          </c:extLst>
        </c:ser>
        <c:ser>
          <c:idx val="1"/>
          <c:order val="1"/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533-488C-93BD-0A786578412C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('Juli 19'!$B$5:$B$7,'Juli 19'!$B$9,'Juli 19'!$B$12:$B$24,'Juli 19'!$B$26:$B$27)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('Juli 19'!$G$5:$G$7,'Juli 19'!$G$9,'Juli 19'!$G$12:$G$26)</c:f>
              <c:numCache>
                <c:formatCode>#\ ##0\ "kr"</c:formatCode>
                <c:ptCount val="19"/>
                <c:pt idx="0">
                  <c:v>0</c:v>
                </c:pt>
                <c:pt idx="1">
                  <c:v>15830</c:v>
                </c:pt>
                <c:pt idx="2">
                  <c:v>525</c:v>
                </c:pt>
                <c:pt idx="4">
                  <c:v>830</c:v>
                </c:pt>
                <c:pt idx="5">
                  <c:v>337.5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121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210</c:v>
                </c:pt>
                <c:pt idx="15">
                  <c:v>0</c:v>
                </c:pt>
                <c:pt idx="16">
                  <c:v>0</c:v>
                </c:pt>
                <c:pt idx="18">
                  <c:v>4924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533-488C-93BD-0A786578412C}"/>
            </c:ext>
          </c:extLst>
        </c:ser>
        <c:ser>
          <c:idx val="2"/>
          <c:order val="2"/>
          <c:spPr>
            <a:solidFill>
              <a:srgbClr val="FF7C80"/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533-488C-93BD-0A786578412C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('Juli 19'!$B$5:$B$7,'Juli 19'!$B$9,'Juli 19'!$B$12:$B$24,'Juli 19'!$B$26:$B$27)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('Juli 19'!$H$5:$H$7,'Juli 19'!$H$9,'Juli 19'!$H$12:$H$26)</c:f>
              <c:numCache>
                <c:formatCode>#\ ##0\ "kr"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1751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2522</c:v>
                </c:pt>
                <c:pt idx="13">
                  <c:v>0</c:v>
                </c:pt>
                <c:pt idx="14">
                  <c:v>0</c:v>
                </c:pt>
                <c:pt idx="15">
                  <c:v>228</c:v>
                </c:pt>
                <c:pt idx="16">
                  <c:v>5101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533-488C-93BD-0A786578412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2"/>
        <c:overlap val="100"/>
        <c:axId val="578878144"/>
        <c:axId val="578879784"/>
      </c:barChart>
      <c:catAx>
        <c:axId val="578878144"/>
        <c:scaling>
          <c:orientation val="maxMin"/>
        </c:scaling>
        <c:delete val="0"/>
        <c:axPos val="l"/>
        <c:numFmt formatCode="#&quot;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578879784"/>
        <c:crosses val="autoZero"/>
        <c:auto val="1"/>
        <c:lblAlgn val="ctr"/>
        <c:lblOffset val="100"/>
        <c:noMultiLvlLbl val="0"/>
      </c:catAx>
      <c:valAx>
        <c:axId val="578879784"/>
        <c:scaling>
          <c:orientation val="minMax"/>
          <c:max val="6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\ &quot;kr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578878144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DCC-4225-8BFA-1D391458BA2D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('Augusti 19'!$B$5:$B$7,'Augusti 19'!$B$9,'Augusti 19'!$B$12:$B$24,'Augusti 19'!$B$26:$B$27)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('Augusti 19'!$C$5:$C$7,'Augusti 19'!$C$9,'Augusti 19'!$C$12:$C$24,'Augusti 19'!$C$26:$C$27)</c:f>
              <c:numCache>
                <c:formatCode>#\ ##0\ "kr"</c:formatCode>
                <c:ptCount val="19"/>
                <c:pt idx="0">
                  <c:v>16100</c:v>
                </c:pt>
                <c:pt idx="1">
                  <c:v>17897</c:v>
                </c:pt>
                <c:pt idx="4">
                  <c:v>7854</c:v>
                </c:pt>
                <c:pt idx="5">
                  <c:v>867</c:v>
                </c:pt>
                <c:pt idx="6">
                  <c:v>1631</c:v>
                </c:pt>
                <c:pt idx="7">
                  <c:v>3256.5</c:v>
                </c:pt>
                <c:pt idx="8">
                  <c:v>432</c:v>
                </c:pt>
                <c:pt idx="9">
                  <c:v>309</c:v>
                </c:pt>
                <c:pt idx="10">
                  <c:v>638</c:v>
                </c:pt>
                <c:pt idx="11">
                  <c:v>338</c:v>
                </c:pt>
                <c:pt idx="12">
                  <c:v>918</c:v>
                </c:pt>
                <c:pt idx="14">
                  <c:v>3744</c:v>
                </c:pt>
                <c:pt idx="15">
                  <c:v>468</c:v>
                </c:pt>
                <c:pt idx="16">
                  <c:v>8950</c:v>
                </c:pt>
                <c:pt idx="18">
                  <c:v>4592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CC-4225-8BFA-1D391458BA2D}"/>
            </c:ext>
          </c:extLst>
        </c:ser>
        <c:ser>
          <c:idx val="1"/>
          <c:order val="1"/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0DCC-4225-8BFA-1D391458BA2D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('Augusti 19'!$B$5:$B$7,'Augusti 19'!$B$9,'Augusti 19'!$B$12:$B$24,'Augusti 19'!$B$26:$B$27)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('Augusti 19'!$G$5:$G$7,'Augusti 19'!$G$9,'Augusti 19'!$G$12:$G$26)</c:f>
              <c:numCache>
                <c:formatCode>#\ ##0\ "kr"</c:formatCode>
                <c:ptCount val="19"/>
                <c:pt idx="0">
                  <c:v>16100</c:v>
                </c:pt>
                <c:pt idx="1">
                  <c:v>17897</c:v>
                </c:pt>
                <c:pt idx="2">
                  <c:v>0</c:v>
                </c:pt>
                <c:pt idx="4">
                  <c:v>0</c:v>
                </c:pt>
                <c:pt idx="5">
                  <c:v>867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8">
                  <c:v>4592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DCC-4225-8BFA-1D391458BA2D}"/>
            </c:ext>
          </c:extLst>
        </c:ser>
        <c:ser>
          <c:idx val="2"/>
          <c:order val="2"/>
          <c:spPr>
            <a:solidFill>
              <a:srgbClr val="FF7C80"/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DCC-4225-8BFA-1D391458BA2D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('Augusti 19'!$B$5:$B$7,'Augusti 19'!$B$9,'Augusti 19'!$B$12:$B$24,'Augusti 19'!$B$26:$B$27)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('Augusti 19'!$H$5:$H$7,'Augusti 19'!$H$9,'Augusti 19'!$H$12:$H$26)</c:f>
              <c:numCache>
                <c:formatCode>#\ ##0\ "kr"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7854</c:v>
                </c:pt>
                <c:pt idx="5">
                  <c:v>0</c:v>
                </c:pt>
                <c:pt idx="6">
                  <c:v>1631</c:v>
                </c:pt>
                <c:pt idx="7">
                  <c:v>3256.5</c:v>
                </c:pt>
                <c:pt idx="8">
                  <c:v>432</c:v>
                </c:pt>
                <c:pt idx="9">
                  <c:v>309</c:v>
                </c:pt>
                <c:pt idx="10">
                  <c:v>638</c:v>
                </c:pt>
                <c:pt idx="11">
                  <c:v>338</c:v>
                </c:pt>
                <c:pt idx="12">
                  <c:v>918</c:v>
                </c:pt>
                <c:pt idx="13">
                  <c:v>0</c:v>
                </c:pt>
                <c:pt idx="14">
                  <c:v>3744</c:v>
                </c:pt>
                <c:pt idx="15">
                  <c:v>468</c:v>
                </c:pt>
                <c:pt idx="16">
                  <c:v>8950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DCC-4225-8BFA-1D391458BA2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2"/>
        <c:overlap val="100"/>
        <c:axId val="578878144"/>
        <c:axId val="578879784"/>
      </c:barChart>
      <c:catAx>
        <c:axId val="578878144"/>
        <c:scaling>
          <c:orientation val="maxMin"/>
        </c:scaling>
        <c:delete val="0"/>
        <c:axPos val="l"/>
        <c:numFmt formatCode="#&quot;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578879784"/>
        <c:crosses val="autoZero"/>
        <c:auto val="1"/>
        <c:lblAlgn val="ctr"/>
        <c:lblOffset val="100"/>
        <c:noMultiLvlLbl val="0"/>
      </c:catAx>
      <c:valAx>
        <c:axId val="578879784"/>
        <c:scaling>
          <c:orientation val="minMax"/>
          <c:max val="6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\ &quot;kr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578878144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196437</xdr:colOff>
      <xdr:row>0</xdr:row>
      <xdr:rowOff>47410</xdr:rowOff>
    </xdr:from>
    <xdr:to>
      <xdr:col>23</xdr:col>
      <xdr:colOff>761252</xdr:colOff>
      <xdr:row>23</xdr:row>
      <xdr:rowOff>114408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23</xdr:row>
      <xdr:rowOff>147144</xdr:rowOff>
    </xdr:from>
    <xdr:to>
      <xdr:col>17</xdr:col>
      <xdr:colOff>236483</xdr:colOff>
      <xdr:row>39</xdr:row>
      <xdr:rowOff>183930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1</xdr:col>
          <xdr:colOff>670560</xdr:colOff>
          <xdr:row>1</xdr:row>
          <xdr:rowOff>1168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NyMånad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883920</xdr:colOff>
          <xdr:row>1</xdr:row>
          <xdr:rowOff>99060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Instruktioner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</xdr:colOff>
          <xdr:row>46</xdr:row>
          <xdr:rowOff>106680</xdr:rowOff>
        </xdr:from>
        <xdr:to>
          <xdr:col>2</xdr:col>
          <xdr:colOff>403860</xdr:colOff>
          <xdr:row>48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Starta!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0</xdr:row>
          <xdr:rowOff>0</xdr:rowOff>
        </xdr:from>
        <xdr:to>
          <xdr:col>3</xdr:col>
          <xdr:colOff>121920</xdr:colOff>
          <xdr:row>1</xdr:row>
          <xdr:rowOff>1168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Fun fact!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</xdr:row>
          <xdr:rowOff>7620</xdr:rowOff>
        </xdr:from>
        <xdr:to>
          <xdr:col>1</xdr:col>
          <xdr:colOff>876300</xdr:colOff>
          <xdr:row>4</xdr:row>
          <xdr:rowOff>167640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Update!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0</xdr:row>
      <xdr:rowOff>53340</xdr:rowOff>
    </xdr:from>
    <xdr:to>
      <xdr:col>14</xdr:col>
      <xdr:colOff>167640</xdr:colOff>
      <xdr:row>23</xdr:row>
      <xdr:rowOff>114300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265512</xdr:colOff>
      <xdr:row>23</xdr:row>
      <xdr:rowOff>146788</xdr:rowOff>
    </xdr:from>
    <xdr:to>
      <xdr:col>23</xdr:col>
      <xdr:colOff>761999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032713A-A347-488F-92C8-3E12D0C5BB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106680</xdr:colOff>
      <xdr:row>3</xdr:row>
      <xdr:rowOff>0</xdr:rowOff>
    </xdr:from>
    <xdr:to>
      <xdr:col>17</xdr:col>
      <xdr:colOff>0</xdr:colOff>
      <xdr:row>27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106680</xdr:colOff>
      <xdr:row>3</xdr:row>
      <xdr:rowOff>0</xdr:rowOff>
    </xdr:from>
    <xdr:to>
      <xdr:col>17</xdr:col>
      <xdr:colOff>0</xdr:colOff>
      <xdr:row>27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106680</xdr:colOff>
      <xdr:row>3</xdr:row>
      <xdr:rowOff>0</xdr:rowOff>
    </xdr:from>
    <xdr:to>
      <xdr:col>17</xdr:col>
      <xdr:colOff>0</xdr:colOff>
      <xdr:row>27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106680</xdr:colOff>
      <xdr:row>3</xdr:row>
      <xdr:rowOff>0</xdr:rowOff>
    </xdr:from>
    <xdr:to>
      <xdr:col>17</xdr:col>
      <xdr:colOff>0</xdr:colOff>
      <xdr:row>27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106680</xdr:colOff>
      <xdr:row>3</xdr:row>
      <xdr:rowOff>0</xdr:rowOff>
    </xdr:from>
    <xdr:to>
      <xdr:col>17</xdr:col>
      <xdr:colOff>0</xdr:colOff>
      <xdr:row>27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106680</xdr:colOff>
      <xdr:row>3</xdr:row>
      <xdr:rowOff>0</xdr:rowOff>
    </xdr:from>
    <xdr:to>
      <xdr:col>17</xdr:col>
      <xdr:colOff>0</xdr:colOff>
      <xdr:row>27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106680</xdr:colOff>
      <xdr:row>3</xdr:row>
      <xdr:rowOff>0</xdr:rowOff>
    </xdr:from>
    <xdr:to>
      <xdr:col>17</xdr:col>
      <xdr:colOff>0</xdr:colOff>
      <xdr:row>27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106680</xdr:colOff>
      <xdr:row>3</xdr:row>
      <xdr:rowOff>0</xdr:rowOff>
    </xdr:from>
    <xdr:to>
      <xdr:col>17</xdr:col>
      <xdr:colOff>0</xdr:colOff>
      <xdr:row>27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106680</xdr:colOff>
      <xdr:row>3</xdr:row>
      <xdr:rowOff>0</xdr:rowOff>
    </xdr:from>
    <xdr:to>
      <xdr:col>17</xdr:col>
      <xdr:colOff>0</xdr:colOff>
      <xdr:row>27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106680</xdr:colOff>
      <xdr:row>3</xdr:row>
      <xdr:rowOff>0</xdr:rowOff>
    </xdr:from>
    <xdr:to>
      <xdr:col>17</xdr:col>
      <xdr:colOff>0</xdr:colOff>
      <xdr:row>27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106680</xdr:colOff>
      <xdr:row>3</xdr:row>
      <xdr:rowOff>0</xdr:rowOff>
    </xdr:from>
    <xdr:to>
      <xdr:col>17</xdr:col>
      <xdr:colOff>0</xdr:colOff>
      <xdr:row>27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106680</xdr:colOff>
      <xdr:row>3</xdr:row>
      <xdr:rowOff>0</xdr:rowOff>
    </xdr:from>
    <xdr:to>
      <xdr:col>17</xdr:col>
      <xdr:colOff>0</xdr:colOff>
      <xdr:row>27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106680</xdr:colOff>
      <xdr:row>3</xdr:row>
      <xdr:rowOff>0</xdr:rowOff>
    </xdr:from>
    <xdr:to>
      <xdr:col>17</xdr:col>
      <xdr:colOff>0</xdr:colOff>
      <xdr:row>27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42BD408-5142-4AD3-B022-A2B71146A9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Custom 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FEE599"/>
      </a:accent1>
      <a:accent2>
        <a:srgbClr val="A8D08D"/>
      </a:accent2>
      <a:accent3>
        <a:srgbClr val="FF7C80"/>
      </a:accent3>
      <a:accent4>
        <a:srgbClr val="FEE599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E9D50-1EE6-4E24-9DC9-1BD9C08CEE85}">
  <sheetPr codeName="Sheet1">
    <tabColor theme="8" tint="-0.499984740745262"/>
  </sheetPr>
  <dimension ref="A1:EO338"/>
  <sheetViews>
    <sheetView showGridLines="0" zoomScale="83" zoomScaleNormal="130" workbookViewId="0">
      <selection activeCell="A5" sqref="A5"/>
    </sheetView>
  </sheetViews>
  <sheetFormatPr defaultColWidth="8.88671875" defaultRowHeight="14.4" x14ac:dyDescent="0.3"/>
  <cols>
    <col min="1" max="1" width="22.21875" style="37" bestFit="1" customWidth="1"/>
    <col min="2" max="2" width="13" style="37" bestFit="1" customWidth="1"/>
    <col min="3" max="3" width="8.88671875" style="37" customWidth="1"/>
    <col min="4" max="4" width="8.88671875" style="37"/>
    <col min="5" max="5" width="10.88671875" style="37" customWidth="1"/>
    <col min="6" max="6" width="9.6640625" style="37" bestFit="1" customWidth="1"/>
    <col min="7" max="7" width="9.6640625" style="81" bestFit="1" customWidth="1"/>
    <col min="8" max="11" width="8.88671875" style="81"/>
    <col min="12" max="12" width="8.88671875" style="81" customWidth="1"/>
    <col min="13" max="18" width="8.88671875" style="81"/>
    <col min="19" max="19" width="8.88671875" style="81" customWidth="1"/>
    <col min="20" max="20" width="8.88671875" style="81"/>
    <col min="21" max="21" width="11.5546875" style="81" bestFit="1" customWidth="1"/>
    <col min="22" max="22" width="12.5546875" style="81" bestFit="1" customWidth="1"/>
    <col min="23" max="23" width="9" style="81" customWidth="1"/>
    <col min="24" max="24" width="11.109375" style="81" customWidth="1"/>
    <col min="25" max="26" width="10.6640625" style="81" customWidth="1"/>
    <col min="27" max="31" width="8.88671875" style="81"/>
    <col min="32" max="32" width="8.88671875" style="81" customWidth="1"/>
    <col min="33" max="35" width="8.88671875" style="81"/>
    <col min="36" max="36" width="12.5546875" style="81" bestFit="1" customWidth="1"/>
    <col min="37" max="37" width="10.109375" style="81" bestFit="1" customWidth="1"/>
    <col min="38" max="39" width="8.88671875" style="81"/>
    <col min="40" max="40" width="18.109375" style="81" bestFit="1" customWidth="1"/>
    <col min="41" max="44" width="8.88671875" style="81"/>
    <col min="45" max="47" width="8.88671875" style="83"/>
    <col min="48" max="68" width="8.88671875" style="81"/>
    <col min="69" max="71" width="8.88671875" style="84"/>
    <col min="72" max="73" width="8.88671875" style="81"/>
    <col min="74" max="74" width="8.88671875" style="81" customWidth="1"/>
    <col min="75" max="145" width="8.88671875" style="81"/>
    <col min="146" max="16384" width="8.88671875" style="37"/>
  </cols>
  <sheetData>
    <row r="1" spans="1:123" x14ac:dyDescent="0.3">
      <c r="B1" s="38"/>
      <c r="D1" s="39"/>
      <c r="O1" s="82"/>
      <c r="T1" s="81" t="s">
        <v>5583</v>
      </c>
      <c r="U1" s="81" t="s">
        <v>5584</v>
      </c>
      <c r="V1" s="81" t="s">
        <v>5580</v>
      </c>
      <c r="W1" s="81" t="s">
        <v>3</v>
      </c>
      <c r="AA1" s="81">
        <f>ROUND((AD17+AD10)/AD17,2)*100-100</f>
        <v>19</v>
      </c>
      <c r="AE1" s="81">
        <v>1</v>
      </c>
      <c r="AR1" s="81" t="s">
        <v>1</v>
      </c>
      <c r="AV1" s="83" t="s">
        <v>2</v>
      </c>
      <c r="AW1" s="83" t="s">
        <v>16</v>
      </c>
      <c r="AX1" s="83" t="s">
        <v>5</v>
      </c>
      <c r="AY1" s="83" t="s">
        <v>18</v>
      </c>
      <c r="AZ1" s="83" t="s">
        <v>4</v>
      </c>
      <c r="BA1" s="83" t="s">
        <v>22</v>
      </c>
      <c r="BB1" s="83" t="s">
        <v>21</v>
      </c>
      <c r="BC1" s="83" t="s">
        <v>17</v>
      </c>
      <c r="BD1" s="83" t="s">
        <v>19</v>
      </c>
      <c r="BE1" s="83" t="s">
        <v>20</v>
      </c>
      <c r="BF1" s="83" t="s">
        <v>23</v>
      </c>
      <c r="BG1" s="81" t="s">
        <v>15</v>
      </c>
      <c r="BH1" s="81" t="s">
        <v>1001</v>
      </c>
      <c r="BI1" s="81" t="s">
        <v>7</v>
      </c>
      <c r="BJ1" s="81" t="s">
        <v>1</v>
      </c>
      <c r="BN1" s="81" t="s">
        <v>4618</v>
      </c>
      <c r="BS1" s="81"/>
      <c r="BT1" s="81" t="str">
        <f>HLOOKUP(A5,AV1:BJ303,3,FALSE)</f>
        <v>='Augusti 18'!C12</v>
      </c>
    </row>
    <row r="2" spans="1:123" x14ac:dyDescent="0.3">
      <c r="S2" s="98" t="str">
        <f>VLOOKUP("x",N4:U292,1)</f>
        <v>x</v>
      </c>
      <c r="T2" s="85">
        <f>VLOOKUP("x",N4:U292,6)</f>
        <v>804</v>
      </c>
      <c r="U2" s="81">
        <f>VLOOKUP("x",N4:U292,3)</f>
        <v>598</v>
      </c>
      <c r="V2" s="29">
        <f>VLOOKUP("x",N4:U292,8)</f>
        <v>328</v>
      </c>
      <c r="W2" s="85">
        <f>VLOOKUP("x",N4:U292,5)</f>
        <v>19226</v>
      </c>
      <c r="Y2" s="29"/>
      <c r="AA2" s="81" t="str">
        <f>IF(AD10&gt;AD17,"Intressant","")</f>
        <v/>
      </c>
      <c r="AE2" s="81">
        <v>2</v>
      </c>
      <c r="AG2" s="86" t="s">
        <v>42</v>
      </c>
      <c r="AI2" s="81" t="s">
        <v>46</v>
      </c>
      <c r="AJ2" s="81" t="s">
        <v>46</v>
      </c>
      <c r="AK2" s="81" t="s">
        <v>46</v>
      </c>
      <c r="AL2" s="81" t="s">
        <v>46</v>
      </c>
      <c r="AM2" s="81" t="s">
        <v>46</v>
      </c>
      <c r="AR2" s="81" t="s">
        <v>52</v>
      </c>
      <c r="AV2" s="81" t="s">
        <v>53</v>
      </c>
      <c r="AW2" s="81" t="s">
        <v>54</v>
      </c>
      <c r="AX2" s="81" t="s">
        <v>55</v>
      </c>
      <c r="AY2" s="81" t="s">
        <v>56</v>
      </c>
      <c r="AZ2" s="81" t="s">
        <v>57</v>
      </c>
      <c r="BA2" s="81" t="s">
        <v>58</v>
      </c>
      <c r="BB2" s="81" t="s">
        <v>59</v>
      </c>
      <c r="BC2" s="81" t="s">
        <v>60</v>
      </c>
      <c r="BD2" s="81" t="s">
        <v>61</v>
      </c>
      <c r="BE2" s="81" t="s">
        <v>62</v>
      </c>
      <c r="BF2" s="81" t="s">
        <v>63</v>
      </c>
      <c r="BG2" s="81" t="s">
        <v>64</v>
      </c>
      <c r="BH2" s="81" t="s">
        <v>4619</v>
      </c>
      <c r="BI2" s="81" t="s">
        <v>4923</v>
      </c>
      <c r="BJ2" s="81" t="s">
        <v>52</v>
      </c>
      <c r="BL2" s="81" t="s">
        <v>46</v>
      </c>
      <c r="BM2" s="81" t="s">
        <v>46</v>
      </c>
      <c r="BS2" s="81"/>
    </row>
    <row r="3" spans="1:123" ht="15" thickBot="1" x14ac:dyDescent="0.35">
      <c r="N3" s="81" t="s">
        <v>5579</v>
      </c>
      <c r="O3" s="81" t="s">
        <v>5581</v>
      </c>
      <c r="P3" s="100">
        <v>4.4999999999999998E-2</v>
      </c>
      <c r="Q3" s="81" t="s">
        <v>5578</v>
      </c>
      <c r="R3" s="81" t="s">
        <v>5582</v>
      </c>
      <c r="S3" s="30">
        <v>7.0000000000000007E-2</v>
      </c>
      <c r="T3" s="81" t="s">
        <v>5577</v>
      </c>
      <c r="U3" s="100">
        <v>2.5000000000000001E-2</v>
      </c>
      <c r="V3" s="81" t="s">
        <v>33</v>
      </c>
      <c r="W3" s="81" t="s">
        <v>3</v>
      </c>
      <c r="X3" s="81" t="s">
        <v>50</v>
      </c>
      <c r="Y3" s="81" t="s">
        <v>51</v>
      </c>
      <c r="AA3" s="81">
        <f>ROUND(AD7/AD5,2)*100</f>
        <v>33</v>
      </c>
      <c r="AB3" s="86"/>
      <c r="AC3" s="86" t="s">
        <v>36</v>
      </c>
      <c r="AD3" s="86" t="s">
        <v>35</v>
      </c>
      <c r="AE3" s="81">
        <v>3</v>
      </c>
      <c r="AF3" s="86" t="s">
        <v>45</v>
      </c>
      <c r="AG3" s="81">
        <f ca="1">AG4-1</f>
        <v>14</v>
      </c>
      <c r="AI3" s="81">
        <v>0</v>
      </c>
      <c r="AJ3" s="81" t="str">
        <f t="shared" ref="AJ3:AJ66" si="0">AK3&amp;" "&amp;AL3</f>
        <v>Augusti 18</v>
      </c>
      <c r="AK3" s="81" t="s">
        <v>41</v>
      </c>
      <c r="AL3" s="81">
        <v>18</v>
      </c>
      <c r="AM3" s="81" t="str">
        <f>"="&amp;"'"&amp;AJ3&amp;"'"&amp;"!"</f>
        <v>='Augusti 18'!</v>
      </c>
      <c r="AN3" s="81" t="str">
        <f>AM3&amp;"C27"</f>
        <v>='Augusti 18'!C27</v>
      </c>
      <c r="AO3" s="81" t="s">
        <v>1003</v>
      </c>
      <c r="AR3" s="81" t="s">
        <v>65</v>
      </c>
      <c r="AS3" s="83" t="str">
        <f t="shared" ref="AS3:AS66" si="1">IF(AR3&gt;$B$12*(1+$C$12),AR3,0)</f>
        <v>='Augusti 18'!C6</v>
      </c>
      <c r="AT3" s="83">
        <f t="shared" ref="AT3:AT66" si="2">IF(AR3&lt;$B$12*(1-$C$12),AR3,0)</f>
        <v>0</v>
      </c>
      <c r="AV3" s="81" t="s">
        <v>364</v>
      </c>
      <c r="AW3" s="81" t="s">
        <v>1307</v>
      </c>
      <c r="AX3" s="81" t="s">
        <v>1308</v>
      </c>
      <c r="AY3" s="81" t="s">
        <v>1309</v>
      </c>
      <c r="AZ3" s="81" t="s">
        <v>1310</v>
      </c>
      <c r="BA3" s="81" t="s">
        <v>1311</v>
      </c>
      <c r="BB3" s="81" t="s">
        <v>1312</v>
      </c>
      <c r="BC3" s="81" t="s">
        <v>1313</v>
      </c>
      <c r="BD3" s="81" t="s">
        <v>1314</v>
      </c>
      <c r="BE3" s="81" t="s">
        <v>1315</v>
      </c>
      <c r="BF3" s="81" t="s">
        <v>1316</v>
      </c>
      <c r="BG3" s="81" t="s">
        <v>1317</v>
      </c>
      <c r="BH3" s="81" t="s">
        <v>4620</v>
      </c>
      <c r="BI3" s="81" t="s">
        <v>4924</v>
      </c>
      <c r="BJ3" s="81" t="s">
        <v>65</v>
      </c>
      <c r="BL3" s="81" t="s">
        <v>667</v>
      </c>
      <c r="BM3" s="81">
        <v>0</v>
      </c>
      <c r="BN3" s="81" t="str">
        <f t="shared" ref="BN3:BN66" si="3">IF($A$5=$A$18,AV3,IF($A$5=$A$19,AW3,IF($A$5=$A$20,AX3,IF($A$5=$A$21,AY3,IF($A$5=$A$22,AZ3,IF($A$5=$A$23,BA3,IF($A$5=$A$24,BB3,IF($A$5=$A$25,BC3,IF($A$5=$A$26,BD3,IF($A$5=$A$27,BE3,IF($A$5=$A$28,BF3,IF($A$5=$A$29,BG3,IF($A$5=$A$30,BH3,IF($A$5=$A$12,BJ3,IF($A$5=$A$31,BI3,"")))))))))))))))</f>
        <v>='Augusti 18'!C12</v>
      </c>
      <c r="BP3" s="81" t="s">
        <v>1306</v>
      </c>
      <c r="BQ3" s="81" t="s">
        <v>2</v>
      </c>
      <c r="BR3" s="81" t="s">
        <v>1304</v>
      </c>
      <c r="BS3" s="81" t="s">
        <v>1305</v>
      </c>
      <c r="BV3" s="81" t="s">
        <v>10</v>
      </c>
      <c r="BW3" s="81" t="s">
        <v>34</v>
      </c>
      <c r="CB3" s="81" t="s">
        <v>4921</v>
      </c>
      <c r="CC3" s="81" t="s">
        <v>4922</v>
      </c>
    </row>
    <row r="4" spans="1:123" x14ac:dyDescent="0.3">
      <c r="A4" s="95" t="s">
        <v>5551</v>
      </c>
      <c r="B4" s="41"/>
      <c r="C4" s="7"/>
      <c r="D4" s="7"/>
      <c r="N4" s="81">
        <f>IF(Q5=0,IF(Q4=0,,"x"),)</f>
        <v>0</v>
      </c>
      <c r="O4" s="81">
        <f>IF(W4="",,ROUND(W4*(1+0.045/12),0))</f>
        <v>6471</v>
      </c>
      <c r="P4" s="81">
        <f>O4-R4</f>
        <v>24</v>
      </c>
      <c r="Q4" s="81">
        <f>IF(W4="",,ROUND(W4*(1+0.06/12),0))</f>
        <v>6479</v>
      </c>
      <c r="R4" s="81">
        <f>IF(W4="",,SUM($W$4:W4))</f>
        <v>6447</v>
      </c>
      <c r="S4" s="81">
        <f>Q4-R4</f>
        <v>32</v>
      </c>
      <c r="T4" s="81">
        <f>IF(W4="",,ROUND(W4*(1+0.025/12),0))</f>
        <v>6460</v>
      </c>
      <c r="U4" s="81">
        <f>T4-R4</f>
        <v>13</v>
      </c>
      <c r="V4" s="81" t="str">
        <f ca="1">IF($AG$6&gt;=AE1,AJ4,"")</f>
        <v>September 18</v>
      </c>
      <c r="W4" s="99">
        <f>'September 18'!C27</f>
        <v>6447</v>
      </c>
      <c r="X4" s="81">
        <f t="shared" ref="X4:X35" si="4">IF(W4&gt;$B$33*(1+$C$33),W4,0)</f>
        <v>6447</v>
      </c>
      <c r="Y4" s="81">
        <f t="shared" ref="Y4:Y35" si="5">IF(W4&lt;$B$33*(1-$C$33),W4,0)</f>
        <v>0</v>
      </c>
      <c r="Z4" s="86" t="s">
        <v>48</v>
      </c>
      <c r="AA4" s="81" t="str">
        <f>IF(AD19&gt;AD18,"Utgifter &gt; intäkter","Intäkter &gt; utgifter")</f>
        <v>Intäkter &gt; utgifter</v>
      </c>
      <c r="AB4" s="81" t="str">
        <f>B6</f>
        <v>september 18</v>
      </c>
      <c r="AC4" s="81" t="str">
        <f t="shared" ref="AC4:AC16" si="6">A18</f>
        <v>Hyra</v>
      </c>
      <c r="AD4" s="81">
        <f>SUM(emptySheet:Basmånad!C12)</f>
        <v>34213</v>
      </c>
      <c r="AE4" s="81">
        <v>4</v>
      </c>
      <c r="AF4" s="86" t="s">
        <v>43</v>
      </c>
      <c r="AG4" s="81">
        <f ca="1">COUNTA(INDEX(countsheets,0))-1</f>
        <v>15</v>
      </c>
      <c r="AI4" s="81">
        <v>1</v>
      </c>
      <c r="AJ4" s="81" t="str">
        <f t="shared" si="0"/>
        <v>September 18</v>
      </c>
      <c r="AK4" s="81" t="s">
        <v>26</v>
      </c>
      <c r="AL4" s="81">
        <v>18</v>
      </c>
      <c r="AM4" s="81" t="str">
        <f>"="&amp;"'"&amp;AJ4&amp;"'"&amp;"!"</f>
        <v>='September 18'!</v>
      </c>
      <c r="AN4" s="81" t="str">
        <f t="shared" ref="AN4:AN67" si="7">AM4&amp;"C27"</f>
        <v>='September 18'!C27</v>
      </c>
      <c r="AO4" s="81" t="s">
        <v>1004</v>
      </c>
      <c r="AR4" s="81" t="e">
        <f>#REF!</f>
        <v>#REF!</v>
      </c>
      <c r="AS4" s="83" t="e">
        <f t="shared" si="1"/>
        <v>#REF!</v>
      </c>
      <c r="AT4" s="83" t="e">
        <f t="shared" si="2"/>
        <v>#REF!</v>
      </c>
      <c r="AV4" s="81" t="s">
        <v>365</v>
      </c>
      <c r="AW4" s="81" t="s">
        <v>1318</v>
      </c>
      <c r="AX4" s="81" t="s">
        <v>1319</v>
      </c>
      <c r="AY4" s="81" t="s">
        <v>1320</v>
      </c>
      <c r="AZ4" s="81" t="s">
        <v>1321</v>
      </c>
      <c r="BA4" s="81" t="s">
        <v>1322</v>
      </c>
      <c r="BB4" s="81" t="s">
        <v>1323</v>
      </c>
      <c r="BC4" s="81" t="s">
        <v>1324</v>
      </c>
      <c r="BD4" s="81" t="s">
        <v>1325</v>
      </c>
      <c r="BE4" s="81" t="s">
        <v>1326</v>
      </c>
      <c r="BF4" s="81" t="s">
        <v>1327</v>
      </c>
      <c r="BG4" s="81" t="s">
        <v>1328</v>
      </c>
      <c r="BH4" s="81" t="s">
        <v>4621</v>
      </c>
      <c r="BI4" s="81" t="s">
        <v>4925</v>
      </c>
      <c r="BJ4" s="81" t="s">
        <v>5225</v>
      </c>
      <c r="BL4" s="81" t="s">
        <v>668</v>
      </c>
      <c r="BM4" s="81">
        <v>1</v>
      </c>
      <c r="BN4" s="81" t="str">
        <f t="shared" si="3"/>
        <v>='September 18'!C12</v>
      </c>
      <c r="BP4" s="81" t="str">
        <f ca="1">IF($AG$6&gt;=AE1,AJ4,"")</f>
        <v>September 18</v>
      </c>
      <c r="BQ4">
        <f>'September 18'!C12</f>
        <v>5000</v>
      </c>
      <c r="BR4" s="84">
        <f t="shared" ref="BR4:BR67" si="8">IF($A$5=$A$18,CB4,IF($A$5=$A$19,CE4,IF($A$5=$A$20,CH4,IF($A$5=$A$21,CK4,IF($A$5=$A$22,CN4,IF($A$5=$A$23,CQ4,IF($A$5=$A$24,CT4,IF($A$5=$A$25,CW4,IF($A$5=$A$26,CZ4,IF($A$5=$A$27,DC4,IF($A$5=$A$28,DF4,IF($A$5=$A$29,DI4,IF($A$5=$A$30,DL4,IF($A$5=$A$30,DO4,IF($A$5=$A$12,DR4,"")))))))))))))))</f>
        <v>0</v>
      </c>
      <c r="BS4" s="84">
        <f t="shared" ref="BS4:BS67" si="9">IF($A$5=$A$18,CC4,IF($A$5=$A$19,CF4,IF($A$5=$A$20,CI4,IF($A$5=$A$21,CL4,IF($A$5=$A$22,CO4,IF($A$5=$A$23,CR4,IF($A$5=$A$24,CU4,IF($A$5=$A$25,CX4,IF($A$5=$A$26,DA4,IF($A$5=$A$27,DD4,IF($A$5=$A$28,DG4,IF($A$5=$A$29,DJ4,IF($A$5=$A$30,DM4,IF($A$5=$A$30,DP4,IF($A$5=$A$12,DS4,"")))))))))))))))</f>
        <v>0</v>
      </c>
      <c r="BT4" s="81">
        <f>IF($A$5=$A$18,CB4,IF($A$5=$A$19,CE4,IF($A$5=$A$20,CH4,IF($A$5=$A$21,CK4,IF($A$5=$A$22,CN4,IF($A$5=$A$23,CQ4,IF($A$5=$A$24,CT4,IF($A$5=$A$25,CW4,IF($A$5=$A$26,CZ4,IF($A$5=$A$27,DC4,IF($A$5=$A$28,DF4,IF($A$5=$A$29,DI4,IF($A$5=$A$30,DL4,IF($A$5=$A$30,DO4,IF($A$5=$A$12,DR4,"")))))))))))))))</f>
        <v>0</v>
      </c>
      <c r="BU4" s="81" t="str">
        <f t="shared" ref="BU4:BU16" si="10">A18</f>
        <v>Hyra</v>
      </c>
      <c r="BV4" s="81">
        <f t="shared" ref="BV4:BV16" si="11">B18</f>
        <v>5000</v>
      </c>
      <c r="BW4" s="88">
        <f t="shared" ref="BW4:BW16" si="12">C18</f>
        <v>0.25</v>
      </c>
      <c r="CA4" s="81" t="s">
        <v>2</v>
      </c>
      <c r="CB4" s="81">
        <f>ROUND(IF(BQ4&lt;$BV$4*(1-$BW$4),BQ4,0),0)</f>
        <v>0</v>
      </c>
      <c r="CC4" s="81">
        <f>IF(BQ4&gt;$BV$4*(1+$BW$4),BQ4,0)</f>
        <v>0</v>
      </c>
      <c r="CD4" s="81" t="s">
        <v>16</v>
      </c>
      <c r="CE4" s="81">
        <f>IF(BQ4&lt;$BV$5*(1-$BW$5),BQ4,0)</f>
        <v>0</v>
      </c>
      <c r="CF4" s="81">
        <f>IF(BQ4&gt;$BV$5*(1+$BW$5),BQ4,0)</f>
        <v>5000</v>
      </c>
      <c r="CG4" s="81" t="s">
        <v>5</v>
      </c>
      <c r="CH4" s="81">
        <f>IF(BQ4&lt;$BV$6*(1-$BW$6),BQ4,0)</f>
        <v>0</v>
      </c>
      <c r="CI4" s="81">
        <f>IF(BQ4&gt;$BV$6*(1+$BW$6),BQ4,0)</f>
        <v>5000</v>
      </c>
      <c r="CJ4" s="81" t="s">
        <v>18</v>
      </c>
      <c r="CK4" s="81">
        <f>IF(BQ4&lt;$BV$7*(1-$BW$7),BQ4,0)</f>
        <v>0</v>
      </c>
      <c r="CL4" s="81">
        <f>ROUND(IF(BQ4&gt;$BV$7*(1+$BW$7),BQ4,0),0)</f>
        <v>5000</v>
      </c>
      <c r="CM4" s="81" t="s">
        <v>4</v>
      </c>
      <c r="CN4" s="81">
        <f>IF(BQ4&lt;$BV$8*(1-$BW$8),BQ4,0)</f>
        <v>0</v>
      </c>
      <c r="CO4" s="81">
        <f>IF(BQ4&gt;$BV$8*(1+$BW$8),BQ4,0)</f>
        <v>5000</v>
      </c>
      <c r="CP4" s="81" t="s">
        <v>22</v>
      </c>
      <c r="CQ4" s="81">
        <f>IF(BQ4&lt;$BV$9*(1-$BW$9),BQ4,0)</f>
        <v>0</v>
      </c>
      <c r="CR4" s="81">
        <f>IF(BQ4&gt;$BV$9*(1+$BW$9),BQ4,0)</f>
        <v>5000</v>
      </c>
      <c r="CS4" s="81" t="s">
        <v>21</v>
      </c>
      <c r="CT4" s="81">
        <f>IF(BQ4&lt;$BV$10*(1-$BW$10),BQ4,0)</f>
        <v>0</v>
      </c>
      <c r="CU4" s="81">
        <f>IF(BQ4&gt;$BV$10*(1+$BW$10),BQ4,0)</f>
        <v>5000</v>
      </c>
      <c r="CV4" s="81" t="s">
        <v>998</v>
      </c>
      <c r="CW4" s="81">
        <f>IF(BQ4&lt;$BV$11*(1-$BW$11),BQ4,0)</f>
        <v>0</v>
      </c>
      <c r="CX4" s="81">
        <f>IF(BQ4&gt;$BV$11*(1+$BW$11),BQ4,0)</f>
        <v>5000</v>
      </c>
      <c r="CY4" s="81" t="s">
        <v>19</v>
      </c>
      <c r="CZ4" s="81">
        <f>IF(BQ4&lt;$BV$12*(1-$BW$12),BQ4,0)</f>
        <v>0</v>
      </c>
      <c r="DA4" s="81">
        <f>IF(BQ4&gt;$BV$12*(1+$BW$12),BQ4,0)</f>
        <v>5000</v>
      </c>
      <c r="DB4" s="81" t="s">
        <v>20</v>
      </c>
      <c r="DC4" s="81">
        <f>IF(BQ4&lt;$BV$13*(1-$BW$13),BQ4,0)</f>
        <v>0</v>
      </c>
      <c r="DD4" s="81">
        <f>IF(BQ4&gt;$BV$13*(1+$BW$13),BQ4,0)</f>
        <v>5000</v>
      </c>
      <c r="DE4" s="81" t="s">
        <v>23</v>
      </c>
      <c r="DF4" s="81">
        <f>IF(BQ4&lt;$BV$14*(1-$BW$14),BQ4,0)</f>
        <v>0</v>
      </c>
      <c r="DG4" s="81">
        <f>IF(BQ4&gt;$BV$14*(1+$BW$14),BQ4,0)</f>
        <v>5000</v>
      </c>
      <c r="DH4" s="81" t="s">
        <v>15</v>
      </c>
      <c r="DI4" s="81">
        <f>IF(BQ4&lt;$BV$15*(1-$BW$15),BQ4,0)</f>
        <v>0</v>
      </c>
      <c r="DJ4" s="81">
        <f>IF(BQ4&gt;$BV$15*(1+$BW$15),BQ4,0)</f>
        <v>5000</v>
      </c>
      <c r="DK4" s="81" t="s">
        <v>1001</v>
      </c>
      <c r="DL4" s="81">
        <f>IF(BQ4&lt;$BV$16*(1-$BW$16),BQ4,0)</f>
        <v>0</v>
      </c>
      <c r="DM4" s="81">
        <f>IF(BQ4&gt;$BV$16*(1+$BW$16),BQ4,0)</f>
        <v>5000</v>
      </c>
      <c r="DN4" s="81" t="s">
        <v>7</v>
      </c>
      <c r="DO4" s="81">
        <f>IF(BQ4&lt;$BV$17*(1-$BW$17),BQ4,0)</f>
        <v>5000</v>
      </c>
      <c r="DP4" s="81">
        <f>IF(BQ4&gt;$BV$17*(1+$BW$17),BQ4,0)</f>
        <v>0</v>
      </c>
      <c r="DQ4" s="81" t="s">
        <v>1</v>
      </c>
      <c r="DR4" s="81">
        <f>IF(BQ4&gt;$BV$18*(1+$BW$18),BQ4,0)</f>
        <v>5000</v>
      </c>
      <c r="DS4" s="81">
        <f>IF(BQ4&lt;$BV$18*(1-$BW$18),BQ4,0)</f>
        <v>0</v>
      </c>
    </row>
    <row r="5" spans="1:123" ht="15" thickBot="1" x14ac:dyDescent="0.35">
      <c r="A5" s="96" t="s">
        <v>2</v>
      </c>
      <c r="B5" s="42"/>
      <c r="C5" s="7"/>
      <c r="D5" s="7"/>
      <c r="N5" s="81">
        <f>IF(Q6=0,IF(Q5=0,,"x"),)</f>
        <v>0</v>
      </c>
      <c r="O5" s="81">
        <f>IF(W5="",,ROUND(O4*(1+0.045/12)+W5,0))</f>
        <v>8509</v>
      </c>
      <c r="P5" s="81">
        <f t="shared" ref="P5:P68" si="13">O5-R5</f>
        <v>48</v>
      </c>
      <c r="Q5" s="81">
        <f>IF(W5="",,ROUND(Q4*(1+0.06/12)+W5,0))</f>
        <v>8525</v>
      </c>
      <c r="R5" s="81">
        <f>IF(W5="",,SUM($W$4:W5))</f>
        <v>8461</v>
      </c>
      <c r="S5" s="81">
        <f t="shared" ref="S5:S68" si="14">Q5-R5</f>
        <v>64</v>
      </c>
      <c r="T5" s="81">
        <f>IF(W5="",,ROUND(T4*(1+0.025/12)+W5,0))</f>
        <v>8487</v>
      </c>
      <c r="U5" s="81">
        <f t="shared" ref="U5:U68" si="15">T5-R5</f>
        <v>26</v>
      </c>
      <c r="V5" s="81" t="str">
        <f t="shared" ref="V5:V68" ca="1" si="16">IF($AG$6&gt;=AE2,AJ5,"")</f>
        <v>Oktober 18</v>
      </c>
      <c r="W5" s="99">
        <f>'Oktober 18'!C27</f>
        <v>2014</v>
      </c>
      <c r="X5" s="81">
        <f t="shared" si="4"/>
        <v>2014</v>
      </c>
      <c r="Y5" s="81">
        <f t="shared" si="5"/>
        <v>0</v>
      </c>
      <c r="Z5" s="86" t="s">
        <v>49</v>
      </c>
      <c r="AA5" s="89">
        <f>ROUND((AD5+AD6+AD7)*0.15/AD17,2)*100</f>
        <v>32</v>
      </c>
      <c r="AB5" s="81" t="str">
        <f>B7</f>
        <v>Augusti 19</v>
      </c>
      <c r="AC5" s="81" t="str">
        <f t="shared" si="6"/>
        <v>Mat/förbrukningsvaror</v>
      </c>
      <c r="AD5" s="81">
        <f>SUM(emptySheet:Basmånad!C13)</f>
        <v>10408</v>
      </c>
      <c r="AE5" s="81">
        <v>5</v>
      </c>
      <c r="AF5" s="86" t="s">
        <v>44</v>
      </c>
      <c r="AG5" s="81" t="str">
        <f ca="1">VLOOKUP(AG4-3,AI:AJ,2,TRUE)</f>
        <v>Augusti 19</v>
      </c>
      <c r="AI5" s="81">
        <v>2</v>
      </c>
      <c r="AJ5" s="81" t="str">
        <f t="shared" si="0"/>
        <v>Oktober 18</v>
      </c>
      <c r="AK5" s="81" t="s">
        <v>27</v>
      </c>
      <c r="AL5" s="81">
        <v>18</v>
      </c>
      <c r="AM5" s="81" t="str">
        <f t="shared" ref="AM5:AM68" si="17">"="&amp;"'"&amp;AJ5&amp;"'"&amp;"!"</f>
        <v>='Oktober 18'!</v>
      </c>
      <c r="AN5" s="81" t="str">
        <f t="shared" si="7"/>
        <v>='Oktober 18'!C27</v>
      </c>
      <c r="AO5" s="81" t="s">
        <v>1005</v>
      </c>
      <c r="AR5" s="81" t="e">
        <f>#REF!</f>
        <v>#REF!</v>
      </c>
      <c r="AS5" s="83" t="e">
        <f t="shared" si="1"/>
        <v>#REF!</v>
      </c>
      <c r="AT5" s="83" t="e">
        <f t="shared" si="2"/>
        <v>#REF!</v>
      </c>
      <c r="AV5" s="81" t="s">
        <v>366</v>
      </c>
      <c r="AW5" s="81" t="s">
        <v>1329</v>
      </c>
      <c r="AX5" s="81" t="s">
        <v>1330</v>
      </c>
      <c r="AY5" s="81" t="s">
        <v>1331</v>
      </c>
      <c r="AZ5" s="81" t="s">
        <v>1332</v>
      </c>
      <c r="BA5" s="81" t="s">
        <v>1333</v>
      </c>
      <c r="BB5" s="81" t="s">
        <v>1334</v>
      </c>
      <c r="BC5" s="81" t="s">
        <v>1335</v>
      </c>
      <c r="BD5" s="81" t="s">
        <v>1336</v>
      </c>
      <c r="BE5" s="81" t="s">
        <v>1337</v>
      </c>
      <c r="BF5" s="81" t="s">
        <v>1338</v>
      </c>
      <c r="BG5" s="81" t="s">
        <v>1339</v>
      </c>
      <c r="BH5" s="81" t="s">
        <v>4622</v>
      </c>
      <c r="BI5" s="81" t="s">
        <v>4926</v>
      </c>
      <c r="BJ5" s="81" t="s">
        <v>5226</v>
      </c>
      <c r="BL5" s="81" t="s">
        <v>669</v>
      </c>
      <c r="BM5" s="81">
        <v>2</v>
      </c>
      <c r="BN5" s="81" t="str">
        <f t="shared" si="3"/>
        <v>='Oktober 18'!C12</v>
      </c>
      <c r="BP5" s="81" t="str">
        <f t="shared" ref="BP5:BP68" ca="1" si="18">IF($AG$6&gt;=AE2,AJ5,"")</f>
        <v>Oktober 18</v>
      </c>
      <c r="BQ5">
        <f>'Oktober 18'!C12</f>
        <v>5000</v>
      </c>
      <c r="BR5" s="84">
        <f t="shared" si="8"/>
        <v>0</v>
      </c>
      <c r="BS5" s="84">
        <f t="shared" si="9"/>
        <v>0</v>
      </c>
      <c r="BT5" s="81">
        <f>IF($A$5=$A$18,IF(BQ5&lt;$BV$4*(1-$BW$4),BQ5,0),IF($A$5=$A$19,IF(BQ5&lt;$BV$5*(1-$BW$5),BQ5,0),""))</f>
        <v>0</v>
      </c>
      <c r="BU5" s="81" t="str">
        <f t="shared" si="10"/>
        <v>Mat/förbrukningsvaror</v>
      </c>
      <c r="BV5" s="81">
        <f t="shared" si="11"/>
        <v>1250</v>
      </c>
      <c r="BW5" s="88">
        <f t="shared" si="12"/>
        <v>0.25</v>
      </c>
      <c r="CA5" s="81" t="s">
        <v>2</v>
      </c>
      <c r="CB5" s="81">
        <f t="shared" ref="CB5:CB68" si="19">ROUND(IF(BQ5&lt;$BV$4*(1-$BW$4),BQ5,0),0)</f>
        <v>0</v>
      </c>
      <c r="CC5" s="81">
        <f t="shared" ref="CC5:CC68" si="20">IF(BQ5&gt;$BV$4*(1+$BW$4),BQ5,0)</f>
        <v>0</v>
      </c>
      <c r="CD5" s="81" t="s">
        <v>16</v>
      </c>
      <c r="CE5" s="81">
        <f t="shared" ref="CE5:CE68" si="21">IF(BQ5&lt;$BV$5*(1-$BW$5),BQ5,0)</f>
        <v>0</v>
      </c>
      <c r="CF5" s="81">
        <f t="shared" ref="CF5:CF68" si="22">IF(BQ5&gt;$BV$5*(1+$BW$5),BQ5,0)</f>
        <v>5000</v>
      </c>
      <c r="CG5" s="81" t="s">
        <v>5</v>
      </c>
      <c r="CH5" s="81">
        <f t="shared" ref="CH5:CH68" si="23">IF(BQ5&lt;$BV$6*(1-$BW$6),BQ5,0)</f>
        <v>0</v>
      </c>
      <c r="CI5" s="81">
        <f t="shared" ref="CI5:CI68" si="24">IF(BQ5&gt;$BV$6*(1+$BW$6),BQ5,0)</f>
        <v>5000</v>
      </c>
      <c r="CJ5" s="81" t="s">
        <v>18</v>
      </c>
      <c r="CK5" s="81">
        <f t="shared" ref="CK5:CK68" si="25">IF(BQ5&lt;$BV$7*(1-$BW$7),BQ5,0)</f>
        <v>0</v>
      </c>
      <c r="CL5" s="81">
        <f t="shared" ref="CL5:CL68" si="26">ROUND(IF(BQ5&gt;$BV$7*(1+$BW$7),BQ5,0),0)</f>
        <v>5000</v>
      </c>
      <c r="CM5" s="81" t="s">
        <v>4</v>
      </c>
      <c r="CN5" s="81">
        <f t="shared" ref="CN5:CN68" si="27">IF(BQ5&lt;$BV$8*(1-$BW$8),BQ5,0)</f>
        <v>0</v>
      </c>
      <c r="CO5" s="81">
        <f t="shared" ref="CO5:CO68" si="28">IF(BQ5&gt;$BV$8*(1+$BW$8),BQ5,0)</f>
        <v>5000</v>
      </c>
      <c r="CP5" s="81" t="s">
        <v>22</v>
      </c>
      <c r="CQ5" s="81">
        <f t="shared" ref="CQ5:CQ68" si="29">IF(BQ5&lt;$BV$9*(1-$BW$9),BQ5,0)</f>
        <v>0</v>
      </c>
      <c r="CR5" s="81">
        <f t="shared" ref="CR5:CR68" si="30">IF(BQ5&gt;$BV$9*(1+$BW$9),BQ5,0)</f>
        <v>5000</v>
      </c>
      <c r="CS5" s="81" t="s">
        <v>21</v>
      </c>
      <c r="CT5" s="81">
        <f t="shared" ref="CT5:CT68" si="31">IF(BQ5&lt;$BV$10*(1-$BW$10),BQ5,0)</f>
        <v>0</v>
      </c>
      <c r="CU5" s="81">
        <f t="shared" ref="CU5:CU68" si="32">IF(BQ5&gt;$BV$10*(1+$BW$10),BQ5,0)</f>
        <v>5000</v>
      </c>
      <c r="CV5" s="81" t="s">
        <v>998</v>
      </c>
      <c r="CW5" s="81">
        <f t="shared" ref="CW5:CW68" si="33">IF(BQ5&lt;$BV$11*(1-$BW$11),BQ5,0)</f>
        <v>0</v>
      </c>
      <c r="CX5" s="81">
        <f t="shared" ref="CX5:CX68" si="34">IF(BQ5&gt;$BV$11*(1+$BW$11),BQ5,0)</f>
        <v>5000</v>
      </c>
      <c r="CY5" s="81" t="s">
        <v>19</v>
      </c>
      <c r="CZ5" s="81">
        <f t="shared" ref="CZ5:CZ68" si="35">IF(BQ5&lt;$BV$12*(1-$BW$12),BQ5,0)</f>
        <v>0</v>
      </c>
      <c r="DA5" s="81">
        <f t="shared" ref="DA5:DA68" si="36">IF(BQ5&gt;$BV$12*(1+$BW$12),BQ5,0)</f>
        <v>5000</v>
      </c>
      <c r="DB5" s="81" t="s">
        <v>20</v>
      </c>
      <c r="DC5" s="81">
        <f t="shared" ref="DC5:DC68" si="37">IF(BQ5&lt;$BV$13*(1-$BW$13),BQ5,0)</f>
        <v>0</v>
      </c>
      <c r="DD5" s="81">
        <f t="shared" ref="DD5:DD68" si="38">IF(BQ5&gt;$BV$13*(1+$BW$13),BQ5,0)</f>
        <v>5000</v>
      </c>
      <c r="DE5" s="81" t="s">
        <v>23</v>
      </c>
      <c r="DF5" s="81">
        <f t="shared" ref="DF5:DF68" si="39">IF(BQ5&lt;$BV$14*(1-$BW$14),BQ5,0)</f>
        <v>0</v>
      </c>
      <c r="DG5" s="81">
        <f t="shared" ref="DG5:DG68" si="40">IF(BQ5&gt;$BV$14*(1+$BW$14),BQ5,0)</f>
        <v>5000</v>
      </c>
      <c r="DH5" s="81" t="s">
        <v>15</v>
      </c>
      <c r="DI5" s="81">
        <f t="shared" ref="DI5:DI68" si="41">IF(BQ5&lt;$BV$15*(1-$BW$15),BQ5,0)</f>
        <v>0</v>
      </c>
      <c r="DJ5" s="81">
        <f t="shared" ref="DJ5:DJ68" si="42">IF(BQ5&gt;$BV$15*(1+$BW$15),BQ5,0)</f>
        <v>5000</v>
      </c>
      <c r="DK5" s="81" t="s">
        <v>5227</v>
      </c>
      <c r="DL5" s="81">
        <f t="shared" ref="DL5:DL68" si="43">IF(BQ5&lt;$BV$16*(1-$BW$16),BQ5,0)</f>
        <v>0</v>
      </c>
      <c r="DM5" s="81">
        <f t="shared" ref="DM5:DM68" si="44">IF(BQ5&gt;$BV$16*(1+$BW$16),BQ5,0)</f>
        <v>5000</v>
      </c>
      <c r="DN5" s="81" t="s">
        <v>7</v>
      </c>
      <c r="DO5" s="81">
        <f t="shared" ref="DO5:DO68" si="45">IF(BQ5&lt;$BV$17*(1-$BW$17),BQ5,0)</f>
        <v>5000</v>
      </c>
      <c r="DP5" s="81">
        <f t="shared" ref="DP5:DP68" si="46">IF(BQ5&gt;$BV$17*(1+$BW$17),BQ5,0)</f>
        <v>0</v>
      </c>
      <c r="DQ5" s="81" t="s">
        <v>1</v>
      </c>
      <c r="DR5" s="81">
        <f t="shared" ref="DR5:DR68" si="47">IF(BQ5&gt;$BV$18*(1+$BW$18),BQ5,0)</f>
        <v>5000</v>
      </c>
      <c r="DS5" s="81">
        <f t="shared" ref="DS5:DS68" si="48">IF(BQ5&lt;$BV$18*(1-$BW$18),BQ5,0)</f>
        <v>0</v>
      </c>
    </row>
    <row r="6" spans="1:123" x14ac:dyDescent="0.3">
      <c r="A6" s="93" t="s">
        <v>5552</v>
      </c>
      <c r="B6" s="94" t="s">
        <v>1002</v>
      </c>
      <c r="C6" s="7"/>
      <c r="D6" s="7"/>
      <c r="N6" s="81">
        <f>IF(Q7=0,IF(Q6=0,,"x"),)</f>
        <v>0</v>
      </c>
      <c r="O6" s="81">
        <f t="shared" ref="O6:O69" si="49">IF(W6="",,ROUND(O5*(1+0.045/12)+W6,0))</f>
        <v>9804</v>
      </c>
      <c r="P6" s="81">
        <f t="shared" si="13"/>
        <v>80</v>
      </c>
      <c r="Q6" s="81">
        <f t="shared" ref="Q6:Q69" si="50">IF(W6="",,ROUND(Q5*(1+0.06/12)+W6,0))</f>
        <v>9831</v>
      </c>
      <c r="R6" s="81">
        <f>IF(W6="",,SUM($W$4:W6))</f>
        <v>9724</v>
      </c>
      <c r="S6" s="81">
        <f t="shared" si="14"/>
        <v>107</v>
      </c>
      <c r="T6" s="81">
        <f t="shared" ref="T6:T69" si="51">IF(W6="",,ROUND(T5*(1+0.025/12)+W6,0))</f>
        <v>9768</v>
      </c>
      <c r="U6" s="81">
        <f t="shared" si="15"/>
        <v>44</v>
      </c>
      <c r="V6" s="81" t="str">
        <f t="shared" ca="1" si="16"/>
        <v>November 18</v>
      </c>
      <c r="W6" s="99">
        <f>'November 18'!C27</f>
        <v>1263</v>
      </c>
      <c r="X6" s="81">
        <f t="shared" si="4"/>
        <v>0</v>
      </c>
      <c r="Y6" s="81">
        <f t="shared" si="5"/>
        <v>0</v>
      </c>
      <c r="AA6" s="90">
        <f>ROUND((AD4*0.5/AD17)*100,0)</f>
        <v>156</v>
      </c>
      <c r="AB6" s="81" t="s">
        <v>666</v>
      </c>
      <c r="AC6" s="81" t="str">
        <f t="shared" si="6"/>
        <v>Kläder och accessoarer</v>
      </c>
      <c r="AD6" s="81">
        <f>SUM(emptySheet:Basmånad!C14)</f>
        <v>9478</v>
      </c>
      <c r="AE6" s="81">
        <v>6</v>
      </c>
      <c r="AF6" s="86" t="s">
        <v>47</v>
      </c>
      <c r="AG6" s="81">
        <f ca="1">AG4-3</f>
        <v>12</v>
      </c>
      <c r="AI6" s="81">
        <v>3</v>
      </c>
      <c r="AJ6" s="81" t="str">
        <f t="shared" si="0"/>
        <v>November 18</v>
      </c>
      <c r="AK6" s="81" t="s">
        <v>28</v>
      </c>
      <c r="AL6" s="81">
        <v>18</v>
      </c>
      <c r="AM6" s="81" t="str">
        <f t="shared" si="17"/>
        <v>='November 18'!</v>
      </c>
      <c r="AN6" s="81" t="str">
        <f t="shared" si="7"/>
        <v>='November 18'!C27</v>
      </c>
      <c r="AO6" s="81" t="s">
        <v>1006</v>
      </c>
      <c r="AR6" s="81" t="s">
        <v>66</v>
      </c>
      <c r="AS6" s="83" t="str">
        <f t="shared" si="1"/>
        <v>='November 18'!C6</v>
      </c>
      <c r="AT6" s="83">
        <f t="shared" si="2"/>
        <v>0</v>
      </c>
      <c r="AV6" s="81" t="s">
        <v>367</v>
      </c>
      <c r="AW6" s="81" t="s">
        <v>1340</v>
      </c>
      <c r="AX6" s="81" t="s">
        <v>1341</v>
      </c>
      <c r="AY6" s="81" t="s">
        <v>1342</v>
      </c>
      <c r="AZ6" s="81" t="s">
        <v>1343</v>
      </c>
      <c r="BA6" s="81" t="s">
        <v>1344</v>
      </c>
      <c r="BB6" s="81" t="s">
        <v>1345</v>
      </c>
      <c r="BC6" s="81" t="s">
        <v>1346</v>
      </c>
      <c r="BD6" s="81" t="s">
        <v>1347</v>
      </c>
      <c r="BE6" s="81" t="s">
        <v>1348</v>
      </c>
      <c r="BF6" s="81" t="s">
        <v>1349</v>
      </c>
      <c r="BG6" s="81" t="s">
        <v>1350</v>
      </c>
      <c r="BH6" s="81" t="s">
        <v>4623</v>
      </c>
      <c r="BI6" s="81" t="s">
        <v>4927</v>
      </c>
      <c r="BJ6" s="81" t="s">
        <v>66</v>
      </c>
      <c r="BL6" s="81" t="s">
        <v>670</v>
      </c>
      <c r="BM6" s="81">
        <v>3</v>
      </c>
      <c r="BN6" s="81" t="str">
        <f t="shared" si="3"/>
        <v>='November 18'!C12</v>
      </c>
      <c r="BP6" s="81" t="str">
        <f t="shared" ca="1" si="18"/>
        <v>November 18</v>
      </c>
      <c r="BQ6">
        <f>'November 18'!C12</f>
        <v>5000</v>
      </c>
      <c r="BR6" s="84">
        <f t="shared" si="8"/>
        <v>0</v>
      </c>
      <c r="BS6" s="84">
        <f t="shared" si="9"/>
        <v>0</v>
      </c>
      <c r="BT6" s="81">
        <f>IF($A$5=$A$18,IF(BQ6&lt;$BV$4*(1-$BW$4),BQ6,0),IF($A$5=$A$19,IF(BQ6&lt;$BV$5*(1-$BW$5),BQ6,0),""))</f>
        <v>0</v>
      </c>
      <c r="BU6" s="81" t="str">
        <f t="shared" si="10"/>
        <v>Kläder och accessoarer</v>
      </c>
      <c r="BV6" s="81">
        <f t="shared" si="11"/>
        <v>400</v>
      </c>
      <c r="BW6" s="88">
        <f t="shared" si="12"/>
        <v>0.25</v>
      </c>
      <c r="CA6" s="81" t="s">
        <v>2</v>
      </c>
      <c r="CB6" s="81">
        <f t="shared" si="19"/>
        <v>0</v>
      </c>
      <c r="CC6" s="81">
        <f t="shared" si="20"/>
        <v>0</v>
      </c>
      <c r="CD6" s="81" t="s">
        <v>16</v>
      </c>
      <c r="CE6" s="81">
        <f t="shared" si="21"/>
        <v>0</v>
      </c>
      <c r="CF6" s="81">
        <f t="shared" si="22"/>
        <v>5000</v>
      </c>
      <c r="CG6" s="81" t="s">
        <v>5</v>
      </c>
      <c r="CH6" s="81">
        <f t="shared" si="23"/>
        <v>0</v>
      </c>
      <c r="CI6" s="81">
        <f t="shared" si="24"/>
        <v>5000</v>
      </c>
      <c r="CJ6" s="81" t="s">
        <v>18</v>
      </c>
      <c r="CK6" s="81">
        <f t="shared" si="25"/>
        <v>0</v>
      </c>
      <c r="CL6" s="81">
        <f t="shared" si="26"/>
        <v>5000</v>
      </c>
      <c r="CM6" s="81" t="s">
        <v>4</v>
      </c>
      <c r="CN6" s="81">
        <f t="shared" si="27"/>
        <v>0</v>
      </c>
      <c r="CO6" s="81">
        <f t="shared" si="28"/>
        <v>5000</v>
      </c>
      <c r="CP6" s="81" t="s">
        <v>22</v>
      </c>
      <c r="CQ6" s="81">
        <f t="shared" si="29"/>
        <v>0</v>
      </c>
      <c r="CR6" s="81">
        <f t="shared" si="30"/>
        <v>5000</v>
      </c>
      <c r="CS6" s="81" t="s">
        <v>21</v>
      </c>
      <c r="CT6" s="81">
        <f t="shared" si="31"/>
        <v>0</v>
      </c>
      <c r="CU6" s="81">
        <f t="shared" si="32"/>
        <v>5000</v>
      </c>
      <c r="CV6" s="81" t="s">
        <v>998</v>
      </c>
      <c r="CW6" s="81">
        <f t="shared" si="33"/>
        <v>0</v>
      </c>
      <c r="CX6" s="81">
        <f t="shared" si="34"/>
        <v>5000</v>
      </c>
      <c r="CY6" s="81" t="s">
        <v>19</v>
      </c>
      <c r="CZ6" s="81">
        <f t="shared" si="35"/>
        <v>0</v>
      </c>
      <c r="DA6" s="81">
        <f t="shared" si="36"/>
        <v>5000</v>
      </c>
      <c r="DB6" s="81" t="s">
        <v>20</v>
      </c>
      <c r="DC6" s="81">
        <f t="shared" si="37"/>
        <v>0</v>
      </c>
      <c r="DD6" s="81">
        <f t="shared" si="38"/>
        <v>5000</v>
      </c>
      <c r="DE6" s="81" t="s">
        <v>23</v>
      </c>
      <c r="DF6" s="81">
        <f t="shared" si="39"/>
        <v>0</v>
      </c>
      <c r="DG6" s="81">
        <f t="shared" si="40"/>
        <v>5000</v>
      </c>
      <c r="DH6" s="81" t="s">
        <v>15</v>
      </c>
      <c r="DI6" s="81">
        <f t="shared" si="41"/>
        <v>0</v>
      </c>
      <c r="DJ6" s="81">
        <f t="shared" si="42"/>
        <v>5000</v>
      </c>
      <c r="DK6" s="81" t="s">
        <v>5228</v>
      </c>
      <c r="DL6" s="81">
        <f t="shared" si="43"/>
        <v>0</v>
      </c>
      <c r="DM6" s="81">
        <f t="shared" si="44"/>
        <v>5000</v>
      </c>
      <c r="DN6" s="81" t="s">
        <v>7</v>
      </c>
      <c r="DO6" s="81">
        <f t="shared" si="45"/>
        <v>5000</v>
      </c>
      <c r="DP6" s="81">
        <f t="shared" si="46"/>
        <v>0</v>
      </c>
      <c r="DQ6" s="81" t="s">
        <v>1</v>
      </c>
      <c r="DR6" s="81">
        <f t="shared" si="47"/>
        <v>5000</v>
      </c>
      <c r="DS6" s="81">
        <f t="shared" si="48"/>
        <v>0</v>
      </c>
    </row>
    <row r="7" spans="1:123" ht="15" thickBot="1" x14ac:dyDescent="0.35">
      <c r="A7" s="43" t="s">
        <v>5553</v>
      </c>
      <c r="B7" s="80" t="s">
        <v>679</v>
      </c>
      <c r="C7" s="7"/>
      <c r="D7" s="7"/>
      <c r="N7" s="81">
        <f>IF(Q8=0,IF(Q7=0,,"x"),)</f>
        <v>0</v>
      </c>
      <c r="O7" s="81">
        <f t="shared" si="49"/>
        <v>12694</v>
      </c>
      <c r="P7" s="81">
        <f t="shared" si="13"/>
        <v>117</v>
      </c>
      <c r="Q7" s="81">
        <f t="shared" si="50"/>
        <v>12733</v>
      </c>
      <c r="R7" s="81">
        <f>IF(W7="",,SUM($W$4:W7))</f>
        <v>12577</v>
      </c>
      <c r="S7" s="81">
        <f t="shared" si="14"/>
        <v>156</v>
      </c>
      <c r="T7" s="81">
        <f t="shared" si="51"/>
        <v>12641</v>
      </c>
      <c r="U7" s="81">
        <f t="shared" si="15"/>
        <v>64</v>
      </c>
      <c r="V7" s="81" t="str">
        <f t="shared" ca="1" si="16"/>
        <v>December 18</v>
      </c>
      <c r="W7" s="99">
        <f>'December 18'!C27</f>
        <v>2853</v>
      </c>
      <c r="X7" s="81">
        <f t="shared" si="4"/>
        <v>2853</v>
      </c>
      <c r="Y7" s="81">
        <f t="shared" si="5"/>
        <v>0</v>
      </c>
      <c r="AA7" s="81">
        <f ca="1">ROUND((AD5/AG6)/1614,2)*100</f>
        <v>54</v>
      </c>
      <c r="AC7" s="81" t="str">
        <f t="shared" si="6"/>
        <v>Utemat</v>
      </c>
      <c r="AD7" s="81">
        <f>SUM(emptySheet:Basmånad!C15)</f>
        <v>3383</v>
      </c>
      <c r="AE7" s="81">
        <v>7</v>
      </c>
      <c r="AI7" s="81">
        <v>4</v>
      </c>
      <c r="AJ7" s="81" t="str">
        <f t="shared" si="0"/>
        <v>December 18</v>
      </c>
      <c r="AK7" s="81" t="s">
        <v>29</v>
      </c>
      <c r="AL7" s="81">
        <v>18</v>
      </c>
      <c r="AM7" s="81" t="str">
        <f t="shared" si="17"/>
        <v>='December 18'!</v>
      </c>
      <c r="AN7" s="81" t="str">
        <f t="shared" si="7"/>
        <v>='December 18'!C27</v>
      </c>
      <c r="AO7" s="81" t="s">
        <v>1007</v>
      </c>
      <c r="AR7" s="81" t="s">
        <v>67</v>
      </c>
      <c r="AS7" s="83" t="str">
        <f t="shared" si="1"/>
        <v>='December 18'!C6</v>
      </c>
      <c r="AT7" s="83">
        <f t="shared" si="2"/>
        <v>0</v>
      </c>
      <c r="AV7" s="81" t="s">
        <v>368</v>
      </c>
      <c r="AW7" s="81" t="s">
        <v>1351</v>
      </c>
      <c r="AX7" s="81" t="s">
        <v>1352</v>
      </c>
      <c r="AY7" s="81" t="s">
        <v>1353</v>
      </c>
      <c r="AZ7" s="81" t="s">
        <v>1354</v>
      </c>
      <c r="BA7" s="81" t="s">
        <v>1355</v>
      </c>
      <c r="BB7" s="81" t="s">
        <v>1356</v>
      </c>
      <c r="BC7" s="81" t="s">
        <v>1357</v>
      </c>
      <c r="BD7" s="81" t="s">
        <v>1358</v>
      </c>
      <c r="BE7" s="81" t="s">
        <v>1359</v>
      </c>
      <c r="BF7" s="81" t="s">
        <v>1360</v>
      </c>
      <c r="BG7" s="81" t="s">
        <v>1361</v>
      </c>
      <c r="BH7" s="81" t="s">
        <v>4624</v>
      </c>
      <c r="BI7" s="81" t="s">
        <v>4928</v>
      </c>
      <c r="BJ7" s="81" t="s">
        <v>67</v>
      </c>
      <c r="BL7" s="81" t="s">
        <v>671</v>
      </c>
      <c r="BM7" s="81">
        <v>4</v>
      </c>
      <c r="BN7" s="81" t="str">
        <f t="shared" si="3"/>
        <v>='December 18'!C12</v>
      </c>
      <c r="BP7" s="81" t="str">
        <f t="shared" ca="1" si="18"/>
        <v>December 18</v>
      </c>
      <c r="BQ7">
        <f>'December 18'!C12</f>
        <v>5000</v>
      </c>
      <c r="BR7" s="84">
        <f t="shared" si="8"/>
        <v>0</v>
      </c>
      <c r="BS7" s="84">
        <f t="shared" si="9"/>
        <v>0</v>
      </c>
      <c r="BT7" s="81">
        <f>IF($A$5=$A$18,IF(BQ7&lt;$BV$4*(1-$BW$4),BQ7,0),IF($A$5=$A$19,IF(BQ7&lt;$BV$5*(1-$BW$5),BQ7,0),""))</f>
        <v>0</v>
      </c>
      <c r="BU7" s="81" t="str">
        <f t="shared" si="10"/>
        <v>Utemat</v>
      </c>
      <c r="BV7" s="81">
        <f t="shared" si="11"/>
        <v>250</v>
      </c>
      <c r="BW7" s="88">
        <f t="shared" si="12"/>
        <v>0.25</v>
      </c>
      <c r="CA7" s="81" t="s">
        <v>2</v>
      </c>
      <c r="CB7" s="81">
        <f t="shared" si="19"/>
        <v>0</v>
      </c>
      <c r="CC7" s="81">
        <f t="shared" si="20"/>
        <v>0</v>
      </c>
      <c r="CD7" s="81" t="s">
        <v>16</v>
      </c>
      <c r="CE7" s="81">
        <f t="shared" si="21"/>
        <v>0</v>
      </c>
      <c r="CF7" s="81">
        <f t="shared" si="22"/>
        <v>5000</v>
      </c>
      <c r="CG7" s="81" t="s">
        <v>5</v>
      </c>
      <c r="CH7" s="81">
        <f t="shared" si="23"/>
        <v>0</v>
      </c>
      <c r="CI7" s="81">
        <f t="shared" si="24"/>
        <v>5000</v>
      </c>
      <c r="CJ7" s="81" t="s">
        <v>18</v>
      </c>
      <c r="CK7" s="81">
        <f t="shared" si="25"/>
        <v>0</v>
      </c>
      <c r="CL7" s="81">
        <f t="shared" si="26"/>
        <v>5000</v>
      </c>
      <c r="CM7" s="81" t="s">
        <v>4</v>
      </c>
      <c r="CN7" s="81">
        <f t="shared" si="27"/>
        <v>0</v>
      </c>
      <c r="CO7" s="81">
        <f t="shared" si="28"/>
        <v>5000</v>
      </c>
      <c r="CP7" s="81" t="s">
        <v>22</v>
      </c>
      <c r="CQ7" s="81">
        <f t="shared" si="29"/>
        <v>0</v>
      </c>
      <c r="CR7" s="81">
        <f t="shared" si="30"/>
        <v>5000</v>
      </c>
      <c r="CS7" s="81" t="s">
        <v>21</v>
      </c>
      <c r="CT7" s="81">
        <f t="shared" si="31"/>
        <v>0</v>
      </c>
      <c r="CU7" s="81">
        <f t="shared" si="32"/>
        <v>5000</v>
      </c>
      <c r="CV7" s="81" t="s">
        <v>998</v>
      </c>
      <c r="CW7" s="81">
        <f t="shared" si="33"/>
        <v>0</v>
      </c>
      <c r="CX7" s="81">
        <f t="shared" si="34"/>
        <v>5000</v>
      </c>
      <c r="CY7" s="81" t="s">
        <v>19</v>
      </c>
      <c r="CZ7" s="81">
        <f t="shared" si="35"/>
        <v>0</v>
      </c>
      <c r="DA7" s="81">
        <f t="shared" si="36"/>
        <v>5000</v>
      </c>
      <c r="DB7" s="81" t="s">
        <v>20</v>
      </c>
      <c r="DC7" s="81">
        <f t="shared" si="37"/>
        <v>0</v>
      </c>
      <c r="DD7" s="81">
        <f t="shared" si="38"/>
        <v>5000</v>
      </c>
      <c r="DE7" s="81" t="s">
        <v>23</v>
      </c>
      <c r="DF7" s="81">
        <f t="shared" si="39"/>
        <v>0</v>
      </c>
      <c r="DG7" s="81">
        <f t="shared" si="40"/>
        <v>5000</v>
      </c>
      <c r="DH7" s="81" t="s">
        <v>15</v>
      </c>
      <c r="DI7" s="81">
        <f t="shared" si="41"/>
        <v>0</v>
      </c>
      <c r="DJ7" s="81">
        <f t="shared" si="42"/>
        <v>5000</v>
      </c>
      <c r="DK7" s="81" t="s">
        <v>5229</v>
      </c>
      <c r="DL7" s="81">
        <f t="shared" si="43"/>
        <v>0</v>
      </c>
      <c r="DM7" s="81">
        <f t="shared" si="44"/>
        <v>5000</v>
      </c>
      <c r="DN7" s="81" t="s">
        <v>7</v>
      </c>
      <c r="DO7" s="81">
        <f t="shared" si="45"/>
        <v>5000</v>
      </c>
      <c r="DP7" s="81">
        <f t="shared" si="46"/>
        <v>0</v>
      </c>
      <c r="DQ7" s="81" t="s">
        <v>1</v>
      </c>
      <c r="DR7" s="81">
        <f t="shared" si="47"/>
        <v>5000</v>
      </c>
      <c r="DS7" s="81">
        <f t="shared" si="48"/>
        <v>0</v>
      </c>
    </row>
    <row r="8" spans="1:123" x14ac:dyDescent="0.3">
      <c r="C8" s="7"/>
      <c r="D8" s="7"/>
      <c r="N8" s="81">
        <f>IF(Q9=0,IF(Q8=0,,"x"),)</f>
        <v>0</v>
      </c>
      <c r="O8" s="81">
        <f t="shared" si="49"/>
        <v>17133</v>
      </c>
      <c r="P8" s="81">
        <f t="shared" si="13"/>
        <v>165</v>
      </c>
      <c r="Q8" s="81">
        <f t="shared" si="50"/>
        <v>17188</v>
      </c>
      <c r="R8" s="81">
        <f>IF(W8="",,SUM($W$4:W8))</f>
        <v>16968</v>
      </c>
      <c r="S8" s="81">
        <f t="shared" si="14"/>
        <v>220</v>
      </c>
      <c r="T8" s="81">
        <f t="shared" si="51"/>
        <v>17058</v>
      </c>
      <c r="U8" s="81">
        <f t="shared" si="15"/>
        <v>90</v>
      </c>
      <c r="V8" s="81" t="str">
        <f t="shared" ca="1" si="16"/>
        <v>Januari 19</v>
      </c>
      <c r="W8" s="99">
        <f>'Januari 19'!C27</f>
        <v>4391</v>
      </c>
      <c r="X8" s="81">
        <f t="shared" si="4"/>
        <v>4391</v>
      </c>
      <c r="Y8" s="81">
        <f t="shared" si="5"/>
        <v>0</v>
      </c>
      <c r="AA8" s="81">
        <f ca="1">ROUND((AD6/AG6)/545,2)*100</f>
        <v>145</v>
      </c>
      <c r="AC8" s="81" t="str">
        <f t="shared" si="6"/>
        <v>Studiematerial</v>
      </c>
      <c r="AD8" s="81">
        <f>SUM(emptySheet:Basmånad!C16)</f>
        <v>5524</v>
      </c>
      <c r="AE8" s="81">
        <v>8</v>
      </c>
      <c r="AG8" s="91"/>
      <c r="AI8" s="81">
        <v>5</v>
      </c>
      <c r="AJ8" s="81" t="str">
        <f t="shared" si="0"/>
        <v>Januari 19</v>
      </c>
      <c r="AK8" s="81" t="s">
        <v>24</v>
      </c>
      <c r="AL8" s="81">
        <v>19</v>
      </c>
      <c r="AM8" s="81" t="str">
        <f t="shared" si="17"/>
        <v>='Januari 19'!</v>
      </c>
      <c r="AN8" s="81" t="str">
        <f t="shared" si="7"/>
        <v>='Januari 19'!C27</v>
      </c>
      <c r="AO8" s="81" t="s">
        <v>1008</v>
      </c>
      <c r="AR8" s="81" t="s">
        <v>68</v>
      </c>
      <c r="AS8" s="83" t="str">
        <f t="shared" si="1"/>
        <v>='Januari 19'!C6</v>
      </c>
      <c r="AT8" s="83">
        <f t="shared" si="2"/>
        <v>0</v>
      </c>
      <c r="AV8" s="81" t="s">
        <v>369</v>
      </c>
      <c r="AW8" s="81" t="s">
        <v>1362</v>
      </c>
      <c r="AX8" s="81" t="s">
        <v>1363</v>
      </c>
      <c r="AY8" s="81" t="s">
        <v>1364</v>
      </c>
      <c r="AZ8" s="81" t="s">
        <v>1365</v>
      </c>
      <c r="BA8" s="81" t="s">
        <v>1366</v>
      </c>
      <c r="BB8" s="81" t="s">
        <v>1367</v>
      </c>
      <c r="BC8" s="81" t="s">
        <v>1368</v>
      </c>
      <c r="BD8" s="81" t="s">
        <v>1369</v>
      </c>
      <c r="BE8" s="81" t="s">
        <v>1370</v>
      </c>
      <c r="BF8" s="81" t="s">
        <v>1371</v>
      </c>
      <c r="BG8" s="81" t="s">
        <v>1372</v>
      </c>
      <c r="BH8" s="81" t="s">
        <v>4625</v>
      </c>
      <c r="BI8" s="81" t="s">
        <v>4929</v>
      </c>
      <c r="BJ8" s="81" t="s">
        <v>68</v>
      </c>
      <c r="BL8" s="81" t="s">
        <v>672</v>
      </c>
      <c r="BM8" s="81">
        <v>5</v>
      </c>
      <c r="BN8" s="81" t="str">
        <f t="shared" si="3"/>
        <v>='Januari 19'!C12</v>
      </c>
      <c r="BP8" s="81" t="str">
        <f t="shared" ca="1" si="18"/>
        <v>Januari 19</v>
      </c>
      <c r="BQ8">
        <f>'Januari 19'!C12</f>
        <v>5000</v>
      </c>
      <c r="BR8" s="84">
        <f t="shared" si="8"/>
        <v>0</v>
      </c>
      <c r="BS8" s="84">
        <f t="shared" si="9"/>
        <v>0</v>
      </c>
      <c r="BU8" s="81" t="str">
        <f t="shared" si="10"/>
        <v>Studiematerial</v>
      </c>
      <c r="BV8" s="81">
        <f t="shared" si="11"/>
        <v>300</v>
      </c>
      <c r="BW8" s="88">
        <f t="shared" si="12"/>
        <v>0.25</v>
      </c>
      <c r="CA8" s="81" t="s">
        <v>2</v>
      </c>
      <c r="CB8" s="81">
        <f t="shared" si="19"/>
        <v>0</v>
      </c>
      <c r="CC8" s="81">
        <f t="shared" si="20"/>
        <v>0</v>
      </c>
      <c r="CD8" s="81" t="s">
        <v>16</v>
      </c>
      <c r="CE8" s="81">
        <f t="shared" si="21"/>
        <v>0</v>
      </c>
      <c r="CF8" s="81">
        <f t="shared" si="22"/>
        <v>5000</v>
      </c>
      <c r="CG8" s="81" t="s">
        <v>5</v>
      </c>
      <c r="CH8" s="81">
        <f t="shared" si="23"/>
        <v>0</v>
      </c>
      <c r="CI8" s="81">
        <f t="shared" si="24"/>
        <v>5000</v>
      </c>
      <c r="CJ8" s="81" t="s">
        <v>18</v>
      </c>
      <c r="CK8" s="81">
        <f t="shared" si="25"/>
        <v>0</v>
      </c>
      <c r="CL8" s="81">
        <f t="shared" si="26"/>
        <v>5000</v>
      </c>
      <c r="CM8" s="81" t="s">
        <v>4</v>
      </c>
      <c r="CN8" s="81">
        <f t="shared" si="27"/>
        <v>0</v>
      </c>
      <c r="CO8" s="81">
        <f t="shared" si="28"/>
        <v>5000</v>
      </c>
      <c r="CP8" s="81" t="s">
        <v>22</v>
      </c>
      <c r="CQ8" s="81">
        <f t="shared" si="29"/>
        <v>0</v>
      </c>
      <c r="CR8" s="81">
        <f t="shared" si="30"/>
        <v>5000</v>
      </c>
      <c r="CS8" s="81" t="s">
        <v>21</v>
      </c>
      <c r="CT8" s="81">
        <f t="shared" si="31"/>
        <v>0</v>
      </c>
      <c r="CU8" s="81">
        <f t="shared" si="32"/>
        <v>5000</v>
      </c>
      <c r="CV8" s="81" t="s">
        <v>998</v>
      </c>
      <c r="CW8" s="81">
        <f t="shared" si="33"/>
        <v>0</v>
      </c>
      <c r="CX8" s="81">
        <f t="shared" si="34"/>
        <v>5000</v>
      </c>
      <c r="CY8" s="81" t="s">
        <v>19</v>
      </c>
      <c r="CZ8" s="81">
        <f t="shared" si="35"/>
        <v>0</v>
      </c>
      <c r="DA8" s="81">
        <f t="shared" si="36"/>
        <v>5000</v>
      </c>
      <c r="DB8" s="81" t="s">
        <v>20</v>
      </c>
      <c r="DC8" s="81">
        <f t="shared" si="37"/>
        <v>0</v>
      </c>
      <c r="DD8" s="81">
        <f t="shared" si="38"/>
        <v>5000</v>
      </c>
      <c r="DE8" s="81" t="s">
        <v>23</v>
      </c>
      <c r="DF8" s="81">
        <f t="shared" si="39"/>
        <v>0</v>
      </c>
      <c r="DG8" s="81">
        <f t="shared" si="40"/>
        <v>5000</v>
      </c>
      <c r="DH8" s="81" t="s">
        <v>15</v>
      </c>
      <c r="DI8" s="81">
        <f t="shared" si="41"/>
        <v>0</v>
      </c>
      <c r="DJ8" s="81">
        <f t="shared" si="42"/>
        <v>5000</v>
      </c>
      <c r="DK8" s="81" t="s">
        <v>5230</v>
      </c>
      <c r="DL8" s="81">
        <f t="shared" si="43"/>
        <v>0</v>
      </c>
      <c r="DM8" s="81">
        <f t="shared" si="44"/>
        <v>5000</v>
      </c>
      <c r="DN8" s="81" t="s">
        <v>7</v>
      </c>
      <c r="DO8" s="81">
        <f t="shared" si="45"/>
        <v>5000</v>
      </c>
      <c r="DP8" s="81">
        <f t="shared" si="46"/>
        <v>0</v>
      </c>
      <c r="DQ8" s="81" t="s">
        <v>1</v>
      </c>
      <c r="DR8" s="81">
        <f t="shared" si="47"/>
        <v>5000</v>
      </c>
      <c r="DS8" s="81">
        <f t="shared" si="48"/>
        <v>0</v>
      </c>
    </row>
    <row r="9" spans="1:123" x14ac:dyDescent="0.3">
      <c r="N9" s="81">
        <f>IF(Q10=0,IF(Q9=0,,"x"),)</f>
        <v>0</v>
      </c>
      <c r="O9" s="81">
        <f t="shared" si="49"/>
        <v>15133</v>
      </c>
      <c r="P9" s="81">
        <f t="shared" si="13"/>
        <v>229</v>
      </c>
      <c r="Q9" s="81">
        <f t="shared" si="50"/>
        <v>15210</v>
      </c>
      <c r="R9" s="81">
        <f>IF(W9="",,SUM($W$4:W9))</f>
        <v>14904</v>
      </c>
      <c r="S9" s="81">
        <f t="shared" si="14"/>
        <v>306</v>
      </c>
      <c r="T9" s="81">
        <f t="shared" si="51"/>
        <v>15030</v>
      </c>
      <c r="U9" s="81">
        <f t="shared" si="15"/>
        <v>126</v>
      </c>
      <c r="V9" s="81" t="str">
        <f t="shared" ca="1" si="16"/>
        <v>Februari 19</v>
      </c>
      <c r="W9" s="99">
        <f>'Februari 19'!C27</f>
        <v>-2064</v>
      </c>
      <c r="X9" s="81">
        <f t="shared" si="4"/>
        <v>0</v>
      </c>
      <c r="Y9" s="81">
        <f t="shared" si="5"/>
        <v>-2064</v>
      </c>
      <c r="AA9" s="81">
        <f ca="1">ROUND((AD12/AG6)/1982,2)*100</f>
        <v>11</v>
      </c>
      <c r="AC9" s="81" t="str">
        <f t="shared" si="6"/>
        <v>Teknik och prylar</v>
      </c>
      <c r="AD9" s="81">
        <f>SUM(emptySheet:Basmånad!C17)</f>
        <v>3910</v>
      </c>
      <c r="AE9" s="81">
        <v>9</v>
      </c>
      <c r="AG9" s="81">
        <f ca="1">AG6-(VLOOKUP(B51,BL3:BM250,2,FALSE)-1)</f>
        <v>12</v>
      </c>
      <c r="AI9" s="81">
        <v>6</v>
      </c>
      <c r="AJ9" s="81" t="str">
        <f t="shared" si="0"/>
        <v>Februari 19</v>
      </c>
      <c r="AK9" s="81" t="s">
        <v>25</v>
      </c>
      <c r="AL9" s="81">
        <v>19</v>
      </c>
      <c r="AM9" s="81" t="str">
        <f t="shared" si="17"/>
        <v>='Februari 19'!</v>
      </c>
      <c r="AN9" s="81" t="str">
        <f t="shared" si="7"/>
        <v>='Februari 19'!C27</v>
      </c>
      <c r="AO9" s="81" t="s">
        <v>1009</v>
      </c>
      <c r="AR9" s="81" t="s">
        <v>69</v>
      </c>
      <c r="AS9" s="83" t="str">
        <f t="shared" si="1"/>
        <v>='Februari 19'!C6</v>
      </c>
      <c r="AT9" s="83">
        <f t="shared" si="2"/>
        <v>0</v>
      </c>
      <c r="AV9" s="81" t="s">
        <v>370</v>
      </c>
      <c r="AW9" s="81" t="s">
        <v>1373</v>
      </c>
      <c r="AX9" s="81" t="s">
        <v>1374</v>
      </c>
      <c r="AY9" s="81" t="s">
        <v>1375</v>
      </c>
      <c r="AZ9" s="81" t="s">
        <v>1376</v>
      </c>
      <c r="BA9" s="81" t="s">
        <v>1377</v>
      </c>
      <c r="BB9" s="81" t="s">
        <v>1378</v>
      </c>
      <c r="BC9" s="81" t="s">
        <v>1379</v>
      </c>
      <c r="BD9" s="81" t="s">
        <v>1380</v>
      </c>
      <c r="BE9" s="81" t="s">
        <v>1381</v>
      </c>
      <c r="BF9" s="81" t="s">
        <v>1382</v>
      </c>
      <c r="BG9" s="81" t="s">
        <v>1383</v>
      </c>
      <c r="BH9" s="81" t="s">
        <v>4626</v>
      </c>
      <c r="BI9" s="81" t="s">
        <v>4930</v>
      </c>
      <c r="BJ9" s="81" t="s">
        <v>69</v>
      </c>
      <c r="BL9" s="81" t="s">
        <v>673</v>
      </c>
      <c r="BM9" s="81">
        <v>6</v>
      </c>
      <c r="BN9" s="81" t="str">
        <f t="shared" si="3"/>
        <v>='Februari 19'!C12</v>
      </c>
      <c r="BP9" s="81" t="str">
        <f t="shared" ca="1" si="18"/>
        <v>Februari 19</v>
      </c>
      <c r="BQ9">
        <f>'Februari 19'!C12</f>
        <v>6465</v>
      </c>
      <c r="BR9" s="84">
        <f t="shared" si="8"/>
        <v>0</v>
      </c>
      <c r="BS9" s="84">
        <f t="shared" si="9"/>
        <v>6465</v>
      </c>
      <c r="BU9" s="81" t="str">
        <f t="shared" si="10"/>
        <v>Teknik och prylar</v>
      </c>
      <c r="BV9" s="81">
        <f t="shared" si="11"/>
        <v>200</v>
      </c>
      <c r="BW9" s="88">
        <f t="shared" si="12"/>
        <v>0.25</v>
      </c>
      <c r="CA9" s="81" t="s">
        <v>2</v>
      </c>
      <c r="CB9" s="81">
        <f t="shared" si="19"/>
        <v>0</v>
      </c>
      <c r="CC9" s="81">
        <f t="shared" si="20"/>
        <v>6465</v>
      </c>
      <c r="CD9" s="81" t="s">
        <v>16</v>
      </c>
      <c r="CE9" s="81">
        <f t="shared" si="21"/>
        <v>0</v>
      </c>
      <c r="CF9" s="81">
        <f t="shared" si="22"/>
        <v>6465</v>
      </c>
      <c r="CG9" s="81" t="s">
        <v>5</v>
      </c>
      <c r="CH9" s="81">
        <f t="shared" si="23"/>
        <v>0</v>
      </c>
      <c r="CI9" s="81">
        <f t="shared" si="24"/>
        <v>6465</v>
      </c>
      <c r="CJ9" s="81" t="s">
        <v>18</v>
      </c>
      <c r="CK9" s="81">
        <f t="shared" si="25"/>
        <v>0</v>
      </c>
      <c r="CL9" s="81">
        <f t="shared" si="26"/>
        <v>6465</v>
      </c>
      <c r="CM9" s="81" t="s">
        <v>4</v>
      </c>
      <c r="CN9" s="81">
        <f t="shared" si="27"/>
        <v>0</v>
      </c>
      <c r="CO9" s="81">
        <f t="shared" si="28"/>
        <v>6465</v>
      </c>
      <c r="CP9" s="81" t="s">
        <v>22</v>
      </c>
      <c r="CQ9" s="81">
        <f t="shared" si="29"/>
        <v>0</v>
      </c>
      <c r="CR9" s="81">
        <f t="shared" si="30"/>
        <v>6465</v>
      </c>
      <c r="CS9" s="81" t="s">
        <v>21</v>
      </c>
      <c r="CT9" s="81">
        <f t="shared" si="31"/>
        <v>0</v>
      </c>
      <c r="CU9" s="81">
        <f t="shared" si="32"/>
        <v>6465</v>
      </c>
      <c r="CV9" s="81" t="s">
        <v>998</v>
      </c>
      <c r="CW9" s="81">
        <f t="shared" si="33"/>
        <v>0</v>
      </c>
      <c r="CX9" s="81">
        <f t="shared" si="34"/>
        <v>6465</v>
      </c>
      <c r="CY9" s="81" t="s">
        <v>19</v>
      </c>
      <c r="CZ9" s="81">
        <f t="shared" si="35"/>
        <v>0</v>
      </c>
      <c r="DA9" s="81">
        <f t="shared" si="36"/>
        <v>6465</v>
      </c>
      <c r="DB9" s="81" t="s">
        <v>20</v>
      </c>
      <c r="DC9" s="81">
        <f t="shared" si="37"/>
        <v>0</v>
      </c>
      <c r="DD9" s="81">
        <f t="shared" si="38"/>
        <v>6465</v>
      </c>
      <c r="DE9" s="81" t="s">
        <v>23</v>
      </c>
      <c r="DF9" s="81">
        <f t="shared" si="39"/>
        <v>0</v>
      </c>
      <c r="DG9" s="81">
        <f t="shared" si="40"/>
        <v>6465</v>
      </c>
      <c r="DH9" s="81" t="s">
        <v>15</v>
      </c>
      <c r="DI9" s="81">
        <f t="shared" si="41"/>
        <v>0</v>
      </c>
      <c r="DJ9" s="81">
        <f t="shared" si="42"/>
        <v>6465</v>
      </c>
      <c r="DK9" s="81" t="s">
        <v>5231</v>
      </c>
      <c r="DL9" s="81">
        <f t="shared" si="43"/>
        <v>0</v>
      </c>
      <c r="DM9" s="81">
        <f t="shared" si="44"/>
        <v>6465</v>
      </c>
      <c r="DN9" s="81" t="s">
        <v>7</v>
      </c>
      <c r="DO9" s="81">
        <f t="shared" si="45"/>
        <v>6465</v>
      </c>
      <c r="DP9" s="81">
        <f t="shared" si="46"/>
        <v>0</v>
      </c>
      <c r="DQ9" s="81" t="s">
        <v>1</v>
      </c>
      <c r="DR9" s="81">
        <f t="shared" si="47"/>
        <v>6465</v>
      </c>
      <c r="DS9" s="81">
        <f t="shared" si="48"/>
        <v>0</v>
      </c>
    </row>
    <row r="10" spans="1:123" ht="15" thickBot="1" x14ac:dyDescent="0.35">
      <c r="A10" s="44" t="s">
        <v>8</v>
      </c>
      <c r="B10" s="44" t="s">
        <v>10</v>
      </c>
      <c r="C10" s="44" t="s">
        <v>34</v>
      </c>
      <c r="N10" s="81">
        <f>IF(Q11=0,IF(Q10=0,,"x"),)</f>
        <v>0</v>
      </c>
      <c r="O10" s="81">
        <f t="shared" si="49"/>
        <v>11239</v>
      </c>
      <c r="P10" s="81">
        <f t="shared" si="13"/>
        <v>286</v>
      </c>
      <c r="Q10" s="81">
        <f t="shared" si="50"/>
        <v>11335</v>
      </c>
      <c r="R10" s="81">
        <f>IF(W10="",,SUM($W$4:W10))</f>
        <v>10953</v>
      </c>
      <c r="S10" s="81">
        <f t="shared" si="14"/>
        <v>382</v>
      </c>
      <c r="T10" s="81">
        <f t="shared" si="51"/>
        <v>11110</v>
      </c>
      <c r="U10" s="81">
        <f t="shared" si="15"/>
        <v>157</v>
      </c>
      <c r="V10" s="81" t="str">
        <f t="shared" ca="1" si="16"/>
        <v>Mars 19</v>
      </c>
      <c r="W10" s="99">
        <f>'Mars 19'!C27</f>
        <v>-3951</v>
      </c>
      <c r="X10" s="81">
        <f t="shared" si="4"/>
        <v>0</v>
      </c>
      <c r="Y10" s="81">
        <f t="shared" si="5"/>
        <v>-3951</v>
      </c>
      <c r="Z10" s="81" t="str">
        <f>A12</f>
        <v>Lön</v>
      </c>
      <c r="AA10" s="81">
        <f>ROUND((AD6*0.5/AD17)*100,0)</f>
        <v>43</v>
      </c>
      <c r="AC10" s="81" t="str">
        <f t="shared" si="6"/>
        <v>Dricka och aktiviteter</v>
      </c>
      <c r="AD10" s="81">
        <f>SUM(emptySheet:Basmånad!C18)</f>
        <v>2063</v>
      </c>
      <c r="AE10" s="81">
        <v>10</v>
      </c>
      <c r="AI10" s="81">
        <v>7</v>
      </c>
      <c r="AJ10" s="81" t="str">
        <f t="shared" si="0"/>
        <v>Mars 19</v>
      </c>
      <c r="AK10" s="81" t="s">
        <v>30</v>
      </c>
      <c r="AL10" s="81">
        <v>19</v>
      </c>
      <c r="AM10" s="81" t="str">
        <f t="shared" si="17"/>
        <v>='Mars 19'!</v>
      </c>
      <c r="AN10" s="81" t="str">
        <f t="shared" si="7"/>
        <v>='Mars 19'!C27</v>
      </c>
      <c r="AO10" s="81" t="s">
        <v>1010</v>
      </c>
      <c r="AR10" s="81" t="s">
        <v>70</v>
      </c>
      <c r="AS10" s="83" t="str">
        <f t="shared" si="1"/>
        <v>='Mars 19'!C6</v>
      </c>
      <c r="AT10" s="83">
        <f t="shared" si="2"/>
        <v>0</v>
      </c>
      <c r="AV10" s="81" t="s">
        <v>371</v>
      </c>
      <c r="AW10" s="81" t="s">
        <v>1384</v>
      </c>
      <c r="AX10" s="81" t="s">
        <v>1385</v>
      </c>
      <c r="AY10" s="81" t="s">
        <v>1386</v>
      </c>
      <c r="AZ10" s="81" t="s">
        <v>1387</v>
      </c>
      <c r="BA10" s="81" t="s">
        <v>1388</v>
      </c>
      <c r="BB10" s="81" t="s">
        <v>1389</v>
      </c>
      <c r="BC10" s="81" t="s">
        <v>1390</v>
      </c>
      <c r="BD10" s="81" t="s">
        <v>1391</v>
      </c>
      <c r="BE10" s="81" t="s">
        <v>1392</v>
      </c>
      <c r="BF10" s="81" t="s">
        <v>1393</v>
      </c>
      <c r="BG10" s="81" t="s">
        <v>1394</v>
      </c>
      <c r="BH10" s="81" t="s">
        <v>4627</v>
      </c>
      <c r="BI10" s="81" t="s">
        <v>4931</v>
      </c>
      <c r="BJ10" s="81" t="s">
        <v>70</v>
      </c>
      <c r="BL10" s="81" t="s">
        <v>674</v>
      </c>
      <c r="BM10" s="81">
        <v>7</v>
      </c>
      <c r="BN10" s="81" t="str">
        <f t="shared" si="3"/>
        <v>='Mars 19'!C12</v>
      </c>
      <c r="BP10" s="81" t="str">
        <f t="shared" ca="1" si="18"/>
        <v>Mars 19</v>
      </c>
      <c r="BQ10">
        <f>'Mars 19'!C12</f>
        <v>2748</v>
      </c>
      <c r="BR10" s="84">
        <f t="shared" si="8"/>
        <v>2748</v>
      </c>
      <c r="BS10" s="84">
        <f t="shared" si="9"/>
        <v>0</v>
      </c>
      <c r="BU10" s="81" t="str">
        <f t="shared" si="10"/>
        <v>Dricka och aktiviteter</v>
      </c>
      <c r="BV10" s="81">
        <f t="shared" si="11"/>
        <v>300</v>
      </c>
      <c r="BW10" s="88">
        <f t="shared" si="12"/>
        <v>0.25</v>
      </c>
      <c r="CA10" s="81" t="s">
        <v>2</v>
      </c>
      <c r="CB10" s="81">
        <f t="shared" si="19"/>
        <v>2748</v>
      </c>
      <c r="CC10" s="81">
        <f t="shared" si="20"/>
        <v>0</v>
      </c>
      <c r="CD10" s="81" t="s">
        <v>16</v>
      </c>
      <c r="CE10" s="81">
        <f t="shared" si="21"/>
        <v>0</v>
      </c>
      <c r="CF10" s="81">
        <f t="shared" si="22"/>
        <v>2748</v>
      </c>
      <c r="CG10" s="81" t="s">
        <v>5</v>
      </c>
      <c r="CH10" s="81">
        <f t="shared" si="23"/>
        <v>0</v>
      </c>
      <c r="CI10" s="81">
        <f t="shared" si="24"/>
        <v>2748</v>
      </c>
      <c r="CJ10" s="81" t="s">
        <v>18</v>
      </c>
      <c r="CK10" s="81">
        <f t="shared" si="25"/>
        <v>0</v>
      </c>
      <c r="CL10" s="81">
        <f t="shared" si="26"/>
        <v>2748</v>
      </c>
      <c r="CM10" s="81" t="s">
        <v>4</v>
      </c>
      <c r="CN10" s="81">
        <f t="shared" si="27"/>
        <v>0</v>
      </c>
      <c r="CO10" s="81">
        <f t="shared" si="28"/>
        <v>2748</v>
      </c>
      <c r="CP10" s="81" t="s">
        <v>22</v>
      </c>
      <c r="CQ10" s="81">
        <f t="shared" si="29"/>
        <v>0</v>
      </c>
      <c r="CR10" s="81">
        <f t="shared" si="30"/>
        <v>2748</v>
      </c>
      <c r="CS10" s="81" t="s">
        <v>21</v>
      </c>
      <c r="CT10" s="81">
        <f t="shared" si="31"/>
        <v>0</v>
      </c>
      <c r="CU10" s="81">
        <f t="shared" si="32"/>
        <v>2748</v>
      </c>
      <c r="CV10" s="81" t="s">
        <v>998</v>
      </c>
      <c r="CW10" s="81">
        <f t="shared" si="33"/>
        <v>0</v>
      </c>
      <c r="CX10" s="81">
        <f t="shared" si="34"/>
        <v>2748</v>
      </c>
      <c r="CY10" s="81" t="s">
        <v>19</v>
      </c>
      <c r="CZ10" s="81">
        <f t="shared" si="35"/>
        <v>0</v>
      </c>
      <c r="DA10" s="81">
        <f t="shared" si="36"/>
        <v>2748</v>
      </c>
      <c r="DB10" s="81" t="s">
        <v>20</v>
      </c>
      <c r="DC10" s="81">
        <f t="shared" si="37"/>
        <v>0</v>
      </c>
      <c r="DD10" s="81">
        <f t="shared" si="38"/>
        <v>2748</v>
      </c>
      <c r="DE10" s="81" t="s">
        <v>23</v>
      </c>
      <c r="DF10" s="81">
        <f t="shared" si="39"/>
        <v>0</v>
      </c>
      <c r="DG10" s="81">
        <f t="shared" si="40"/>
        <v>2748</v>
      </c>
      <c r="DH10" s="81" t="s">
        <v>15</v>
      </c>
      <c r="DI10" s="81">
        <f t="shared" si="41"/>
        <v>0</v>
      </c>
      <c r="DJ10" s="81">
        <f t="shared" si="42"/>
        <v>2748</v>
      </c>
      <c r="DK10" s="81" t="s">
        <v>5232</v>
      </c>
      <c r="DL10" s="81">
        <f t="shared" si="43"/>
        <v>0</v>
      </c>
      <c r="DM10" s="81">
        <f t="shared" si="44"/>
        <v>2748</v>
      </c>
      <c r="DN10" s="81" t="s">
        <v>7</v>
      </c>
      <c r="DO10" s="81">
        <f t="shared" si="45"/>
        <v>2748</v>
      </c>
      <c r="DP10" s="81">
        <f t="shared" si="46"/>
        <v>0</v>
      </c>
      <c r="DQ10" s="81" t="s">
        <v>1</v>
      </c>
      <c r="DR10" s="81">
        <f t="shared" si="47"/>
        <v>2748</v>
      </c>
      <c r="DS10" s="81">
        <f t="shared" si="48"/>
        <v>0</v>
      </c>
    </row>
    <row r="11" spans="1:123" x14ac:dyDescent="0.3">
      <c r="A11" s="74" t="s">
        <v>0</v>
      </c>
      <c r="B11" s="45">
        <v>10444</v>
      </c>
      <c r="C11" s="46">
        <v>0.25</v>
      </c>
      <c r="N11" s="81">
        <f>IF(Q12=0,IF(Q11=0,,"x"),)</f>
        <v>0</v>
      </c>
      <c r="O11" s="81">
        <f t="shared" si="49"/>
        <v>21456</v>
      </c>
      <c r="P11" s="81">
        <f t="shared" si="13"/>
        <v>328</v>
      </c>
      <c r="Q11" s="81">
        <f t="shared" si="50"/>
        <v>21567</v>
      </c>
      <c r="R11" s="81">
        <f>IF(W11="",,SUM($W$4:W11))</f>
        <v>21128</v>
      </c>
      <c r="S11" s="81">
        <f t="shared" si="14"/>
        <v>439</v>
      </c>
      <c r="T11" s="81">
        <f t="shared" si="51"/>
        <v>21308</v>
      </c>
      <c r="U11" s="81">
        <f t="shared" si="15"/>
        <v>180</v>
      </c>
      <c r="V11" s="81" t="str">
        <f t="shared" ca="1" si="16"/>
        <v>April 19</v>
      </c>
      <c r="W11" s="99">
        <f>'April 19'!C27</f>
        <v>10175</v>
      </c>
      <c r="X11" s="81">
        <f t="shared" si="4"/>
        <v>10175</v>
      </c>
      <c r="Y11" s="81">
        <f t="shared" si="5"/>
        <v>0</v>
      </c>
      <c r="Z11" s="81" t="str">
        <f t="shared" ref="Z11:Z24" si="52">A18</f>
        <v>Hyra</v>
      </c>
      <c r="AA11" s="81">
        <f>ROUND((AD18*0.1+AD17)/AD17,2)*100-100</f>
        <v>97</v>
      </c>
      <c r="AC11" s="81" t="str">
        <f t="shared" si="6"/>
        <v>Hushåll</v>
      </c>
      <c r="AD11" s="81">
        <f>SUM(emptySheet:Basmånad!C19)</f>
        <v>6613</v>
      </c>
      <c r="AE11" s="81">
        <v>11</v>
      </c>
      <c r="AF11" s="86" t="s">
        <v>995</v>
      </c>
      <c r="AI11" s="81">
        <v>8</v>
      </c>
      <c r="AJ11" s="81" t="str">
        <f t="shared" si="0"/>
        <v>April 19</v>
      </c>
      <c r="AK11" s="81" t="s">
        <v>31</v>
      </c>
      <c r="AL11" s="81">
        <v>19</v>
      </c>
      <c r="AM11" s="81" t="str">
        <f t="shared" si="17"/>
        <v>='April 19'!</v>
      </c>
      <c r="AN11" s="81" t="str">
        <f t="shared" si="7"/>
        <v>='April 19'!C27</v>
      </c>
      <c r="AO11" s="81" t="s">
        <v>1011</v>
      </c>
      <c r="AR11" s="81" t="s">
        <v>71</v>
      </c>
      <c r="AS11" s="83" t="str">
        <f t="shared" si="1"/>
        <v>='April 19'!C6</v>
      </c>
      <c r="AT11" s="83">
        <f t="shared" si="2"/>
        <v>0</v>
      </c>
      <c r="AV11" s="81" t="s">
        <v>372</v>
      </c>
      <c r="AW11" s="81" t="s">
        <v>1395</v>
      </c>
      <c r="AX11" s="81" t="s">
        <v>1396</v>
      </c>
      <c r="AY11" s="81" t="s">
        <v>1397</v>
      </c>
      <c r="AZ11" s="81" t="s">
        <v>1398</v>
      </c>
      <c r="BA11" s="81" t="s">
        <v>1399</v>
      </c>
      <c r="BB11" s="81" t="s">
        <v>1400</v>
      </c>
      <c r="BC11" s="81" t="s">
        <v>1401</v>
      </c>
      <c r="BD11" s="81" t="s">
        <v>1402</v>
      </c>
      <c r="BE11" s="81" t="s">
        <v>1403</v>
      </c>
      <c r="BF11" s="81" t="s">
        <v>1404</v>
      </c>
      <c r="BG11" s="81" t="s">
        <v>1405</v>
      </c>
      <c r="BH11" s="81" t="s">
        <v>4628</v>
      </c>
      <c r="BI11" s="81" t="s">
        <v>4932</v>
      </c>
      <c r="BJ11" s="81" t="s">
        <v>71</v>
      </c>
      <c r="BL11" s="81" t="s">
        <v>675</v>
      </c>
      <c r="BM11" s="81">
        <v>8</v>
      </c>
      <c r="BN11" s="81" t="str">
        <f t="shared" si="3"/>
        <v>='April 19'!C12</v>
      </c>
      <c r="BP11" s="81" t="str">
        <f t="shared" ca="1" si="18"/>
        <v>April 19</v>
      </c>
      <c r="BQ11">
        <f>'April 19'!C12</f>
        <v>2750</v>
      </c>
      <c r="BR11" s="84">
        <f t="shared" si="8"/>
        <v>2750</v>
      </c>
      <c r="BS11" s="84">
        <f t="shared" si="9"/>
        <v>0</v>
      </c>
      <c r="BU11" s="81" t="str">
        <f t="shared" si="10"/>
        <v>Hushåll</v>
      </c>
      <c r="BV11" s="81">
        <f t="shared" si="11"/>
        <v>100</v>
      </c>
      <c r="BW11" s="88">
        <f t="shared" si="12"/>
        <v>0.25</v>
      </c>
      <c r="CA11" s="81" t="s">
        <v>2</v>
      </c>
      <c r="CB11" s="81">
        <f t="shared" si="19"/>
        <v>2750</v>
      </c>
      <c r="CC11" s="81">
        <f t="shared" si="20"/>
        <v>0</v>
      </c>
      <c r="CD11" s="81" t="s">
        <v>16</v>
      </c>
      <c r="CE11" s="81">
        <f t="shared" si="21"/>
        <v>0</v>
      </c>
      <c r="CF11" s="81">
        <f t="shared" si="22"/>
        <v>2750</v>
      </c>
      <c r="CG11" s="81" t="s">
        <v>5</v>
      </c>
      <c r="CH11" s="81">
        <f t="shared" si="23"/>
        <v>0</v>
      </c>
      <c r="CI11" s="81">
        <f t="shared" si="24"/>
        <v>2750</v>
      </c>
      <c r="CJ11" s="81" t="s">
        <v>18</v>
      </c>
      <c r="CK11" s="81">
        <f t="shared" si="25"/>
        <v>0</v>
      </c>
      <c r="CL11" s="81">
        <f t="shared" si="26"/>
        <v>2750</v>
      </c>
      <c r="CM11" s="81" t="s">
        <v>4</v>
      </c>
      <c r="CN11" s="81">
        <f t="shared" si="27"/>
        <v>0</v>
      </c>
      <c r="CO11" s="81">
        <f t="shared" si="28"/>
        <v>2750</v>
      </c>
      <c r="CP11" s="81" t="s">
        <v>22</v>
      </c>
      <c r="CQ11" s="81">
        <f t="shared" si="29"/>
        <v>0</v>
      </c>
      <c r="CR11" s="81">
        <f t="shared" si="30"/>
        <v>2750</v>
      </c>
      <c r="CS11" s="81" t="s">
        <v>21</v>
      </c>
      <c r="CT11" s="81">
        <f t="shared" si="31"/>
        <v>0</v>
      </c>
      <c r="CU11" s="81">
        <f t="shared" si="32"/>
        <v>2750</v>
      </c>
      <c r="CV11" s="81" t="s">
        <v>998</v>
      </c>
      <c r="CW11" s="81">
        <f t="shared" si="33"/>
        <v>0</v>
      </c>
      <c r="CX11" s="81">
        <f t="shared" si="34"/>
        <v>2750</v>
      </c>
      <c r="CY11" s="81" t="s">
        <v>19</v>
      </c>
      <c r="CZ11" s="81">
        <f t="shared" si="35"/>
        <v>0</v>
      </c>
      <c r="DA11" s="81">
        <f t="shared" si="36"/>
        <v>2750</v>
      </c>
      <c r="DB11" s="81" t="s">
        <v>20</v>
      </c>
      <c r="DC11" s="81">
        <f t="shared" si="37"/>
        <v>0</v>
      </c>
      <c r="DD11" s="81">
        <f t="shared" si="38"/>
        <v>2750</v>
      </c>
      <c r="DE11" s="81" t="s">
        <v>23</v>
      </c>
      <c r="DF11" s="81">
        <f t="shared" si="39"/>
        <v>0</v>
      </c>
      <c r="DG11" s="81">
        <f t="shared" si="40"/>
        <v>2750</v>
      </c>
      <c r="DH11" s="81" t="s">
        <v>15</v>
      </c>
      <c r="DI11" s="81">
        <f t="shared" si="41"/>
        <v>0</v>
      </c>
      <c r="DJ11" s="81">
        <f t="shared" si="42"/>
        <v>2750</v>
      </c>
      <c r="DK11" s="81" t="s">
        <v>5233</v>
      </c>
      <c r="DL11" s="81">
        <f t="shared" si="43"/>
        <v>0</v>
      </c>
      <c r="DM11" s="81">
        <f t="shared" si="44"/>
        <v>2750</v>
      </c>
      <c r="DN11" s="81" t="s">
        <v>7</v>
      </c>
      <c r="DO11" s="81">
        <f t="shared" si="45"/>
        <v>2750</v>
      </c>
      <c r="DP11" s="81">
        <f t="shared" si="46"/>
        <v>0</v>
      </c>
      <c r="DQ11" s="81" t="s">
        <v>1</v>
      </c>
      <c r="DR11" s="81">
        <f t="shared" si="47"/>
        <v>2750</v>
      </c>
      <c r="DS11" s="81">
        <f t="shared" si="48"/>
        <v>0</v>
      </c>
    </row>
    <row r="12" spans="1:123" x14ac:dyDescent="0.3">
      <c r="A12" s="74" t="s">
        <v>1</v>
      </c>
      <c r="B12" s="47">
        <v>500</v>
      </c>
      <c r="C12" s="48">
        <v>0.25</v>
      </c>
      <c r="N12" s="81">
        <f>IF(Q13=0,IF(Q12=0,,"x"),)</f>
        <v>0</v>
      </c>
      <c r="O12" s="81">
        <f t="shared" si="49"/>
        <v>25361</v>
      </c>
      <c r="P12" s="81">
        <f t="shared" si="13"/>
        <v>408</v>
      </c>
      <c r="Q12" s="81">
        <f t="shared" si="50"/>
        <v>25500</v>
      </c>
      <c r="R12" s="81">
        <f>IF(W12="",,SUM($W$4:W12))</f>
        <v>24953</v>
      </c>
      <c r="S12" s="81">
        <f t="shared" si="14"/>
        <v>547</v>
      </c>
      <c r="T12" s="81">
        <f t="shared" si="51"/>
        <v>25177</v>
      </c>
      <c r="U12" s="81">
        <f t="shared" si="15"/>
        <v>224</v>
      </c>
      <c r="V12" s="81" t="str">
        <f t="shared" ca="1" si="16"/>
        <v>Maj 19</v>
      </c>
      <c r="W12" s="99">
        <f>'Maj 19'!C27</f>
        <v>3825</v>
      </c>
      <c r="X12" s="81">
        <f t="shared" si="4"/>
        <v>3825</v>
      </c>
      <c r="Y12" s="81">
        <f t="shared" si="5"/>
        <v>0</v>
      </c>
      <c r="Z12" s="81" t="str">
        <f t="shared" si="52"/>
        <v>Mat/förbrukningsvaror</v>
      </c>
      <c r="AA12" s="81">
        <f>ROUND(AD19/AD18,2)*100</f>
        <v>90</v>
      </c>
      <c r="AC12" s="81" t="str">
        <f t="shared" si="6"/>
        <v>Transport</v>
      </c>
      <c r="AD12" s="81">
        <f>SUM(emptySheet:Basmånad!C20)</f>
        <v>2515</v>
      </c>
      <c r="AE12" s="81">
        <v>12</v>
      </c>
      <c r="AF12" s="81" t="s">
        <v>996</v>
      </c>
      <c r="AG12" s="81">
        <f>VLOOKUP(B51,BL:BM,2,FALSE)-1</f>
        <v>0</v>
      </c>
      <c r="AI12" s="81">
        <v>9</v>
      </c>
      <c r="AJ12" s="81" t="str">
        <f t="shared" si="0"/>
        <v>Maj 19</v>
      </c>
      <c r="AK12" s="81" t="s">
        <v>32</v>
      </c>
      <c r="AL12" s="81">
        <v>19</v>
      </c>
      <c r="AM12" s="81" t="str">
        <f t="shared" si="17"/>
        <v>='Maj 19'!</v>
      </c>
      <c r="AN12" s="81" t="str">
        <f t="shared" si="7"/>
        <v>='Maj 19'!C27</v>
      </c>
      <c r="AO12" s="81" t="s">
        <v>1012</v>
      </c>
      <c r="AR12" s="81" t="s">
        <v>72</v>
      </c>
      <c r="AS12" s="83" t="str">
        <f t="shared" si="1"/>
        <v>='Maj 19'!C6</v>
      </c>
      <c r="AT12" s="83">
        <f t="shared" si="2"/>
        <v>0</v>
      </c>
      <c r="AV12" s="81" t="s">
        <v>373</v>
      </c>
      <c r="AW12" s="81" t="s">
        <v>1406</v>
      </c>
      <c r="AX12" s="81" t="s">
        <v>1407</v>
      </c>
      <c r="AY12" s="81" t="s">
        <v>1408</v>
      </c>
      <c r="AZ12" s="81" t="s">
        <v>1409</v>
      </c>
      <c r="BA12" s="81" t="s">
        <v>1410</v>
      </c>
      <c r="BB12" s="81" t="s">
        <v>1411</v>
      </c>
      <c r="BC12" s="81" t="s">
        <v>1412</v>
      </c>
      <c r="BD12" s="81" t="s">
        <v>1413</v>
      </c>
      <c r="BE12" s="81" t="s">
        <v>1414</v>
      </c>
      <c r="BF12" s="81" t="s">
        <v>1415</v>
      </c>
      <c r="BG12" s="81" t="s">
        <v>1416</v>
      </c>
      <c r="BH12" s="81" t="s">
        <v>4629</v>
      </c>
      <c r="BI12" s="81" t="s">
        <v>4933</v>
      </c>
      <c r="BJ12" s="81" t="s">
        <v>72</v>
      </c>
      <c r="BL12" s="81" t="s">
        <v>676</v>
      </c>
      <c r="BM12" s="81">
        <v>9</v>
      </c>
      <c r="BN12" s="81" t="str">
        <f t="shared" si="3"/>
        <v>='Maj 19'!C12</v>
      </c>
      <c r="BP12" s="81" t="str">
        <f t="shared" ca="1" si="18"/>
        <v>Maj 19</v>
      </c>
      <c r="BQ12">
        <f>'Maj 19'!C12</f>
        <v>2730</v>
      </c>
      <c r="BR12" s="84">
        <f t="shared" si="8"/>
        <v>2730</v>
      </c>
      <c r="BS12" s="84">
        <f t="shared" si="9"/>
        <v>0</v>
      </c>
      <c r="BU12" s="81" t="str">
        <f t="shared" si="10"/>
        <v>Transport</v>
      </c>
      <c r="BV12" s="81">
        <f t="shared" si="11"/>
        <v>400</v>
      </c>
      <c r="BW12" s="88">
        <f t="shared" si="12"/>
        <v>0.25</v>
      </c>
      <c r="CA12" s="81" t="s">
        <v>2</v>
      </c>
      <c r="CB12" s="81">
        <f t="shared" si="19"/>
        <v>2730</v>
      </c>
      <c r="CC12" s="81">
        <f t="shared" si="20"/>
        <v>0</v>
      </c>
      <c r="CD12" s="81" t="s">
        <v>16</v>
      </c>
      <c r="CE12" s="81">
        <f t="shared" si="21"/>
        <v>0</v>
      </c>
      <c r="CF12" s="81">
        <f t="shared" si="22"/>
        <v>2730</v>
      </c>
      <c r="CG12" s="81" t="s">
        <v>5</v>
      </c>
      <c r="CH12" s="81">
        <f t="shared" si="23"/>
        <v>0</v>
      </c>
      <c r="CI12" s="81">
        <f t="shared" si="24"/>
        <v>2730</v>
      </c>
      <c r="CJ12" s="81" t="s">
        <v>18</v>
      </c>
      <c r="CK12" s="81">
        <f t="shared" si="25"/>
        <v>0</v>
      </c>
      <c r="CL12" s="81">
        <f t="shared" si="26"/>
        <v>2730</v>
      </c>
      <c r="CM12" s="81" t="s">
        <v>4</v>
      </c>
      <c r="CN12" s="81">
        <f t="shared" si="27"/>
        <v>0</v>
      </c>
      <c r="CO12" s="81">
        <f t="shared" si="28"/>
        <v>2730</v>
      </c>
      <c r="CP12" s="81" t="s">
        <v>22</v>
      </c>
      <c r="CQ12" s="81">
        <f t="shared" si="29"/>
        <v>0</v>
      </c>
      <c r="CR12" s="81">
        <f t="shared" si="30"/>
        <v>2730</v>
      </c>
      <c r="CS12" s="81" t="s">
        <v>21</v>
      </c>
      <c r="CT12" s="81">
        <f t="shared" si="31"/>
        <v>0</v>
      </c>
      <c r="CU12" s="81">
        <f t="shared" si="32"/>
        <v>2730</v>
      </c>
      <c r="CV12" s="81" t="s">
        <v>998</v>
      </c>
      <c r="CW12" s="81">
        <f t="shared" si="33"/>
        <v>0</v>
      </c>
      <c r="CX12" s="81">
        <f t="shared" si="34"/>
        <v>2730</v>
      </c>
      <c r="CY12" s="81" t="s">
        <v>19</v>
      </c>
      <c r="CZ12" s="81">
        <f t="shared" si="35"/>
        <v>0</v>
      </c>
      <c r="DA12" s="81">
        <f t="shared" si="36"/>
        <v>2730</v>
      </c>
      <c r="DB12" s="81" t="s">
        <v>20</v>
      </c>
      <c r="DC12" s="81">
        <f t="shared" si="37"/>
        <v>0</v>
      </c>
      <c r="DD12" s="81">
        <f t="shared" si="38"/>
        <v>2730</v>
      </c>
      <c r="DE12" s="81" t="s">
        <v>23</v>
      </c>
      <c r="DF12" s="81">
        <f t="shared" si="39"/>
        <v>0</v>
      </c>
      <c r="DG12" s="81">
        <f t="shared" si="40"/>
        <v>2730</v>
      </c>
      <c r="DH12" s="81" t="s">
        <v>15</v>
      </c>
      <c r="DI12" s="81">
        <f t="shared" si="41"/>
        <v>0</v>
      </c>
      <c r="DJ12" s="81">
        <f t="shared" si="42"/>
        <v>2730</v>
      </c>
      <c r="DK12" s="81" t="s">
        <v>5234</v>
      </c>
      <c r="DL12" s="81">
        <f t="shared" si="43"/>
        <v>0</v>
      </c>
      <c r="DM12" s="81">
        <f t="shared" si="44"/>
        <v>2730</v>
      </c>
      <c r="DN12" s="81" t="s">
        <v>7</v>
      </c>
      <c r="DO12" s="81">
        <f t="shared" si="45"/>
        <v>2730</v>
      </c>
      <c r="DP12" s="81">
        <f t="shared" si="46"/>
        <v>0</v>
      </c>
      <c r="DQ12" s="81" t="s">
        <v>1</v>
      </c>
      <c r="DR12" s="81">
        <f t="shared" si="47"/>
        <v>2730</v>
      </c>
      <c r="DS12" s="81">
        <f t="shared" si="48"/>
        <v>0</v>
      </c>
    </row>
    <row r="13" spans="1:123" ht="15" thickBot="1" x14ac:dyDescent="0.35">
      <c r="A13" s="75" t="s">
        <v>14</v>
      </c>
      <c r="B13" s="50"/>
      <c r="C13" s="51">
        <v>0.25</v>
      </c>
      <c r="N13" s="81">
        <f>IF(Q14=0,IF(Q13=0,,"x"),)</f>
        <v>0</v>
      </c>
      <c r="O13" s="81">
        <f t="shared" si="49"/>
        <v>10213</v>
      </c>
      <c r="P13" s="81">
        <f t="shared" si="13"/>
        <v>503</v>
      </c>
      <c r="Q13" s="81">
        <f t="shared" si="50"/>
        <v>10385</v>
      </c>
      <c r="R13" s="81">
        <f>IF(W13="",,SUM($W$4:W13))</f>
        <v>9710</v>
      </c>
      <c r="S13" s="81">
        <f t="shared" si="14"/>
        <v>675</v>
      </c>
      <c r="T13" s="81">
        <f t="shared" si="51"/>
        <v>9986</v>
      </c>
      <c r="U13" s="81">
        <f t="shared" si="15"/>
        <v>276</v>
      </c>
      <c r="V13" s="81" t="str">
        <f t="shared" ca="1" si="16"/>
        <v>Juni 19</v>
      </c>
      <c r="W13" s="99">
        <f>'Juni 19'!C27</f>
        <v>-15243</v>
      </c>
      <c r="X13" s="81">
        <f t="shared" si="4"/>
        <v>0</v>
      </c>
      <c r="Y13" s="81">
        <f t="shared" si="5"/>
        <v>-15243</v>
      </c>
      <c r="Z13" s="81" t="str">
        <f t="shared" si="52"/>
        <v>Kläder och accessoarer</v>
      </c>
      <c r="AC13" s="81" t="str">
        <f t="shared" si="6"/>
        <v>Sport och gym</v>
      </c>
      <c r="AD13" s="81">
        <f>SUM(emptySheet:Basmånad!C21)</f>
        <v>100</v>
      </c>
      <c r="AE13" s="81">
        <v>13</v>
      </c>
      <c r="AF13" s="81" t="s">
        <v>997</v>
      </c>
      <c r="AG13" s="81">
        <f>AG12+1</f>
        <v>1</v>
      </c>
      <c r="AI13" s="81">
        <v>10</v>
      </c>
      <c r="AJ13" s="81" t="str">
        <f t="shared" si="0"/>
        <v>Juni 19</v>
      </c>
      <c r="AK13" s="81" t="s">
        <v>39</v>
      </c>
      <c r="AL13" s="81">
        <v>19</v>
      </c>
      <c r="AM13" s="81" t="str">
        <f t="shared" si="17"/>
        <v>='Juni 19'!</v>
      </c>
      <c r="AN13" s="81" t="str">
        <f t="shared" si="7"/>
        <v>='Juni 19'!C27</v>
      </c>
      <c r="AO13" s="81" t="s">
        <v>1013</v>
      </c>
      <c r="AR13" s="81" t="s">
        <v>73</v>
      </c>
      <c r="AS13" s="83" t="str">
        <f t="shared" si="1"/>
        <v>='Juni 19'!C6</v>
      </c>
      <c r="AT13" s="83">
        <f t="shared" si="2"/>
        <v>0</v>
      </c>
      <c r="AV13" s="81" t="s">
        <v>374</v>
      </c>
      <c r="AW13" s="81" t="s">
        <v>1417</v>
      </c>
      <c r="AX13" s="81" t="s">
        <v>1418</v>
      </c>
      <c r="AY13" s="81" t="s">
        <v>1419</v>
      </c>
      <c r="AZ13" s="81" t="s">
        <v>1420</v>
      </c>
      <c r="BA13" s="81" t="s">
        <v>1421</v>
      </c>
      <c r="BB13" s="81" t="s">
        <v>1422</v>
      </c>
      <c r="BC13" s="81" t="s">
        <v>1423</v>
      </c>
      <c r="BD13" s="81" t="s">
        <v>1424</v>
      </c>
      <c r="BE13" s="81" t="s">
        <v>1425</v>
      </c>
      <c r="BF13" s="81" t="s">
        <v>1426</v>
      </c>
      <c r="BG13" s="81" t="s">
        <v>1427</v>
      </c>
      <c r="BH13" s="81" t="s">
        <v>4630</v>
      </c>
      <c r="BI13" s="81" t="s">
        <v>4934</v>
      </c>
      <c r="BJ13" s="81" t="s">
        <v>73</v>
      </c>
      <c r="BL13" s="81" t="s">
        <v>677</v>
      </c>
      <c r="BM13" s="81">
        <v>10</v>
      </c>
      <c r="BN13" s="81" t="str">
        <f t="shared" si="3"/>
        <v>='Juni 19'!C12</v>
      </c>
      <c r="BP13" s="81" t="str">
        <f t="shared" ca="1" si="18"/>
        <v>Juni 19</v>
      </c>
      <c r="BQ13">
        <f>'Juni 19'!C12</f>
        <v>830</v>
      </c>
      <c r="BR13" s="84">
        <f t="shared" si="8"/>
        <v>830</v>
      </c>
      <c r="BS13" s="84">
        <f t="shared" si="9"/>
        <v>0</v>
      </c>
      <c r="BU13" s="81" t="str">
        <f t="shared" si="10"/>
        <v>Sport och gym</v>
      </c>
      <c r="BV13" s="81">
        <f t="shared" si="11"/>
        <v>250</v>
      </c>
      <c r="BW13" s="88">
        <f t="shared" si="12"/>
        <v>0.25</v>
      </c>
      <c r="CA13" s="81" t="s">
        <v>2</v>
      </c>
      <c r="CB13" s="81">
        <f t="shared" si="19"/>
        <v>830</v>
      </c>
      <c r="CC13" s="81">
        <f t="shared" si="20"/>
        <v>0</v>
      </c>
      <c r="CD13" s="81" t="s">
        <v>16</v>
      </c>
      <c r="CE13" s="81">
        <f t="shared" si="21"/>
        <v>830</v>
      </c>
      <c r="CF13" s="81">
        <f t="shared" si="22"/>
        <v>0</v>
      </c>
      <c r="CG13" s="81" t="s">
        <v>5</v>
      </c>
      <c r="CH13" s="81">
        <f t="shared" si="23"/>
        <v>0</v>
      </c>
      <c r="CI13" s="81">
        <f t="shared" si="24"/>
        <v>830</v>
      </c>
      <c r="CJ13" s="81" t="s">
        <v>18</v>
      </c>
      <c r="CK13" s="81">
        <f t="shared" si="25"/>
        <v>0</v>
      </c>
      <c r="CL13" s="81">
        <f t="shared" si="26"/>
        <v>830</v>
      </c>
      <c r="CM13" s="81" t="s">
        <v>4</v>
      </c>
      <c r="CN13" s="81">
        <f t="shared" si="27"/>
        <v>0</v>
      </c>
      <c r="CO13" s="81">
        <f t="shared" si="28"/>
        <v>830</v>
      </c>
      <c r="CP13" s="81" t="s">
        <v>22</v>
      </c>
      <c r="CQ13" s="81">
        <f t="shared" si="29"/>
        <v>0</v>
      </c>
      <c r="CR13" s="81">
        <f t="shared" si="30"/>
        <v>830</v>
      </c>
      <c r="CS13" s="81" t="s">
        <v>21</v>
      </c>
      <c r="CT13" s="81">
        <f t="shared" si="31"/>
        <v>0</v>
      </c>
      <c r="CU13" s="81">
        <f t="shared" si="32"/>
        <v>830</v>
      </c>
      <c r="CV13" s="81" t="s">
        <v>998</v>
      </c>
      <c r="CW13" s="81">
        <f t="shared" si="33"/>
        <v>0</v>
      </c>
      <c r="CX13" s="81">
        <f t="shared" si="34"/>
        <v>830</v>
      </c>
      <c r="CY13" s="81" t="s">
        <v>19</v>
      </c>
      <c r="CZ13" s="81">
        <f t="shared" si="35"/>
        <v>0</v>
      </c>
      <c r="DA13" s="81">
        <f t="shared" si="36"/>
        <v>830</v>
      </c>
      <c r="DB13" s="81" t="s">
        <v>20</v>
      </c>
      <c r="DC13" s="81">
        <f t="shared" si="37"/>
        <v>0</v>
      </c>
      <c r="DD13" s="81">
        <f t="shared" si="38"/>
        <v>830</v>
      </c>
      <c r="DE13" s="81" t="s">
        <v>23</v>
      </c>
      <c r="DF13" s="81">
        <f t="shared" si="39"/>
        <v>0</v>
      </c>
      <c r="DG13" s="81">
        <f t="shared" si="40"/>
        <v>830</v>
      </c>
      <c r="DH13" s="81" t="s">
        <v>15</v>
      </c>
      <c r="DI13" s="81">
        <f t="shared" si="41"/>
        <v>0</v>
      </c>
      <c r="DJ13" s="81">
        <f t="shared" si="42"/>
        <v>830</v>
      </c>
      <c r="DK13" s="81" t="s">
        <v>5235</v>
      </c>
      <c r="DL13" s="81">
        <f t="shared" si="43"/>
        <v>0</v>
      </c>
      <c r="DM13" s="81">
        <f t="shared" si="44"/>
        <v>830</v>
      </c>
      <c r="DN13" s="81" t="s">
        <v>7</v>
      </c>
      <c r="DO13" s="81">
        <f t="shared" si="45"/>
        <v>830</v>
      </c>
      <c r="DP13" s="81">
        <f t="shared" si="46"/>
        <v>0</v>
      </c>
      <c r="DQ13" s="81" t="s">
        <v>1</v>
      </c>
      <c r="DR13" s="81">
        <f t="shared" si="47"/>
        <v>830</v>
      </c>
      <c r="DS13" s="81">
        <f t="shared" si="48"/>
        <v>0</v>
      </c>
    </row>
    <row r="14" spans="1:123" x14ac:dyDescent="0.3">
      <c r="A14" s="52" t="s">
        <v>6</v>
      </c>
      <c r="B14" s="53">
        <f>SUM(B11:B13)</f>
        <v>10944</v>
      </c>
      <c r="C14" s="54"/>
      <c r="N14" s="81">
        <f>IF(Q15=0,IF(Q14=0,,"x"),)</f>
        <v>0</v>
      </c>
      <c r="O14" s="81">
        <f t="shared" si="49"/>
        <v>15175</v>
      </c>
      <c r="P14" s="81">
        <f t="shared" si="13"/>
        <v>541</v>
      </c>
      <c r="Q14" s="81">
        <f t="shared" si="50"/>
        <v>15361</v>
      </c>
      <c r="R14" s="81">
        <f>IF(W14="",,SUM($W$4:W14))</f>
        <v>14634</v>
      </c>
      <c r="S14" s="81">
        <f t="shared" si="14"/>
        <v>727</v>
      </c>
      <c r="T14" s="81">
        <f t="shared" si="51"/>
        <v>14931</v>
      </c>
      <c r="U14" s="81">
        <f t="shared" si="15"/>
        <v>297</v>
      </c>
      <c r="V14" s="81" t="str">
        <f t="shared" ca="1" si="16"/>
        <v>Juli 19</v>
      </c>
      <c r="W14" s="99">
        <f>'Juli 19'!C27</f>
        <v>4924</v>
      </c>
      <c r="X14" s="81">
        <f t="shared" si="4"/>
        <v>4924</v>
      </c>
      <c r="Y14" s="81">
        <f t="shared" si="5"/>
        <v>0</v>
      </c>
      <c r="Z14" s="81" t="str">
        <f t="shared" si="52"/>
        <v>Utemat</v>
      </c>
      <c r="AC14" s="81" t="str">
        <f t="shared" si="6"/>
        <v>Date night</v>
      </c>
      <c r="AD14" s="81">
        <f>SUM(emptySheet:Basmånad!C22)</f>
        <v>5411</v>
      </c>
      <c r="AE14" s="81">
        <v>14</v>
      </c>
      <c r="AI14" s="81">
        <v>11</v>
      </c>
      <c r="AJ14" s="81" t="str">
        <f t="shared" si="0"/>
        <v>Juli 19</v>
      </c>
      <c r="AK14" s="81" t="s">
        <v>40</v>
      </c>
      <c r="AL14" s="81">
        <v>19</v>
      </c>
      <c r="AM14" s="81" t="str">
        <f t="shared" si="17"/>
        <v>='Juli 19'!</v>
      </c>
      <c r="AN14" s="81" t="str">
        <f t="shared" si="7"/>
        <v>='Juli 19'!C27</v>
      </c>
      <c r="AO14" s="81" t="s">
        <v>1014</v>
      </c>
      <c r="AR14" s="81" t="s">
        <v>74</v>
      </c>
      <c r="AS14" s="83" t="str">
        <f t="shared" si="1"/>
        <v>='Juli 19'!C6</v>
      </c>
      <c r="AT14" s="83">
        <f t="shared" si="2"/>
        <v>0</v>
      </c>
      <c r="AV14" s="81" t="s">
        <v>375</v>
      </c>
      <c r="AW14" s="81" t="s">
        <v>1428</v>
      </c>
      <c r="AX14" s="81" t="s">
        <v>1429</v>
      </c>
      <c r="AY14" s="81" t="s">
        <v>1430</v>
      </c>
      <c r="AZ14" s="81" t="s">
        <v>1431</v>
      </c>
      <c r="BA14" s="81" t="s">
        <v>1432</v>
      </c>
      <c r="BB14" s="81" t="s">
        <v>1433</v>
      </c>
      <c r="BC14" s="81" t="s">
        <v>1434</v>
      </c>
      <c r="BD14" s="81" t="s">
        <v>1435</v>
      </c>
      <c r="BE14" s="81" t="s">
        <v>1436</v>
      </c>
      <c r="BF14" s="81" t="s">
        <v>1437</v>
      </c>
      <c r="BG14" s="81" t="s">
        <v>1438</v>
      </c>
      <c r="BH14" s="81" t="s">
        <v>4631</v>
      </c>
      <c r="BI14" s="81" t="s">
        <v>4935</v>
      </c>
      <c r="BJ14" s="81" t="s">
        <v>74</v>
      </c>
      <c r="BL14" s="81" t="s">
        <v>678</v>
      </c>
      <c r="BM14" s="81">
        <v>11</v>
      </c>
      <c r="BN14" s="81" t="str">
        <f t="shared" si="3"/>
        <v>='Juli 19'!C12</v>
      </c>
      <c r="BP14" s="81" t="str">
        <f t="shared" ca="1" si="18"/>
        <v>Juli 19</v>
      </c>
      <c r="BQ14">
        <f>'Juli 19'!C12</f>
        <v>830</v>
      </c>
      <c r="BR14" s="84">
        <f t="shared" si="8"/>
        <v>830</v>
      </c>
      <c r="BS14" s="84">
        <f t="shared" si="9"/>
        <v>0</v>
      </c>
      <c r="BU14" s="81" t="str">
        <f t="shared" si="10"/>
        <v>Date night</v>
      </c>
      <c r="BV14" s="81">
        <f t="shared" si="11"/>
        <v>300</v>
      </c>
      <c r="BW14" s="88">
        <f t="shared" si="12"/>
        <v>0.25</v>
      </c>
      <c r="CA14" s="81" t="s">
        <v>2</v>
      </c>
      <c r="CB14" s="81">
        <f t="shared" si="19"/>
        <v>830</v>
      </c>
      <c r="CC14" s="81">
        <f t="shared" si="20"/>
        <v>0</v>
      </c>
      <c r="CD14" s="81" t="s">
        <v>16</v>
      </c>
      <c r="CE14" s="81">
        <f t="shared" si="21"/>
        <v>830</v>
      </c>
      <c r="CF14" s="81">
        <f t="shared" si="22"/>
        <v>0</v>
      </c>
      <c r="CG14" s="81" t="s">
        <v>5</v>
      </c>
      <c r="CH14" s="81">
        <f t="shared" si="23"/>
        <v>0</v>
      </c>
      <c r="CI14" s="81">
        <f t="shared" si="24"/>
        <v>830</v>
      </c>
      <c r="CJ14" s="81" t="s">
        <v>18</v>
      </c>
      <c r="CK14" s="81">
        <f t="shared" si="25"/>
        <v>0</v>
      </c>
      <c r="CL14" s="81">
        <f t="shared" si="26"/>
        <v>830</v>
      </c>
      <c r="CM14" s="81" t="s">
        <v>4</v>
      </c>
      <c r="CN14" s="81">
        <f t="shared" si="27"/>
        <v>0</v>
      </c>
      <c r="CO14" s="81">
        <f t="shared" si="28"/>
        <v>830</v>
      </c>
      <c r="CP14" s="81" t="s">
        <v>22</v>
      </c>
      <c r="CQ14" s="81">
        <f t="shared" si="29"/>
        <v>0</v>
      </c>
      <c r="CR14" s="81">
        <f t="shared" si="30"/>
        <v>830</v>
      </c>
      <c r="CS14" s="81" t="s">
        <v>21</v>
      </c>
      <c r="CT14" s="81">
        <f t="shared" si="31"/>
        <v>0</v>
      </c>
      <c r="CU14" s="81">
        <f t="shared" si="32"/>
        <v>830</v>
      </c>
      <c r="CV14" s="81" t="s">
        <v>998</v>
      </c>
      <c r="CW14" s="81">
        <f t="shared" si="33"/>
        <v>0</v>
      </c>
      <c r="CX14" s="81">
        <f t="shared" si="34"/>
        <v>830</v>
      </c>
      <c r="CY14" s="81" t="s">
        <v>19</v>
      </c>
      <c r="CZ14" s="81">
        <f t="shared" si="35"/>
        <v>0</v>
      </c>
      <c r="DA14" s="81">
        <f t="shared" si="36"/>
        <v>830</v>
      </c>
      <c r="DB14" s="81" t="s">
        <v>20</v>
      </c>
      <c r="DC14" s="81">
        <f t="shared" si="37"/>
        <v>0</v>
      </c>
      <c r="DD14" s="81">
        <f t="shared" si="38"/>
        <v>830</v>
      </c>
      <c r="DE14" s="81" t="s">
        <v>23</v>
      </c>
      <c r="DF14" s="81">
        <f t="shared" si="39"/>
        <v>0</v>
      </c>
      <c r="DG14" s="81">
        <f t="shared" si="40"/>
        <v>830</v>
      </c>
      <c r="DH14" s="81" t="s">
        <v>15</v>
      </c>
      <c r="DI14" s="81">
        <f t="shared" si="41"/>
        <v>0</v>
      </c>
      <c r="DJ14" s="81">
        <f t="shared" si="42"/>
        <v>830</v>
      </c>
      <c r="DK14" s="81" t="s">
        <v>5236</v>
      </c>
      <c r="DL14" s="81">
        <f t="shared" si="43"/>
        <v>0</v>
      </c>
      <c r="DM14" s="81">
        <f t="shared" si="44"/>
        <v>830</v>
      </c>
      <c r="DN14" s="81" t="s">
        <v>7</v>
      </c>
      <c r="DO14" s="81">
        <f t="shared" si="45"/>
        <v>830</v>
      </c>
      <c r="DP14" s="81">
        <f t="shared" si="46"/>
        <v>0</v>
      </c>
      <c r="DQ14" s="81" t="s">
        <v>1</v>
      </c>
      <c r="DR14" s="81">
        <f t="shared" si="47"/>
        <v>830</v>
      </c>
      <c r="DS14" s="81">
        <f t="shared" si="48"/>
        <v>0</v>
      </c>
    </row>
    <row r="15" spans="1:123" x14ac:dyDescent="0.3">
      <c r="A15" s="40"/>
      <c r="B15" s="40"/>
      <c r="N15" s="81" t="str">
        <f>IF(Q16=0,IF(Q15=0,,"x"),)</f>
        <v>x</v>
      </c>
      <c r="O15" s="81">
        <f t="shared" si="49"/>
        <v>19824</v>
      </c>
      <c r="P15" s="81">
        <f t="shared" si="13"/>
        <v>598</v>
      </c>
      <c r="Q15" s="81">
        <f t="shared" si="50"/>
        <v>20030</v>
      </c>
      <c r="R15" s="81">
        <f>IF(W15="",,SUM($W$4:W15))</f>
        <v>19226</v>
      </c>
      <c r="S15" s="81">
        <f t="shared" si="14"/>
        <v>804</v>
      </c>
      <c r="T15" s="81">
        <f t="shared" si="51"/>
        <v>19554</v>
      </c>
      <c r="U15" s="81">
        <f t="shared" si="15"/>
        <v>328</v>
      </c>
      <c r="V15" s="81" t="str">
        <f t="shared" ca="1" si="16"/>
        <v>Augusti 19</v>
      </c>
      <c r="W15" s="99">
        <f>'Augusti 19'!C27</f>
        <v>4592</v>
      </c>
      <c r="X15" s="81">
        <f t="shared" si="4"/>
        <v>4592</v>
      </c>
      <c r="Y15" s="81">
        <f t="shared" si="5"/>
        <v>0</v>
      </c>
      <c r="Z15" s="81" t="str">
        <f t="shared" si="52"/>
        <v>Studiematerial</v>
      </c>
      <c r="AC15" s="81" t="str">
        <f t="shared" si="6"/>
        <v>Godis och snacks</v>
      </c>
      <c r="AD15" s="81">
        <f>SUM(emptySheet:Basmånad!C23)</f>
        <v>1716</v>
      </c>
      <c r="AE15" s="81">
        <v>15</v>
      </c>
      <c r="AI15" s="81">
        <v>12</v>
      </c>
      <c r="AJ15" s="81" t="str">
        <f t="shared" si="0"/>
        <v>Augusti 19</v>
      </c>
      <c r="AK15" s="81" t="s">
        <v>41</v>
      </c>
      <c r="AL15" s="81">
        <f>IFERROR(IF(AI15=AI14+1,IF(SUM(AL3:AL14)/12=AL14,AL14+1,AL14)," ")," ")</f>
        <v>19</v>
      </c>
      <c r="AM15" s="81" t="str">
        <f t="shared" si="17"/>
        <v>='Augusti 19'!</v>
      </c>
      <c r="AN15" s="81" t="str">
        <f t="shared" si="7"/>
        <v>='Augusti 19'!C27</v>
      </c>
      <c r="AO15" s="81" t="s">
        <v>1015</v>
      </c>
      <c r="AR15" s="81" t="s">
        <v>75</v>
      </c>
      <c r="AS15" s="83" t="str">
        <f t="shared" si="1"/>
        <v>='Augusti 19'!C6</v>
      </c>
      <c r="AT15" s="83">
        <f t="shared" si="2"/>
        <v>0</v>
      </c>
      <c r="AV15" s="81" t="s">
        <v>376</v>
      </c>
      <c r="AW15" s="81" t="s">
        <v>1439</v>
      </c>
      <c r="AX15" s="81" t="s">
        <v>1440</v>
      </c>
      <c r="AY15" s="81" t="s">
        <v>1441</v>
      </c>
      <c r="AZ15" s="81" t="s">
        <v>1442</v>
      </c>
      <c r="BA15" s="81" t="s">
        <v>1443</v>
      </c>
      <c r="BB15" s="81" t="s">
        <v>1444</v>
      </c>
      <c r="BC15" s="81" t="s">
        <v>1445</v>
      </c>
      <c r="BD15" s="81" t="s">
        <v>1446</v>
      </c>
      <c r="BE15" s="81" t="s">
        <v>1447</v>
      </c>
      <c r="BF15" s="81" t="s">
        <v>1448</v>
      </c>
      <c r="BG15" s="81" t="s">
        <v>1449</v>
      </c>
      <c r="BH15" s="81" t="s">
        <v>4632</v>
      </c>
      <c r="BI15" s="81" t="s">
        <v>4936</v>
      </c>
      <c r="BJ15" s="81" t="s">
        <v>75</v>
      </c>
      <c r="BL15" s="81" t="s">
        <v>679</v>
      </c>
      <c r="BM15" s="81">
        <v>12</v>
      </c>
      <c r="BN15" s="81" t="str">
        <f t="shared" si="3"/>
        <v>='Augusti 19'!C12</v>
      </c>
      <c r="BP15" s="81" t="str">
        <f t="shared" ca="1" si="18"/>
        <v>Augusti 19</v>
      </c>
      <c r="BQ15">
        <f>'Augusti 19'!C12</f>
        <v>7854</v>
      </c>
      <c r="BR15" s="84">
        <f t="shared" si="8"/>
        <v>0</v>
      </c>
      <c r="BS15" s="84">
        <f t="shared" si="9"/>
        <v>7854</v>
      </c>
      <c r="BU15" s="81" t="str">
        <f t="shared" si="10"/>
        <v>Godis och snacks</v>
      </c>
      <c r="BV15" s="81">
        <f t="shared" si="11"/>
        <v>150</v>
      </c>
      <c r="BW15" s="88">
        <f t="shared" si="12"/>
        <v>0.25</v>
      </c>
      <c r="CA15" s="81" t="s">
        <v>2</v>
      </c>
      <c r="CB15" s="81">
        <f t="shared" si="19"/>
        <v>0</v>
      </c>
      <c r="CC15" s="81">
        <f t="shared" si="20"/>
        <v>7854</v>
      </c>
      <c r="CD15" s="81" t="s">
        <v>16</v>
      </c>
      <c r="CE15" s="81">
        <f t="shared" si="21"/>
        <v>0</v>
      </c>
      <c r="CF15" s="81">
        <f t="shared" si="22"/>
        <v>7854</v>
      </c>
      <c r="CG15" s="81" t="s">
        <v>5</v>
      </c>
      <c r="CH15" s="81">
        <f t="shared" si="23"/>
        <v>0</v>
      </c>
      <c r="CI15" s="81">
        <f t="shared" si="24"/>
        <v>7854</v>
      </c>
      <c r="CJ15" s="81" t="s">
        <v>18</v>
      </c>
      <c r="CK15" s="81">
        <f t="shared" si="25"/>
        <v>0</v>
      </c>
      <c r="CL15" s="81">
        <f t="shared" si="26"/>
        <v>7854</v>
      </c>
      <c r="CM15" s="81" t="s">
        <v>4</v>
      </c>
      <c r="CN15" s="81">
        <f t="shared" si="27"/>
        <v>0</v>
      </c>
      <c r="CO15" s="81">
        <f t="shared" si="28"/>
        <v>7854</v>
      </c>
      <c r="CP15" s="81" t="s">
        <v>22</v>
      </c>
      <c r="CQ15" s="81">
        <f t="shared" si="29"/>
        <v>0</v>
      </c>
      <c r="CR15" s="81">
        <f t="shared" si="30"/>
        <v>7854</v>
      </c>
      <c r="CS15" s="81" t="s">
        <v>21</v>
      </c>
      <c r="CT15" s="81">
        <f t="shared" si="31"/>
        <v>0</v>
      </c>
      <c r="CU15" s="81">
        <f t="shared" si="32"/>
        <v>7854</v>
      </c>
      <c r="CV15" s="81" t="s">
        <v>998</v>
      </c>
      <c r="CW15" s="81">
        <f t="shared" si="33"/>
        <v>0</v>
      </c>
      <c r="CX15" s="81">
        <f t="shared" si="34"/>
        <v>7854</v>
      </c>
      <c r="CY15" s="81" t="s">
        <v>19</v>
      </c>
      <c r="CZ15" s="81">
        <f t="shared" si="35"/>
        <v>0</v>
      </c>
      <c r="DA15" s="81">
        <f t="shared" si="36"/>
        <v>7854</v>
      </c>
      <c r="DB15" s="81" t="s">
        <v>20</v>
      </c>
      <c r="DC15" s="81">
        <f t="shared" si="37"/>
        <v>0</v>
      </c>
      <c r="DD15" s="81">
        <f t="shared" si="38"/>
        <v>7854</v>
      </c>
      <c r="DE15" s="81" t="s">
        <v>23</v>
      </c>
      <c r="DF15" s="81">
        <f t="shared" si="39"/>
        <v>0</v>
      </c>
      <c r="DG15" s="81">
        <f t="shared" si="40"/>
        <v>7854</v>
      </c>
      <c r="DH15" s="81" t="s">
        <v>15</v>
      </c>
      <c r="DI15" s="81">
        <f t="shared" si="41"/>
        <v>0</v>
      </c>
      <c r="DJ15" s="81">
        <f t="shared" si="42"/>
        <v>7854</v>
      </c>
      <c r="DK15" s="81" t="s">
        <v>5237</v>
      </c>
      <c r="DL15" s="81">
        <f t="shared" si="43"/>
        <v>0</v>
      </c>
      <c r="DM15" s="81">
        <f t="shared" si="44"/>
        <v>7854</v>
      </c>
      <c r="DN15" s="81" t="s">
        <v>7</v>
      </c>
      <c r="DO15" s="81">
        <f t="shared" si="45"/>
        <v>7854</v>
      </c>
      <c r="DP15" s="81">
        <f t="shared" si="46"/>
        <v>0</v>
      </c>
      <c r="DQ15" s="81" t="s">
        <v>1</v>
      </c>
      <c r="DR15" s="81">
        <f t="shared" si="47"/>
        <v>7854</v>
      </c>
      <c r="DS15" s="81">
        <f t="shared" si="48"/>
        <v>0</v>
      </c>
    </row>
    <row r="16" spans="1:123" x14ac:dyDescent="0.3">
      <c r="A16" s="40"/>
      <c r="N16" s="81">
        <f>IF(Q17=0,IF(Q16=0,,"x"),)</f>
        <v>0</v>
      </c>
      <c r="O16" s="81">
        <f t="shared" si="49"/>
        <v>0</v>
      </c>
      <c r="P16" s="81">
        <f t="shared" si="13"/>
        <v>0</v>
      </c>
      <c r="Q16" s="81">
        <f t="shared" si="50"/>
        <v>0</v>
      </c>
      <c r="R16" s="81">
        <f>IF(W16="",,SUM($W$4:W16))</f>
        <v>0</v>
      </c>
      <c r="S16" s="81">
        <f t="shared" si="14"/>
        <v>0</v>
      </c>
      <c r="T16" s="81">
        <f t="shared" si="51"/>
        <v>0</v>
      </c>
      <c r="U16" s="81">
        <f t="shared" si="15"/>
        <v>0</v>
      </c>
      <c r="V16" s="81" t="str">
        <f t="shared" ca="1" si="16"/>
        <v/>
      </c>
      <c r="W16" s="99"/>
      <c r="X16" s="81">
        <f t="shared" si="4"/>
        <v>0</v>
      </c>
      <c r="Y16" s="81">
        <f t="shared" si="5"/>
        <v>0</v>
      </c>
      <c r="Z16" s="81" t="str">
        <f t="shared" si="52"/>
        <v>Teknik och prylar</v>
      </c>
      <c r="AC16" s="81" t="str">
        <f t="shared" si="6"/>
        <v>Övriga utgifter</v>
      </c>
      <c r="AD16" s="81">
        <f>SUM(emptySheet:Basmånad!C24)</f>
        <v>10093</v>
      </c>
      <c r="AE16" s="81">
        <v>16</v>
      </c>
      <c r="AF16" s="81" t="s">
        <v>5569</v>
      </c>
      <c r="AG16" s="91">
        <f>VLOOKUP(B6,BL3:BM250,2,FALSE)-1</f>
        <v>0</v>
      </c>
      <c r="AI16" s="81">
        <v>13</v>
      </c>
      <c r="AJ16" s="81" t="str">
        <f t="shared" si="0"/>
        <v>September 19</v>
      </c>
      <c r="AK16" s="81" t="str">
        <f>AK4</f>
        <v>September</v>
      </c>
      <c r="AL16" s="81">
        <f>IFERROR(IF(AI16=AI15+1,IF(SUM(AL4:AL15)/12=AL15,AL15+1,AL15)," ")," ")</f>
        <v>19</v>
      </c>
      <c r="AM16" s="81" t="str">
        <f t="shared" si="17"/>
        <v>='September 19'!</v>
      </c>
      <c r="AN16" s="81" t="str">
        <f t="shared" si="7"/>
        <v>='September 19'!C27</v>
      </c>
      <c r="AO16" s="81" t="s">
        <v>1016</v>
      </c>
      <c r="AR16" s="81" t="s">
        <v>76</v>
      </c>
      <c r="AS16" s="83" t="str">
        <f t="shared" si="1"/>
        <v>='September 19'!C6</v>
      </c>
      <c r="AT16" s="83">
        <f t="shared" si="2"/>
        <v>0</v>
      </c>
      <c r="AV16" s="81" t="s">
        <v>377</v>
      </c>
      <c r="AW16" s="81" t="s">
        <v>1450</v>
      </c>
      <c r="AX16" s="81" t="s">
        <v>1451</v>
      </c>
      <c r="AY16" s="81" t="s">
        <v>1452</v>
      </c>
      <c r="AZ16" s="81" t="s">
        <v>1453</v>
      </c>
      <c r="BA16" s="81" t="s">
        <v>1454</v>
      </c>
      <c r="BB16" s="81" t="s">
        <v>1455</v>
      </c>
      <c r="BC16" s="81" t="s">
        <v>1456</v>
      </c>
      <c r="BD16" s="81" t="s">
        <v>1457</v>
      </c>
      <c r="BE16" s="81" t="s">
        <v>1458</v>
      </c>
      <c r="BF16" s="81" t="s">
        <v>1459</v>
      </c>
      <c r="BG16" s="81" t="s">
        <v>1460</v>
      </c>
      <c r="BH16" s="81" t="s">
        <v>4633</v>
      </c>
      <c r="BI16" s="81" t="s">
        <v>4937</v>
      </c>
      <c r="BJ16" s="81" t="s">
        <v>76</v>
      </c>
      <c r="BL16" s="81" t="s">
        <v>680</v>
      </c>
      <c r="BM16" s="81">
        <v>13</v>
      </c>
      <c r="BN16" s="81" t="str">
        <f t="shared" si="3"/>
        <v>='September 19'!C12</v>
      </c>
      <c r="BP16" s="81" t="str">
        <f t="shared" ca="1" si="18"/>
        <v/>
      </c>
      <c r="BQ16" t="e">
        <v>#REF!</v>
      </c>
      <c r="BR16" s="84" t="e">
        <f t="shared" si="8"/>
        <v>#REF!</v>
      </c>
      <c r="BS16" s="84" t="e">
        <f t="shared" si="9"/>
        <v>#REF!</v>
      </c>
      <c r="BU16" s="81" t="str">
        <f t="shared" si="10"/>
        <v>Övriga utgifter</v>
      </c>
      <c r="BV16" s="81">
        <f t="shared" si="11"/>
        <v>500</v>
      </c>
      <c r="BW16" s="88">
        <f t="shared" si="12"/>
        <v>0.25</v>
      </c>
      <c r="CA16" s="81" t="s">
        <v>2</v>
      </c>
      <c r="CB16" s="81" t="e">
        <f t="shared" si="19"/>
        <v>#REF!</v>
      </c>
      <c r="CC16" s="81" t="e">
        <f t="shared" si="20"/>
        <v>#REF!</v>
      </c>
      <c r="CD16" s="81" t="s">
        <v>16</v>
      </c>
      <c r="CE16" s="81" t="e">
        <f t="shared" si="21"/>
        <v>#REF!</v>
      </c>
      <c r="CF16" s="81" t="e">
        <f t="shared" si="22"/>
        <v>#REF!</v>
      </c>
      <c r="CG16" s="81" t="s">
        <v>5</v>
      </c>
      <c r="CH16" s="81" t="e">
        <f t="shared" si="23"/>
        <v>#REF!</v>
      </c>
      <c r="CI16" s="81" t="e">
        <f t="shared" si="24"/>
        <v>#REF!</v>
      </c>
      <c r="CJ16" s="81" t="s">
        <v>18</v>
      </c>
      <c r="CK16" s="81" t="e">
        <f t="shared" si="25"/>
        <v>#REF!</v>
      </c>
      <c r="CL16" s="81" t="e">
        <f t="shared" si="26"/>
        <v>#REF!</v>
      </c>
      <c r="CM16" s="81" t="s">
        <v>4</v>
      </c>
      <c r="CN16" s="81" t="e">
        <f t="shared" si="27"/>
        <v>#REF!</v>
      </c>
      <c r="CO16" s="81" t="e">
        <f t="shared" si="28"/>
        <v>#REF!</v>
      </c>
      <c r="CP16" s="81" t="s">
        <v>22</v>
      </c>
      <c r="CQ16" s="81" t="e">
        <f t="shared" si="29"/>
        <v>#REF!</v>
      </c>
      <c r="CR16" s="81" t="e">
        <f t="shared" si="30"/>
        <v>#REF!</v>
      </c>
      <c r="CS16" s="81" t="s">
        <v>21</v>
      </c>
      <c r="CT16" s="81" t="e">
        <f t="shared" si="31"/>
        <v>#REF!</v>
      </c>
      <c r="CU16" s="81" t="e">
        <f t="shared" si="32"/>
        <v>#REF!</v>
      </c>
      <c r="CV16" s="81" t="s">
        <v>998</v>
      </c>
      <c r="CW16" s="81" t="e">
        <f t="shared" si="33"/>
        <v>#REF!</v>
      </c>
      <c r="CX16" s="81" t="e">
        <f t="shared" si="34"/>
        <v>#REF!</v>
      </c>
      <c r="CY16" s="81" t="s">
        <v>19</v>
      </c>
      <c r="CZ16" s="81" t="e">
        <f t="shared" si="35"/>
        <v>#REF!</v>
      </c>
      <c r="DA16" s="81" t="e">
        <f t="shared" si="36"/>
        <v>#REF!</v>
      </c>
      <c r="DB16" s="81" t="s">
        <v>20</v>
      </c>
      <c r="DC16" s="81" t="e">
        <f t="shared" si="37"/>
        <v>#REF!</v>
      </c>
      <c r="DD16" s="81" t="e">
        <f t="shared" si="38"/>
        <v>#REF!</v>
      </c>
      <c r="DE16" s="81" t="s">
        <v>23</v>
      </c>
      <c r="DF16" s="81" t="e">
        <f t="shared" si="39"/>
        <v>#REF!</v>
      </c>
      <c r="DG16" s="81" t="e">
        <f t="shared" si="40"/>
        <v>#REF!</v>
      </c>
      <c r="DH16" s="81" t="s">
        <v>15</v>
      </c>
      <c r="DI16" s="81" t="e">
        <f t="shared" si="41"/>
        <v>#REF!</v>
      </c>
      <c r="DJ16" s="81" t="e">
        <f t="shared" si="42"/>
        <v>#REF!</v>
      </c>
      <c r="DK16" s="81" t="s">
        <v>5238</v>
      </c>
      <c r="DL16" s="81" t="e">
        <f t="shared" si="43"/>
        <v>#REF!</v>
      </c>
      <c r="DM16" s="81" t="e">
        <f t="shared" si="44"/>
        <v>#REF!</v>
      </c>
      <c r="DN16" s="81" t="s">
        <v>7</v>
      </c>
      <c r="DO16" s="81" t="e">
        <f t="shared" si="45"/>
        <v>#REF!</v>
      </c>
      <c r="DP16" s="81" t="e">
        <f t="shared" si="46"/>
        <v>#REF!</v>
      </c>
      <c r="DQ16" s="81" t="s">
        <v>1</v>
      </c>
      <c r="DR16" s="81" t="e">
        <f t="shared" si="47"/>
        <v>#REF!</v>
      </c>
      <c r="DS16" s="81" t="e">
        <f t="shared" si="48"/>
        <v>#REF!</v>
      </c>
    </row>
    <row r="17" spans="1:123" ht="15" thickBot="1" x14ac:dyDescent="0.35">
      <c r="A17" s="44" t="s">
        <v>9</v>
      </c>
      <c r="B17" s="44" t="s">
        <v>10</v>
      </c>
      <c r="C17" s="44" t="s">
        <v>34</v>
      </c>
      <c r="D17" s="49"/>
      <c r="N17" s="81">
        <f>IF(Q18=0,IF(Q17=0,,"x"),)</f>
        <v>0</v>
      </c>
      <c r="O17" s="81">
        <f t="shared" si="49"/>
        <v>0</v>
      </c>
      <c r="P17" s="81">
        <f t="shared" si="13"/>
        <v>0</v>
      </c>
      <c r="Q17" s="81">
        <f t="shared" si="50"/>
        <v>0</v>
      </c>
      <c r="R17" s="81">
        <f>IF(W17="",,SUM($W$4:W17))</f>
        <v>0</v>
      </c>
      <c r="S17" s="81">
        <f t="shared" si="14"/>
        <v>0</v>
      </c>
      <c r="T17" s="81">
        <f t="shared" si="51"/>
        <v>0</v>
      </c>
      <c r="U17" s="81">
        <f t="shared" si="15"/>
        <v>0</v>
      </c>
      <c r="V17" s="81" t="str">
        <f t="shared" ca="1" si="16"/>
        <v/>
      </c>
      <c r="W17" s="99"/>
      <c r="X17" s="81">
        <f t="shared" si="4"/>
        <v>0</v>
      </c>
      <c r="Y17" s="81">
        <f t="shared" si="5"/>
        <v>0</v>
      </c>
      <c r="Z17" s="81" t="str">
        <f t="shared" si="52"/>
        <v>Dricka och aktiviteter</v>
      </c>
      <c r="AC17" s="81" t="s">
        <v>3</v>
      </c>
      <c r="AD17" s="81">
        <f>SUM(emptySheet:Basmånad!C27)</f>
        <v>10953</v>
      </c>
      <c r="AE17" s="81">
        <v>17</v>
      </c>
      <c r="AG17" s="91">
        <f>VLOOKUP(B7,BL3:BM250,2,FALSE)-1</f>
        <v>11</v>
      </c>
      <c r="AI17" s="81">
        <v>14</v>
      </c>
      <c r="AJ17" s="81" t="str">
        <f t="shared" si="0"/>
        <v>Oktober 19</v>
      </c>
      <c r="AK17" s="81" t="str">
        <f t="shared" ref="AK17:AK80" si="53">AK5</f>
        <v>Oktober</v>
      </c>
      <c r="AL17" s="81">
        <f t="shared" ref="AL17:AL79" si="54">IFERROR(IF(AI17=AI16+1,IF(SUM(AL5:AL16)/12=AL16,AL16+1,AL16)," ")," ")</f>
        <v>19</v>
      </c>
      <c r="AM17" s="81" t="str">
        <f t="shared" si="17"/>
        <v>='Oktober 19'!</v>
      </c>
      <c r="AN17" s="81" t="str">
        <f t="shared" si="7"/>
        <v>='Oktober 19'!C27</v>
      </c>
      <c r="AO17" s="81" t="s">
        <v>1017</v>
      </c>
      <c r="AR17" s="81" t="s">
        <v>77</v>
      </c>
      <c r="AS17" s="83" t="str">
        <f t="shared" si="1"/>
        <v>='Oktober 19'!C6</v>
      </c>
      <c r="AT17" s="83">
        <f t="shared" si="2"/>
        <v>0</v>
      </c>
      <c r="AV17" s="81" t="s">
        <v>378</v>
      </c>
      <c r="AW17" s="81" t="s">
        <v>1461</v>
      </c>
      <c r="AX17" s="81" t="s">
        <v>1462</v>
      </c>
      <c r="AY17" s="81" t="s">
        <v>1463</v>
      </c>
      <c r="AZ17" s="81" t="s">
        <v>1464</v>
      </c>
      <c r="BA17" s="81" t="s">
        <v>1465</v>
      </c>
      <c r="BB17" s="81" t="s">
        <v>1466</v>
      </c>
      <c r="BC17" s="81" t="s">
        <v>1467</v>
      </c>
      <c r="BD17" s="81" t="s">
        <v>1468</v>
      </c>
      <c r="BE17" s="81" t="s">
        <v>1469</v>
      </c>
      <c r="BF17" s="81" t="s">
        <v>1470</v>
      </c>
      <c r="BG17" s="81" t="s">
        <v>1471</v>
      </c>
      <c r="BH17" s="81" t="s">
        <v>4634</v>
      </c>
      <c r="BI17" s="81" t="s">
        <v>4938</v>
      </c>
      <c r="BJ17" s="81" t="s">
        <v>77</v>
      </c>
      <c r="BL17" s="81" t="s">
        <v>681</v>
      </c>
      <c r="BM17" s="81">
        <v>14</v>
      </c>
      <c r="BN17" s="81" t="str">
        <f t="shared" si="3"/>
        <v>='Oktober 19'!C12</v>
      </c>
      <c r="BP17" s="81" t="str">
        <f t="shared" ca="1" si="18"/>
        <v/>
      </c>
      <c r="BQ17" t="e">
        <v>#REF!</v>
      </c>
      <c r="BR17" s="84" t="e">
        <f t="shared" si="8"/>
        <v>#REF!</v>
      </c>
      <c r="BS17" s="84" t="e">
        <f t="shared" si="9"/>
        <v>#REF!</v>
      </c>
      <c r="BU17" s="81" t="s">
        <v>7</v>
      </c>
      <c r="BV17" s="81">
        <f>B31</f>
        <v>9400</v>
      </c>
      <c r="BW17" s="88">
        <f>C31</f>
        <v>0</v>
      </c>
      <c r="CA17" s="81" t="s">
        <v>2</v>
      </c>
      <c r="CB17" s="81" t="e">
        <f t="shared" si="19"/>
        <v>#REF!</v>
      </c>
      <c r="CC17" s="81" t="e">
        <f t="shared" si="20"/>
        <v>#REF!</v>
      </c>
      <c r="CD17" s="81" t="s">
        <v>16</v>
      </c>
      <c r="CE17" s="81" t="e">
        <f t="shared" si="21"/>
        <v>#REF!</v>
      </c>
      <c r="CF17" s="81" t="e">
        <f t="shared" si="22"/>
        <v>#REF!</v>
      </c>
      <c r="CG17" s="81" t="s">
        <v>5</v>
      </c>
      <c r="CH17" s="81" t="e">
        <f t="shared" si="23"/>
        <v>#REF!</v>
      </c>
      <c r="CI17" s="81" t="e">
        <f t="shared" si="24"/>
        <v>#REF!</v>
      </c>
      <c r="CJ17" s="81" t="s">
        <v>18</v>
      </c>
      <c r="CK17" s="81" t="e">
        <f t="shared" si="25"/>
        <v>#REF!</v>
      </c>
      <c r="CL17" s="81" t="e">
        <f t="shared" si="26"/>
        <v>#REF!</v>
      </c>
      <c r="CM17" s="81" t="s">
        <v>4</v>
      </c>
      <c r="CN17" s="81" t="e">
        <f t="shared" si="27"/>
        <v>#REF!</v>
      </c>
      <c r="CO17" s="81" t="e">
        <f t="shared" si="28"/>
        <v>#REF!</v>
      </c>
      <c r="CP17" s="81" t="s">
        <v>22</v>
      </c>
      <c r="CQ17" s="81" t="e">
        <f t="shared" si="29"/>
        <v>#REF!</v>
      </c>
      <c r="CR17" s="81" t="e">
        <f t="shared" si="30"/>
        <v>#REF!</v>
      </c>
      <c r="CS17" s="81" t="s">
        <v>21</v>
      </c>
      <c r="CT17" s="81" t="e">
        <f t="shared" si="31"/>
        <v>#REF!</v>
      </c>
      <c r="CU17" s="81" t="e">
        <f t="shared" si="32"/>
        <v>#REF!</v>
      </c>
      <c r="CV17" s="81" t="s">
        <v>998</v>
      </c>
      <c r="CW17" s="81" t="e">
        <f t="shared" si="33"/>
        <v>#REF!</v>
      </c>
      <c r="CX17" s="81" t="e">
        <f t="shared" si="34"/>
        <v>#REF!</v>
      </c>
      <c r="CY17" s="81" t="s">
        <v>19</v>
      </c>
      <c r="CZ17" s="81" t="e">
        <f t="shared" si="35"/>
        <v>#REF!</v>
      </c>
      <c r="DA17" s="81" t="e">
        <f t="shared" si="36"/>
        <v>#REF!</v>
      </c>
      <c r="DB17" s="81" t="s">
        <v>20</v>
      </c>
      <c r="DC17" s="81" t="e">
        <f t="shared" si="37"/>
        <v>#REF!</v>
      </c>
      <c r="DD17" s="81" t="e">
        <f t="shared" si="38"/>
        <v>#REF!</v>
      </c>
      <c r="DE17" s="81" t="s">
        <v>23</v>
      </c>
      <c r="DF17" s="81" t="e">
        <f t="shared" si="39"/>
        <v>#REF!</v>
      </c>
      <c r="DG17" s="81" t="e">
        <f t="shared" si="40"/>
        <v>#REF!</v>
      </c>
      <c r="DH17" s="81" t="s">
        <v>15</v>
      </c>
      <c r="DI17" s="81" t="e">
        <f t="shared" si="41"/>
        <v>#REF!</v>
      </c>
      <c r="DJ17" s="81" t="e">
        <f t="shared" si="42"/>
        <v>#REF!</v>
      </c>
      <c r="DK17" s="81" t="s">
        <v>5239</v>
      </c>
      <c r="DL17" s="81" t="e">
        <f t="shared" si="43"/>
        <v>#REF!</v>
      </c>
      <c r="DM17" s="81" t="e">
        <f t="shared" si="44"/>
        <v>#REF!</v>
      </c>
      <c r="DN17" s="81" t="s">
        <v>7</v>
      </c>
      <c r="DO17" s="81" t="e">
        <f t="shared" si="45"/>
        <v>#REF!</v>
      </c>
      <c r="DP17" s="81" t="e">
        <f t="shared" si="46"/>
        <v>#REF!</v>
      </c>
      <c r="DQ17" s="81" t="s">
        <v>1</v>
      </c>
      <c r="DR17" s="81" t="e">
        <f t="shared" si="47"/>
        <v>#REF!</v>
      </c>
      <c r="DS17" s="81" t="e">
        <f t="shared" si="48"/>
        <v>#REF!</v>
      </c>
    </row>
    <row r="18" spans="1:123" x14ac:dyDescent="0.3">
      <c r="A18" s="74" t="s">
        <v>2</v>
      </c>
      <c r="B18" s="45">
        <v>5000</v>
      </c>
      <c r="C18" s="46">
        <v>0.25</v>
      </c>
      <c r="N18" s="81">
        <f>IF(Q19=0,IF(Q18=0,,"x"),)</f>
        <v>0</v>
      </c>
      <c r="O18" s="81">
        <f t="shared" si="49"/>
        <v>0</v>
      </c>
      <c r="P18" s="81">
        <f t="shared" si="13"/>
        <v>0</v>
      </c>
      <c r="Q18" s="81">
        <f t="shared" si="50"/>
        <v>0</v>
      </c>
      <c r="R18" s="81">
        <f>IF(W18="",,SUM($W$4:W18))</f>
        <v>0</v>
      </c>
      <c r="S18" s="81">
        <f t="shared" si="14"/>
        <v>0</v>
      </c>
      <c r="T18" s="81">
        <f t="shared" si="51"/>
        <v>0</v>
      </c>
      <c r="U18" s="81">
        <f t="shared" si="15"/>
        <v>0</v>
      </c>
      <c r="V18" s="81" t="str">
        <f t="shared" ca="1" si="16"/>
        <v/>
      </c>
      <c r="W18" s="99"/>
      <c r="X18" s="81">
        <f t="shared" si="4"/>
        <v>0</v>
      </c>
      <c r="Y18" s="81">
        <f t="shared" si="5"/>
        <v>0</v>
      </c>
      <c r="Z18" s="81" t="str">
        <f t="shared" si="52"/>
        <v>Hushåll</v>
      </c>
      <c r="AC18" s="81" t="s">
        <v>5555</v>
      </c>
      <c r="AD18" s="81">
        <f>SUM(emptySheet:Basmånad!C8)</f>
        <v>106380</v>
      </c>
      <c r="AE18" s="81">
        <v>18</v>
      </c>
      <c r="AG18" s="91">
        <f>AG17-AG16+1</f>
        <v>12</v>
      </c>
      <c r="AI18" s="81">
        <v>15</v>
      </c>
      <c r="AJ18" s="81" t="str">
        <f t="shared" si="0"/>
        <v>November 19</v>
      </c>
      <c r="AK18" s="81" t="str">
        <f t="shared" si="53"/>
        <v>November</v>
      </c>
      <c r="AL18" s="81">
        <f t="shared" si="54"/>
        <v>19</v>
      </c>
      <c r="AM18" s="81" t="str">
        <f t="shared" si="17"/>
        <v>='November 19'!</v>
      </c>
      <c r="AN18" s="81" t="str">
        <f t="shared" si="7"/>
        <v>='November 19'!C27</v>
      </c>
      <c r="AO18" s="81" t="s">
        <v>1018</v>
      </c>
      <c r="AR18" s="81" t="s">
        <v>78</v>
      </c>
      <c r="AS18" s="83" t="str">
        <f t="shared" si="1"/>
        <v>='November 19'!C6</v>
      </c>
      <c r="AT18" s="83">
        <f t="shared" si="2"/>
        <v>0</v>
      </c>
      <c r="AV18" s="81" t="s">
        <v>379</v>
      </c>
      <c r="AW18" s="81" t="s">
        <v>1472</v>
      </c>
      <c r="AX18" s="81" t="s">
        <v>1473</v>
      </c>
      <c r="AY18" s="81" t="s">
        <v>1474</v>
      </c>
      <c r="AZ18" s="81" t="s">
        <v>1475</v>
      </c>
      <c r="BA18" s="81" t="s">
        <v>1476</v>
      </c>
      <c r="BB18" s="81" t="s">
        <v>1477</v>
      </c>
      <c r="BC18" s="81" t="s">
        <v>1478</v>
      </c>
      <c r="BD18" s="81" t="s">
        <v>1479</v>
      </c>
      <c r="BE18" s="81" t="s">
        <v>1480</v>
      </c>
      <c r="BF18" s="81" t="s">
        <v>1481</v>
      </c>
      <c r="BG18" s="81" t="s">
        <v>1482</v>
      </c>
      <c r="BH18" s="81" t="s">
        <v>4635</v>
      </c>
      <c r="BI18" s="81" t="s">
        <v>4939</v>
      </c>
      <c r="BJ18" s="81" t="s">
        <v>78</v>
      </c>
      <c r="BL18" s="81" t="s">
        <v>682</v>
      </c>
      <c r="BM18" s="81">
        <v>15</v>
      </c>
      <c r="BN18" s="81" t="str">
        <f t="shared" si="3"/>
        <v>='November 19'!C12</v>
      </c>
      <c r="BP18" s="81" t="str">
        <f t="shared" ca="1" si="18"/>
        <v/>
      </c>
      <c r="BQ18" t="e">
        <v>#REF!</v>
      </c>
      <c r="BR18" s="84" t="e">
        <f t="shared" si="8"/>
        <v>#REF!</v>
      </c>
      <c r="BS18" s="84" t="e">
        <f t="shared" si="9"/>
        <v>#REF!</v>
      </c>
      <c r="BU18" s="81" t="s">
        <v>1</v>
      </c>
      <c r="BV18" s="92">
        <f>B12</f>
        <v>500</v>
      </c>
      <c r="BW18" s="88">
        <f>C12</f>
        <v>0.25</v>
      </c>
      <c r="CA18" s="81" t="s">
        <v>2</v>
      </c>
      <c r="CB18" s="81" t="e">
        <f t="shared" si="19"/>
        <v>#REF!</v>
      </c>
      <c r="CC18" s="81" t="e">
        <f t="shared" si="20"/>
        <v>#REF!</v>
      </c>
      <c r="CD18" s="81" t="s">
        <v>16</v>
      </c>
      <c r="CE18" s="81" t="e">
        <f t="shared" si="21"/>
        <v>#REF!</v>
      </c>
      <c r="CF18" s="81" t="e">
        <f t="shared" si="22"/>
        <v>#REF!</v>
      </c>
      <c r="CG18" s="81" t="s">
        <v>5</v>
      </c>
      <c r="CH18" s="81" t="e">
        <f t="shared" si="23"/>
        <v>#REF!</v>
      </c>
      <c r="CI18" s="81" t="e">
        <f t="shared" si="24"/>
        <v>#REF!</v>
      </c>
      <c r="CJ18" s="81" t="s">
        <v>18</v>
      </c>
      <c r="CK18" s="81" t="e">
        <f t="shared" si="25"/>
        <v>#REF!</v>
      </c>
      <c r="CL18" s="81" t="e">
        <f t="shared" si="26"/>
        <v>#REF!</v>
      </c>
      <c r="CM18" s="81" t="s">
        <v>4</v>
      </c>
      <c r="CN18" s="81" t="e">
        <f t="shared" si="27"/>
        <v>#REF!</v>
      </c>
      <c r="CO18" s="81" t="e">
        <f t="shared" si="28"/>
        <v>#REF!</v>
      </c>
      <c r="CP18" s="81" t="s">
        <v>22</v>
      </c>
      <c r="CQ18" s="81" t="e">
        <f t="shared" si="29"/>
        <v>#REF!</v>
      </c>
      <c r="CR18" s="81" t="e">
        <f t="shared" si="30"/>
        <v>#REF!</v>
      </c>
      <c r="CS18" s="81" t="s">
        <v>21</v>
      </c>
      <c r="CT18" s="81" t="e">
        <f t="shared" si="31"/>
        <v>#REF!</v>
      </c>
      <c r="CU18" s="81" t="e">
        <f t="shared" si="32"/>
        <v>#REF!</v>
      </c>
      <c r="CV18" s="81" t="s">
        <v>998</v>
      </c>
      <c r="CW18" s="81" t="e">
        <f t="shared" si="33"/>
        <v>#REF!</v>
      </c>
      <c r="CX18" s="81" t="e">
        <f t="shared" si="34"/>
        <v>#REF!</v>
      </c>
      <c r="CY18" s="81" t="s">
        <v>19</v>
      </c>
      <c r="CZ18" s="81" t="e">
        <f t="shared" si="35"/>
        <v>#REF!</v>
      </c>
      <c r="DA18" s="81" t="e">
        <f t="shared" si="36"/>
        <v>#REF!</v>
      </c>
      <c r="DB18" s="81" t="s">
        <v>20</v>
      </c>
      <c r="DC18" s="81" t="e">
        <f t="shared" si="37"/>
        <v>#REF!</v>
      </c>
      <c r="DD18" s="81" t="e">
        <f t="shared" si="38"/>
        <v>#REF!</v>
      </c>
      <c r="DE18" s="81" t="s">
        <v>23</v>
      </c>
      <c r="DF18" s="81" t="e">
        <f t="shared" si="39"/>
        <v>#REF!</v>
      </c>
      <c r="DG18" s="81" t="e">
        <f t="shared" si="40"/>
        <v>#REF!</v>
      </c>
      <c r="DH18" s="81" t="s">
        <v>15</v>
      </c>
      <c r="DI18" s="81" t="e">
        <f t="shared" si="41"/>
        <v>#REF!</v>
      </c>
      <c r="DJ18" s="81" t="e">
        <f t="shared" si="42"/>
        <v>#REF!</v>
      </c>
      <c r="DK18" s="81" t="s">
        <v>5240</v>
      </c>
      <c r="DL18" s="81" t="e">
        <f t="shared" si="43"/>
        <v>#REF!</v>
      </c>
      <c r="DM18" s="81" t="e">
        <f t="shared" si="44"/>
        <v>#REF!</v>
      </c>
      <c r="DN18" s="81" t="s">
        <v>7</v>
      </c>
      <c r="DO18" s="81" t="e">
        <f t="shared" si="45"/>
        <v>#REF!</v>
      </c>
      <c r="DP18" s="81" t="e">
        <f t="shared" si="46"/>
        <v>#REF!</v>
      </c>
      <c r="DQ18" s="81" t="s">
        <v>1</v>
      </c>
      <c r="DR18" s="81" t="e">
        <f t="shared" si="47"/>
        <v>#REF!</v>
      </c>
      <c r="DS18" s="81" t="e">
        <f t="shared" si="48"/>
        <v>#REF!</v>
      </c>
    </row>
    <row r="19" spans="1:123" x14ac:dyDescent="0.3">
      <c r="A19" s="74" t="s">
        <v>16</v>
      </c>
      <c r="B19" s="47">
        <v>1250</v>
      </c>
      <c r="C19" s="48">
        <v>0.25</v>
      </c>
      <c r="D19" s="55"/>
      <c r="N19" s="81">
        <f>IF(Q20=0,IF(Q19=0,,"x"),)</f>
        <v>0</v>
      </c>
      <c r="O19" s="81">
        <f t="shared" si="49"/>
        <v>0</v>
      </c>
      <c r="P19" s="81">
        <f t="shared" si="13"/>
        <v>0</v>
      </c>
      <c r="Q19" s="81">
        <f t="shared" si="50"/>
        <v>0</v>
      </c>
      <c r="R19" s="81">
        <f>IF(W19="",,SUM($W$4:W19))</f>
        <v>0</v>
      </c>
      <c r="S19" s="81">
        <f t="shared" si="14"/>
        <v>0</v>
      </c>
      <c r="T19" s="81">
        <f t="shared" si="51"/>
        <v>0</v>
      </c>
      <c r="U19" s="81">
        <f t="shared" si="15"/>
        <v>0</v>
      </c>
      <c r="V19" s="81" t="str">
        <f t="shared" ca="1" si="16"/>
        <v/>
      </c>
      <c r="W19" s="87"/>
      <c r="X19" s="81">
        <f t="shared" si="4"/>
        <v>0</v>
      </c>
      <c r="Y19" s="81">
        <f t="shared" si="5"/>
        <v>0</v>
      </c>
      <c r="Z19" s="81" t="str">
        <f t="shared" si="52"/>
        <v>Transport</v>
      </c>
      <c r="AC19" s="81" t="s">
        <v>5556</v>
      </c>
      <c r="AD19" s="81">
        <f>SUM(emptySheet:Basmånad!C25)</f>
        <v>95427</v>
      </c>
      <c r="AE19" s="81">
        <v>19</v>
      </c>
      <c r="AI19" s="81">
        <v>16</v>
      </c>
      <c r="AJ19" s="81" t="str">
        <f t="shared" si="0"/>
        <v>December 19</v>
      </c>
      <c r="AK19" s="81" t="str">
        <f t="shared" si="53"/>
        <v>December</v>
      </c>
      <c r="AL19" s="81">
        <f t="shared" si="54"/>
        <v>19</v>
      </c>
      <c r="AM19" s="81" t="str">
        <f t="shared" si="17"/>
        <v>='December 19'!</v>
      </c>
      <c r="AN19" s="81" t="str">
        <f t="shared" si="7"/>
        <v>='December 19'!C27</v>
      </c>
      <c r="AO19" s="81" t="s">
        <v>1019</v>
      </c>
      <c r="AR19" s="81" t="s">
        <v>79</v>
      </c>
      <c r="AS19" s="83" t="str">
        <f t="shared" si="1"/>
        <v>='December 19'!C6</v>
      </c>
      <c r="AT19" s="83">
        <f t="shared" si="2"/>
        <v>0</v>
      </c>
      <c r="AV19" s="81" t="s">
        <v>380</v>
      </c>
      <c r="AW19" s="81" t="s">
        <v>1483</v>
      </c>
      <c r="AX19" s="81" t="s">
        <v>1484</v>
      </c>
      <c r="AY19" s="81" t="s">
        <v>1485</v>
      </c>
      <c r="AZ19" s="81" t="s">
        <v>1486</v>
      </c>
      <c r="BA19" s="81" t="s">
        <v>1487</v>
      </c>
      <c r="BB19" s="81" t="s">
        <v>1488</v>
      </c>
      <c r="BC19" s="81" t="s">
        <v>1489</v>
      </c>
      <c r="BD19" s="81" t="s">
        <v>1490</v>
      </c>
      <c r="BE19" s="81" t="s">
        <v>1491</v>
      </c>
      <c r="BF19" s="81" t="s">
        <v>1492</v>
      </c>
      <c r="BG19" s="81" t="s">
        <v>1493</v>
      </c>
      <c r="BH19" s="81" t="s">
        <v>4636</v>
      </c>
      <c r="BI19" s="81" t="s">
        <v>4940</v>
      </c>
      <c r="BJ19" s="81" t="s">
        <v>79</v>
      </c>
      <c r="BL19" s="81" t="s">
        <v>683</v>
      </c>
      <c r="BM19" s="81">
        <v>16</v>
      </c>
      <c r="BN19" s="81" t="str">
        <f t="shared" si="3"/>
        <v>='December 19'!C12</v>
      </c>
      <c r="BP19" s="81" t="str">
        <f t="shared" ca="1" si="18"/>
        <v/>
      </c>
      <c r="BQ19" s="87" t="e">
        <f>#REF!</f>
        <v>#REF!</v>
      </c>
      <c r="BR19" s="84" t="e">
        <f t="shared" si="8"/>
        <v>#REF!</v>
      </c>
      <c r="BS19" s="84" t="e">
        <f t="shared" si="9"/>
        <v>#REF!</v>
      </c>
      <c r="CA19" s="81" t="s">
        <v>2</v>
      </c>
      <c r="CB19" s="81" t="e">
        <f t="shared" si="19"/>
        <v>#REF!</v>
      </c>
      <c r="CC19" s="81" t="e">
        <f t="shared" si="20"/>
        <v>#REF!</v>
      </c>
      <c r="CD19" s="81" t="s">
        <v>16</v>
      </c>
      <c r="CE19" s="81" t="e">
        <f t="shared" si="21"/>
        <v>#REF!</v>
      </c>
      <c r="CF19" s="81" t="e">
        <f t="shared" si="22"/>
        <v>#REF!</v>
      </c>
      <c r="CG19" s="81" t="s">
        <v>5</v>
      </c>
      <c r="CH19" s="81" t="e">
        <f t="shared" si="23"/>
        <v>#REF!</v>
      </c>
      <c r="CI19" s="81" t="e">
        <f t="shared" si="24"/>
        <v>#REF!</v>
      </c>
      <c r="CJ19" s="81" t="s">
        <v>18</v>
      </c>
      <c r="CK19" s="81" t="e">
        <f t="shared" si="25"/>
        <v>#REF!</v>
      </c>
      <c r="CL19" s="81" t="e">
        <f t="shared" si="26"/>
        <v>#REF!</v>
      </c>
      <c r="CM19" s="81" t="s">
        <v>4</v>
      </c>
      <c r="CN19" s="81" t="e">
        <f t="shared" si="27"/>
        <v>#REF!</v>
      </c>
      <c r="CO19" s="81" t="e">
        <f t="shared" si="28"/>
        <v>#REF!</v>
      </c>
      <c r="CP19" s="81" t="s">
        <v>22</v>
      </c>
      <c r="CQ19" s="81" t="e">
        <f t="shared" si="29"/>
        <v>#REF!</v>
      </c>
      <c r="CR19" s="81" t="e">
        <f t="shared" si="30"/>
        <v>#REF!</v>
      </c>
      <c r="CS19" s="81" t="s">
        <v>21</v>
      </c>
      <c r="CT19" s="81" t="e">
        <f t="shared" si="31"/>
        <v>#REF!</v>
      </c>
      <c r="CU19" s="81" t="e">
        <f t="shared" si="32"/>
        <v>#REF!</v>
      </c>
      <c r="CV19" s="81" t="s">
        <v>998</v>
      </c>
      <c r="CW19" s="81" t="e">
        <f t="shared" si="33"/>
        <v>#REF!</v>
      </c>
      <c r="CX19" s="81" t="e">
        <f t="shared" si="34"/>
        <v>#REF!</v>
      </c>
      <c r="CY19" s="81" t="s">
        <v>19</v>
      </c>
      <c r="CZ19" s="81" t="e">
        <f t="shared" si="35"/>
        <v>#REF!</v>
      </c>
      <c r="DA19" s="81" t="e">
        <f t="shared" si="36"/>
        <v>#REF!</v>
      </c>
      <c r="DB19" s="81" t="s">
        <v>20</v>
      </c>
      <c r="DC19" s="81" t="e">
        <f t="shared" si="37"/>
        <v>#REF!</v>
      </c>
      <c r="DD19" s="81" t="e">
        <f t="shared" si="38"/>
        <v>#REF!</v>
      </c>
      <c r="DE19" s="81" t="s">
        <v>23</v>
      </c>
      <c r="DF19" s="81" t="e">
        <f t="shared" si="39"/>
        <v>#REF!</v>
      </c>
      <c r="DG19" s="81" t="e">
        <f t="shared" si="40"/>
        <v>#REF!</v>
      </c>
      <c r="DH19" s="81" t="s">
        <v>15</v>
      </c>
      <c r="DI19" s="81" t="e">
        <f t="shared" si="41"/>
        <v>#REF!</v>
      </c>
      <c r="DJ19" s="81" t="e">
        <f t="shared" si="42"/>
        <v>#REF!</v>
      </c>
      <c r="DK19" s="81" t="s">
        <v>5241</v>
      </c>
      <c r="DL19" s="81" t="e">
        <f t="shared" si="43"/>
        <v>#REF!</v>
      </c>
      <c r="DM19" s="81" t="e">
        <f t="shared" si="44"/>
        <v>#REF!</v>
      </c>
      <c r="DN19" s="81" t="s">
        <v>7</v>
      </c>
      <c r="DO19" s="81" t="e">
        <f t="shared" si="45"/>
        <v>#REF!</v>
      </c>
      <c r="DP19" s="81" t="e">
        <f t="shared" si="46"/>
        <v>#REF!</v>
      </c>
      <c r="DQ19" s="81" t="s">
        <v>1</v>
      </c>
      <c r="DR19" s="81" t="e">
        <f t="shared" si="47"/>
        <v>#REF!</v>
      </c>
      <c r="DS19" s="81" t="e">
        <f t="shared" si="48"/>
        <v>#REF!</v>
      </c>
    </row>
    <row r="20" spans="1:123" x14ac:dyDescent="0.3">
      <c r="A20" s="74" t="s">
        <v>5</v>
      </c>
      <c r="B20" s="47">
        <v>400</v>
      </c>
      <c r="C20" s="48">
        <v>0.25</v>
      </c>
      <c r="N20" s="81">
        <f>IF(Q21=0,IF(Q20=0,,"x"),)</f>
        <v>0</v>
      </c>
      <c r="O20" s="81">
        <f t="shared" si="49"/>
        <v>0</v>
      </c>
      <c r="P20" s="81">
        <f t="shared" si="13"/>
        <v>0</v>
      </c>
      <c r="Q20" s="81">
        <f t="shared" si="50"/>
        <v>0</v>
      </c>
      <c r="R20" s="81">
        <f>IF(W20="",,SUM($W$4:W20))</f>
        <v>0</v>
      </c>
      <c r="S20" s="81">
        <f t="shared" si="14"/>
        <v>0</v>
      </c>
      <c r="T20" s="81">
        <f t="shared" si="51"/>
        <v>0</v>
      </c>
      <c r="U20" s="81">
        <f t="shared" si="15"/>
        <v>0</v>
      </c>
      <c r="V20" s="81" t="str">
        <f t="shared" ca="1" si="16"/>
        <v/>
      </c>
      <c r="W20" s="87"/>
      <c r="X20" s="81">
        <f t="shared" si="4"/>
        <v>0</v>
      </c>
      <c r="Y20" s="81">
        <f t="shared" si="5"/>
        <v>0</v>
      </c>
      <c r="Z20" s="81" t="str">
        <f t="shared" si="52"/>
        <v>Sport och gym</v>
      </c>
      <c r="AC20" s="81" t="s">
        <v>1</v>
      </c>
      <c r="AD20" s="81">
        <f>SUM(emptySheet:Basmånad!C6)</f>
        <v>29218</v>
      </c>
      <c r="AE20" s="81">
        <v>20</v>
      </c>
      <c r="AF20" s="86" t="s">
        <v>999</v>
      </c>
      <c r="AI20" s="81">
        <v>17</v>
      </c>
      <c r="AJ20" s="81" t="str">
        <f t="shared" si="0"/>
        <v>Januari 20</v>
      </c>
      <c r="AK20" s="81" t="str">
        <f t="shared" si="53"/>
        <v>Januari</v>
      </c>
      <c r="AL20" s="81">
        <f t="shared" si="54"/>
        <v>20</v>
      </c>
      <c r="AM20" s="81" t="str">
        <f t="shared" si="17"/>
        <v>='Januari 20'!</v>
      </c>
      <c r="AN20" s="81" t="str">
        <f t="shared" si="7"/>
        <v>='Januari 20'!C27</v>
      </c>
      <c r="AO20" s="81" t="s">
        <v>1020</v>
      </c>
      <c r="AR20" s="81" t="s">
        <v>80</v>
      </c>
      <c r="AS20" s="83" t="str">
        <f t="shared" si="1"/>
        <v>='Januari 20'!C6</v>
      </c>
      <c r="AT20" s="83">
        <f t="shared" si="2"/>
        <v>0</v>
      </c>
      <c r="AV20" s="81" t="s">
        <v>381</v>
      </c>
      <c r="AW20" s="81" t="s">
        <v>1494</v>
      </c>
      <c r="AX20" s="81" t="s">
        <v>1495</v>
      </c>
      <c r="AY20" s="81" t="s">
        <v>1496</v>
      </c>
      <c r="AZ20" s="81" t="s">
        <v>1497</v>
      </c>
      <c r="BA20" s="81" t="s">
        <v>1498</v>
      </c>
      <c r="BB20" s="81" t="s">
        <v>1499</v>
      </c>
      <c r="BC20" s="81" t="s">
        <v>1500</v>
      </c>
      <c r="BD20" s="81" t="s">
        <v>1501</v>
      </c>
      <c r="BE20" s="81" t="s">
        <v>1502</v>
      </c>
      <c r="BF20" s="81" t="s">
        <v>1503</v>
      </c>
      <c r="BG20" s="81" t="s">
        <v>1504</v>
      </c>
      <c r="BH20" s="81" t="s">
        <v>4637</v>
      </c>
      <c r="BI20" s="81" t="s">
        <v>4941</v>
      </c>
      <c r="BJ20" s="81" t="s">
        <v>80</v>
      </c>
      <c r="BL20" s="81" t="s">
        <v>684</v>
      </c>
      <c r="BM20" s="81">
        <v>17</v>
      </c>
      <c r="BN20" s="81" t="str">
        <f t="shared" si="3"/>
        <v>='Januari 20'!C12</v>
      </c>
      <c r="BP20" s="81" t="str">
        <f t="shared" ca="1" si="18"/>
        <v/>
      </c>
      <c r="BQ20" s="87"/>
      <c r="BR20" s="84">
        <f t="shared" si="8"/>
        <v>0</v>
      </c>
      <c r="BS20" s="84">
        <f t="shared" si="9"/>
        <v>0</v>
      </c>
      <c r="CA20" s="81" t="s">
        <v>2</v>
      </c>
      <c r="CB20" s="81">
        <f t="shared" si="19"/>
        <v>0</v>
      </c>
      <c r="CC20" s="81">
        <f t="shared" si="20"/>
        <v>0</v>
      </c>
      <c r="CD20" s="81" t="s">
        <v>16</v>
      </c>
      <c r="CE20" s="81">
        <f t="shared" si="21"/>
        <v>0</v>
      </c>
      <c r="CF20" s="81">
        <f t="shared" si="22"/>
        <v>0</v>
      </c>
      <c r="CG20" s="81" t="s">
        <v>5</v>
      </c>
      <c r="CH20" s="81">
        <f t="shared" si="23"/>
        <v>0</v>
      </c>
      <c r="CI20" s="81">
        <f t="shared" si="24"/>
        <v>0</v>
      </c>
      <c r="CJ20" s="81" t="s">
        <v>18</v>
      </c>
      <c r="CK20" s="81">
        <f t="shared" si="25"/>
        <v>0</v>
      </c>
      <c r="CL20" s="81">
        <f t="shared" si="26"/>
        <v>0</v>
      </c>
      <c r="CM20" s="81" t="s">
        <v>4</v>
      </c>
      <c r="CN20" s="81">
        <f t="shared" si="27"/>
        <v>0</v>
      </c>
      <c r="CO20" s="81">
        <f t="shared" si="28"/>
        <v>0</v>
      </c>
      <c r="CP20" s="81" t="s">
        <v>22</v>
      </c>
      <c r="CQ20" s="81">
        <f t="shared" si="29"/>
        <v>0</v>
      </c>
      <c r="CR20" s="81">
        <f t="shared" si="30"/>
        <v>0</v>
      </c>
      <c r="CS20" s="81" t="s">
        <v>21</v>
      </c>
      <c r="CT20" s="81">
        <f t="shared" si="31"/>
        <v>0</v>
      </c>
      <c r="CU20" s="81">
        <f t="shared" si="32"/>
        <v>0</v>
      </c>
      <c r="CV20" s="81" t="s">
        <v>998</v>
      </c>
      <c r="CW20" s="81">
        <f t="shared" si="33"/>
        <v>0</v>
      </c>
      <c r="CX20" s="81">
        <f t="shared" si="34"/>
        <v>0</v>
      </c>
      <c r="CY20" s="81" t="s">
        <v>19</v>
      </c>
      <c r="CZ20" s="81">
        <f t="shared" si="35"/>
        <v>0</v>
      </c>
      <c r="DA20" s="81">
        <f t="shared" si="36"/>
        <v>0</v>
      </c>
      <c r="DB20" s="81" t="s">
        <v>20</v>
      </c>
      <c r="DC20" s="81">
        <f t="shared" si="37"/>
        <v>0</v>
      </c>
      <c r="DD20" s="81">
        <f t="shared" si="38"/>
        <v>0</v>
      </c>
      <c r="DE20" s="81" t="s">
        <v>23</v>
      </c>
      <c r="DF20" s="81">
        <f t="shared" si="39"/>
        <v>0</v>
      </c>
      <c r="DG20" s="81">
        <f t="shared" si="40"/>
        <v>0</v>
      </c>
      <c r="DH20" s="81" t="s">
        <v>15</v>
      </c>
      <c r="DI20" s="81">
        <f t="shared" si="41"/>
        <v>0</v>
      </c>
      <c r="DJ20" s="81">
        <f t="shared" si="42"/>
        <v>0</v>
      </c>
      <c r="DK20" s="81" t="s">
        <v>5242</v>
      </c>
      <c r="DL20" s="81">
        <f t="shared" si="43"/>
        <v>0</v>
      </c>
      <c r="DM20" s="81">
        <f t="shared" si="44"/>
        <v>0</v>
      </c>
      <c r="DN20" s="81" t="s">
        <v>7</v>
      </c>
      <c r="DO20" s="81">
        <f t="shared" si="45"/>
        <v>0</v>
      </c>
      <c r="DP20" s="81">
        <f t="shared" si="46"/>
        <v>0</v>
      </c>
      <c r="DQ20" s="81" t="s">
        <v>1</v>
      </c>
      <c r="DR20" s="81">
        <f t="shared" si="47"/>
        <v>0</v>
      </c>
      <c r="DS20" s="81">
        <f t="shared" si="48"/>
        <v>0</v>
      </c>
    </row>
    <row r="21" spans="1:123" x14ac:dyDescent="0.3">
      <c r="A21" s="74" t="s">
        <v>5558</v>
      </c>
      <c r="B21" s="47">
        <v>250</v>
      </c>
      <c r="C21" s="48">
        <v>0.25</v>
      </c>
      <c r="N21" s="81">
        <f>IF(Q22=0,IF(Q21=0,,"x"),)</f>
        <v>0</v>
      </c>
      <c r="O21" s="81">
        <f t="shared" si="49"/>
        <v>0</v>
      </c>
      <c r="P21" s="81">
        <f t="shared" si="13"/>
        <v>0</v>
      </c>
      <c r="Q21" s="81">
        <f t="shared" si="50"/>
        <v>0</v>
      </c>
      <c r="R21" s="81">
        <f>IF(W21="",,SUM($W$4:W21))</f>
        <v>0</v>
      </c>
      <c r="S21" s="81">
        <f t="shared" si="14"/>
        <v>0</v>
      </c>
      <c r="T21" s="81">
        <f t="shared" si="51"/>
        <v>0</v>
      </c>
      <c r="U21" s="81">
        <f t="shared" si="15"/>
        <v>0</v>
      </c>
      <c r="V21" s="81" t="str">
        <f t="shared" ca="1" si="16"/>
        <v/>
      </c>
      <c r="W21" s="87"/>
      <c r="X21" s="81">
        <f t="shared" si="4"/>
        <v>0</v>
      </c>
      <c r="Y21" s="81">
        <f t="shared" si="5"/>
        <v>0</v>
      </c>
      <c r="Z21" s="81" t="str">
        <f t="shared" si="52"/>
        <v>Date night</v>
      </c>
      <c r="AC21" s="81" t="s">
        <v>665</v>
      </c>
      <c r="AE21" s="81">
        <v>21</v>
      </c>
      <c r="AF21" s="81">
        <f>SUM(W:W)</f>
        <v>38452</v>
      </c>
      <c r="AG21" s="81" t="s">
        <v>1000</v>
      </c>
      <c r="AI21" s="81">
        <v>18</v>
      </c>
      <c r="AJ21" s="81" t="str">
        <f t="shared" si="0"/>
        <v>Februari 20</v>
      </c>
      <c r="AK21" s="81" t="str">
        <f t="shared" si="53"/>
        <v>Februari</v>
      </c>
      <c r="AL21" s="81">
        <f t="shared" si="54"/>
        <v>20</v>
      </c>
      <c r="AM21" s="81" t="str">
        <f t="shared" si="17"/>
        <v>='Februari 20'!</v>
      </c>
      <c r="AN21" s="81" t="str">
        <f t="shared" si="7"/>
        <v>='Februari 20'!C27</v>
      </c>
      <c r="AO21" s="81" t="s">
        <v>1021</v>
      </c>
      <c r="AR21" s="81" t="s">
        <v>81</v>
      </c>
      <c r="AS21" s="83" t="str">
        <f t="shared" si="1"/>
        <v>='Februari 20'!C6</v>
      </c>
      <c r="AT21" s="83">
        <f t="shared" si="2"/>
        <v>0</v>
      </c>
      <c r="AV21" s="81" t="s">
        <v>382</v>
      </c>
      <c r="AW21" s="81" t="s">
        <v>1505</v>
      </c>
      <c r="AX21" s="81" t="s">
        <v>1506</v>
      </c>
      <c r="AY21" s="81" t="s">
        <v>1507</v>
      </c>
      <c r="AZ21" s="81" t="s">
        <v>1508</v>
      </c>
      <c r="BA21" s="81" t="s">
        <v>1509</v>
      </c>
      <c r="BB21" s="81" t="s">
        <v>1510</v>
      </c>
      <c r="BC21" s="81" t="s">
        <v>1511</v>
      </c>
      <c r="BD21" s="81" t="s">
        <v>1512</v>
      </c>
      <c r="BE21" s="81" t="s">
        <v>1513</v>
      </c>
      <c r="BF21" s="81" t="s">
        <v>1514</v>
      </c>
      <c r="BG21" s="81" t="s">
        <v>1515</v>
      </c>
      <c r="BH21" s="81" t="s">
        <v>4638</v>
      </c>
      <c r="BI21" s="81" t="s">
        <v>4942</v>
      </c>
      <c r="BJ21" s="81" t="s">
        <v>81</v>
      </c>
      <c r="BL21" s="81" t="s">
        <v>685</v>
      </c>
      <c r="BM21" s="81">
        <v>18</v>
      </c>
      <c r="BN21" s="81" t="str">
        <f t="shared" si="3"/>
        <v>='Februari 20'!C12</v>
      </c>
      <c r="BP21" s="81" t="str">
        <f t="shared" ca="1" si="18"/>
        <v/>
      </c>
      <c r="BQ21" s="87"/>
      <c r="BR21" s="84">
        <f t="shared" si="8"/>
        <v>0</v>
      </c>
      <c r="BS21" s="84">
        <f t="shared" si="9"/>
        <v>0</v>
      </c>
      <c r="CA21" s="81" t="s">
        <v>2</v>
      </c>
      <c r="CB21" s="81">
        <f t="shared" si="19"/>
        <v>0</v>
      </c>
      <c r="CC21" s="81">
        <f t="shared" si="20"/>
        <v>0</v>
      </c>
      <c r="CD21" s="81" t="s">
        <v>16</v>
      </c>
      <c r="CE21" s="81">
        <f t="shared" si="21"/>
        <v>0</v>
      </c>
      <c r="CF21" s="81">
        <f t="shared" si="22"/>
        <v>0</v>
      </c>
      <c r="CG21" s="81" t="s">
        <v>5</v>
      </c>
      <c r="CH21" s="81">
        <f t="shared" si="23"/>
        <v>0</v>
      </c>
      <c r="CI21" s="81">
        <f t="shared" si="24"/>
        <v>0</v>
      </c>
      <c r="CJ21" s="81" t="s">
        <v>18</v>
      </c>
      <c r="CK21" s="81">
        <f t="shared" si="25"/>
        <v>0</v>
      </c>
      <c r="CL21" s="81">
        <f t="shared" si="26"/>
        <v>0</v>
      </c>
      <c r="CM21" s="81" t="s">
        <v>4</v>
      </c>
      <c r="CN21" s="81">
        <f t="shared" si="27"/>
        <v>0</v>
      </c>
      <c r="CO21" s="81">
        <f t="shared" si="28"/>
        <v>0</v>
      </c>
      <c r="CP21" s="81" t="s">
        <v>22</v>
      </c>
      <c r="CQ21" s="81">
        <f t="shared" si="29"/>
        <v>0</v>
      </c>
      <c r="CR21" s="81">
        <f t="shared" si="30"/>
        <v>0</v>
      </c>
      <c r="CS21" s="81" t="s">
        <v>21</v>
      </c>
      <c r="CT21" s="81">
        <f t="shared" si="31"/>
        <v>0</v>
      </c>
      <c r="CU21" s="81">
        <f t="shared" si="32"/>
        <v>0</v>
      </c>
      <c r="CV21" s="81" t="s">
        <v>998</v>
      </c>
      <c r="CW21" s="81">
        <f t="shared" si="33"/>
        <v>0</v>
      </c>
      <c r="CX21" s="81">
        <f t="shared" si="34"/>
        <v>0</v>
      </c>
      <c r="CY21" s="81" t="s">
        <v>19</v>
      </c>
      <c r="CZ21" s="81">
        <f t="shared" si="35"/>
        <v>0</v>
      </c>
      <c r="DA21" s="81">
        <f t="shared" si="36"/>
        <v>0</v>
      </c>
      <c r="DB21" s="81" t="s">
        <v>20</v>
      </c>
      <c r="DC21" s="81">
        <f t="shared" si="37"/>
        <v>0</v>
      </c>
      <c r="DD21" s="81">
        <f t="shared" si="38"/>
        <v>0</v>
      </c>
      <c r="DE21" s="81" t="s">
        <v>23</v>
      </c>
      <c r="DF21" s="81">
        <f t="shared" si="39"/>
        <v>0</v>
      </c>
      <c r="DG21" s="81">
        <f t="shared" si="40"/>
        <v>0</v>
      </c>
      <c r="DH21" s="81" t="s">
        <v>15</v>
      </c>
      <c r="DI21" s="81">
        <f t="shared" si="41"/>
        <v>0</v>
      </c>
      <c r="DJ21" s="81">
        <f t="shared" si="42"/>
        <v>0</v>
      </c>
      <c r="DK21" s="81" t="s">
        <v>5243</v>
      </c>
      <c r="DL21" s="81">
        <f t="shared" si="43"/>
        <v>0</v>
      </c>
      <c r="DM21" s="81">
        <f t="shared" si="44"/>
        <v>0</v>
      </c>
      <c r="DN21" s="81" t="s">
        <v>7</v>
      </c>
      <c r="DO21" s="81">
        <f t="shared" si="45"/>
        <v>0</v>
      </c>
      <c r="DP21" s="81">
        <f t="shared" si="46"/>
        <v>0</v>
      </c>
      <c r="DQ21" s="81" t="s">
        <v>1</v>
      </c>
      <c r="DR21" s="81">
        <f t="shared" si="47"/>
        <v>0</v>
      </c>
      <c r="DS21" s="81">
        <f t="shared" si="48"/>
        <v>0</v>
      </c>
    </row>
    <row r="22" spans="1:123" x14ac:dyDescent="0.3">
      <c r="A22" s="74" t="s">
        <v>4</v>
      </c>
      <c r="B22" s="47">
        <v>300</v>
      </c>
      <c r="C22" s="48">
        <v>0.25</v>
      </c>
      <c r="N22" s="81">
        <f>IF(Q23=0,IF(Q22=0,,"x"),)</f>
        <v>0</v>
      </c>
      <c r="O22" s="81">
        <f t="shared" si="49"/>
        <v>0</v>
      </c>
      <c r="P22" s="81">
        <f t="shared" si="13"/>
        <v>0</v>
      </c>
      <c r="Q22" s="81">
        <f t="shared" si="50"/>
        <v>0</v>
      </c>
      <c r="R22" s="81">
        <f>IF(W22="",,SUM($W$4:W22))</f>
        <v>0</v>
      </c>
      <c r="S22" s="81">
        <f t="shared" si="14"/>
        <v>0</v>
      </c>
      <c r="T22" s="81">
        <f t="shared" si="51"/>
        <v>0</v>
      </c>
      <c r="U22" s="81">
        <f t="shared" si="15"/>
        <v>0</v>
      </c>
      <c r="V22" s="81" t="str">
        <f t="shared" ca="1" si="16"/>
        <v/>
      </c>
      <c r="W22" s="87"/>
      <c r="X22" s="81">
        <f t="shared" si="4"/>
        <v>0</v>
      </c>
      <c r="Y22" s="81">
        <f t="shared" si="5"/>
        <v>0</v>
      </c>
      <c r="Z22" s="81" t="str">
        <f t="shared" si="52"/>
        <v>Godis och snacks</v>
      </c>
      <c r="AC22" s="81" t="str">
        <f>""</f>
        <v/>
      </c>
      <c r="AE22" s="81">
        <v>22</v>
      </c>
      <c r="AI22" s="81">
        <v>19</v>
      </c>
      <c r="AJ22" s="81" t="str">
        <f t="shared" si="0"/>
        <v>Mars 20</v>
      </c>
      <c r="AK22" s="81" t="str">
        <f t="shared" si="53"/>
        <v>Mars</v>
      </c>
      <c r="AL22" s="81">
        <f t="shared" si="54"/>
        <v>20</v>
      </c>
      <c r="AM22" s="81" t="str">
        <f t="shared" si="17"/>
        <v>='Mars 20'!</v>
      </c>
      <c r="AN22" s="81" t="str">
        <f t="shared" si="7"/>
        <v>='Mars 20'!C27</v>
      </c>
      <c r="AO22" s="81" t="s">
        <v>1022</v>
      </c>
      <c r="AR22" s="81" t="s">
        <v>82</v>
      </c>
      <c r="AS22" s="83" t="str">
        <f t="shared" si="1"/>
        <v>='Mars 20'!C6</v>
      </c>
      <c r="AT22" s="83">
        <f t="shared" si="2"/>
        <v>0</v>
      </c>
      <c r="AV22" s="81" t="s">
        <v>383</v>
      </c>
      <c r="AW22" s="81" t="s">
        <v>1516</v>
      </c>
      <c r="AX22" s="81" t="s">
        <v>1517</v>
      </c>
      <c r="AY22" s="81" t="s">
        <v>1518</v>
      </c>
      <c r="AZ22" s="81" t="s">
        <v>1519</v>
      </c>
      <c r="BA22" s="81" t="s">
        <v>1520</v>
      </c>
      <c r="BB22" s="81" t="s">
        <v>1521</v>
      </c>
      <c r="BC22" s="81" t="s">
        <v>1522</v>
      </c>
      <c r="BD22" s="81" t="s">
        <v>1523</v>
      </c>
      <c r="BE22" s="81" t="s">
        <v>1524</v>
      </c>
      <c r="BF22" s="81" t="s">
        <v>1525</v>
      </c>
      <c r="BG22" s="81" t="s">
        <v>1526</v>
      </c>
      <c r="BH22" s="81" t="s">
        <v>4639</v>
      </c>
      <c r="BI22" s="81" t="s">
        <v>4943</v>
      </c>
      <c r="BJ22" s="81" t="s">
        <v>82</v>
      </c>
      <c r="BL22" s="81" t="s">
        <v>686</v>
      </c>
      <c r="BM22" s="81">
        <v>19</v>
      </c>
      <c r="BN22" s="81" t="str">
        <f t="shared" si="3"/>
        <v>='Mars 20'!C12</v>
      </c>
      <c r="BP22" s="81" t="str">
        <f t="shared" ca="1" si="18"/>
        <v/>
      </c>
      <c r="BQ22" s="87"/>
      <c r="BR22" s="84">
        <f t="shared" si="8"/>
        <v>0</v>
      </c>
      <c r="BS22" s="84">
        <f t="shared" si="9"/>
        <v>0</v>
      </c>
      <c r="CA22" s="81" t="s">
        <v>2</v>
      </c>
      <c r="CB22" s="81">
        <f t="shared" si="19"/>
        <v>0</v>
      </c>
      <c r="CC22" s="81">
        <f t="shared" si="20"/>
        <v>0</v>
      </c>
      <c r="CD22" s="81" t="s">
        <v>16</v>
      </c>
      <c r="CE22" s="81">
        <f t="shared" si="21"/>
        <v>0</v>
      </c>
      <c r="CF22" s="81">
        <f t="shared" si="22"/>
        <v>0</v>
      </c>
      <c r="CG22" s="81" t="s">
        <v>5</v>
      </c>
      <c r="CH22" s="81">
        <f t="shared" si="23"/>
        <v>0</v>
      </c>
      <c r="CI22" s="81">
        <f t="shared" si="24"/>
        <v>0</v>
      </c>
      <c r="CJ22" s="81" t="s">
        <v>18</v>
      </c>
      <c r="CK22" s="81">
        <f t="shared" si="25"/>
        <v>0</v>
      </c>
      <c r="CL22" s="81">
        <f t="shared" si="26"/>
        <v>0</v>
      </c>
      <c r="CM22" s="81" t="s">
        <v>4</v>
      </c>
      <c r="CN22" s="81">
        <f t="shared" si="27"/>
        <v>0</v>
      </c>
      <c r="CO22" s="81">
        <f t="shared" si="28"/>
        <v>0</v>
      </c>
      <c r="CP22" s="81" t="s">
        <v>22</v>
      </c>
      <c r="CQ22" s="81">
        <f t="shared" si="29"/>
        <v>0</v>
      </c>
      <c r="CR22" s="81">
        <f t="shared" si="30"/>
        <v>0</v>
      </c>
      <c r="CS22" s="81" t="s">
        <v>21</v>
      </c>
      <c r="CT22" s="81">
        <f t="shared" si="31"/>
        <v>0</v>
      </c>
      <c r="CU22" s="81">
        <f t="shared" si="32"/>
        <v>0</v>
      </c>
      <c r="CV22" s="81" t="s">
        <v>998</v>
      </c>
      <c r="CW22" s="81">
        <f t="shared" si="33"/>
        <v>0</v>
      </c>
      <c r="CX22" s="81">
        <f t="shared" si="34"/>
        <v>0</v>
      </c>
      <c r="CY22" s="81" t="s">
        <v>19</v>
      </c>
      <c r="CZ22" s="81">
        <f t="shared" si="35"/>
        <v>0</v>
      </c>
      <c r="DA22" s="81">
        <f t="shared" si="36"/>
        <v>0</v>
      </c>
      <c r="DB22" s="81" t="s">
        <v>20</v>
      </c>
      <c r="DC22" s="81">
        <f t="shared" si="37"/>
        <v>0</v>
      </c>
      <c r="DD22" s="81">
        <f t="shared" si="38"/>
        <v>0</v>
      </c>
      <c r="DE22" s="81" t="s">
        <v>23</v>
      </c>
      <c r="DF22" s="81">
        <f t="shared" si="39"/>
        <v>0</v>
      </c>
      <c r="DG22" s="81">
        <f t="shared" si="40"/>
        <v>0</v>
      </c>
      <c r="DH22" s="81" t="s">
        <v>15</v>
      </c>
      <c r="DI22" s="81">
        <f t="shared" si="41"/>
        <v>0</v>
      </c>
      <c r="DJ22" s="81">
        <f t="shared" si="42"/>
        <v>0</v>
      </c>
      <c r="DK22" s="81" t="s">
        <v>5244</v>
      </c>
      <c r="DL22" s="81">
        <f t="shared" si="43"/>
        <v>0</v>
      </c>
      <c r="DM22" s="81">
        <f t="shared" si="44"/>
        <v>0</v>
      </c>
      <c r="DN22" s="81" t="s">
        <v>7</v>
      </c>
      <c r="DO22" s="81">
        <f t="shared" si="45"/>
        <v>0</v>
      </c>
      <c r="DP22" s="81">
        <f t="shared" si="46"/>
        <v>0</v>
      </c>
      <c r="DQ22" s="81" t="s">
        <v>1</v>
      </c>
      <c r="DR22" s="81">
        <f t="shared" si="47"/>
        <v>0</v>
      </c>
      <c r="DS22" s="81">
        <f t="shared" si="48"/>
        <v>0</v>
      </c>
    </row>
    <row r="23" spans="1:123" x14ac:dyDescent="0.3">
      <c r="A23" s="74" t="s">
        <v>22</v>
      </c>
      <c r="B23" s="47">
        <v>200</v>
      </c>
      <c r="C23" s="48">
        <v>0.25</v>
      </c>
      <c r="N23" s="81">
        <f>IF(Q24=0,IF(Q23=0,,"x"),)</f>
        <v>0</v>
      </c>
      <c r="O23" s="81">
        <f t="shared" si="49"/>
        <v>0</v>
      </c>
      <c r="P23" s="81">
        <f t="shared" si="13"/>
        <v>0</v>
      </c>
      <c r="Q23" s="81">
        <f t="shared" si="50"/>
        <v>0</v>
      </c>
      <c r="R23" s="81">
        <f>IF(W23="",,SUM($W$4:W23))</f>
        <v>0</v>
      </c>
      <c r="S23" s="81">
        <f t="shared" si="14"/>
        <v>0</v>
      </c>
      <c r="T23" s="81">
        <f t="shared" si="51"/>
        <v>0</v>
      </c>
      <c r="U23" s="81">
        <f t="shared" si="15"/>
        <v>0</v>
      </c>
      <c r="V23" s="81" t="str">
        <f t="shared" ca="1" si="16"/>
        <v/>
      </c>
      <c r="W23" s="83"/>
      <c r="X23" s="81">
        <f t="shared" si="4"/>
        <v>0</v>
      </c>
      <c r="Y23" s="81">
        <f t="shared" si="5"/>
        <v>0</v>
      </c>
      <c r="Z23" s="81" t="str">
        <f t="shared" si="52"/>
        <v>Övriga utgifter</v>
      </c>
      <c r="AC23" s="81">
        <v>1</v>
      </c>
      <c r="AE23" s="81">
        <v>23</v>
      </c>
      <c r="AF23" s="81">
        <f>VLOOKUP(A5,A10:B33,2,FALSE)</f>
        <v>5000</v>
      </c>
      <c r="AI23" s="81">
        <v>20</v>
      </c>
      <c r="AJ23" s="81" t="str">
        <f t="shared" si="0"/>
        <v>April 20</v>
      </c>
      <c r="AK23" s="81" t="str">
        <f t="shared" si="53"/>
        <v>April</v>
      </c>
      <c r="AL23" s="81">
        <f t="shared" si="54"/>
        <v>20</v>
      </c>
      <c r="AM23" s="81" t="str">
        <f t="shared" si="17"/>
        <v>='April 20'!</v>
      </c>
      <c r="AN23" s="81" t="str">
        <f t="shared" si="7"/>
        <v>='April 20'!C27</v>
      </c>
      <c r="AO23" s="81" t="s">
        <v>1023</v>
      </c>
      <c r="AR23" s="81" t="s">
        <v>83</v>
      </c>
      <c r="AS23" s="83" t="str">
        <f t="shared" si="1"/>
        <v>='April 20'!C6</v>
      </c>
      <c r="AT23" s="83">
        <f t="shared" si="2"/>
        <v>0</v>
      </c>
      <c r="AV23" s="81" t="s">
        <v>384</v>
      </c>
      <c r="AW23" s="81" t="s">
        <v>1527</v>
      </c>
      <c r="AX23" s="81" t="s">
        <v>1528</v>
      </c>
      <c r="AY23" s="81" t="s">
        <v>1529</v>
      </c>
      <c r="AZ23" s="81" t="s">
        <v>1530</v>
      </c>
      <c r="BA23" s="81" t="s">
        <v>1531</v>
      </c>
      <c r="BB23" s="81" t="s">
        <v>1532</v>
      </c>
      <c r="BC23" s="81" t="s">
        <v>1533</v>
      </c>
      <c r="BD23" s="81" t="s">
        <v>1534</v>
      </c>
      <c r="BE23" s="81" t="s">
        <v>1535</v>
      </c>
      <c r="BF23" s="81" t="s">
        <v>1536</v>
      </c>
      <c r="BG23" s="81" t="s">
        <v>1537</v>
      </c>
      <c r="BH23" s="81" t="s">
        <v>4640</v>
      </c>
      <c r="BI23" s="81" t="s">
        <v>4944</v>
      </c>
      <c r="BJ23" s="81" t="s">
        <v>83</v>
      </c>
      <c r="BL23" s="81" t="s">
        <v>687</v>
      </c>
      <c r="BM23" s="81">
        <v>20</v>
      </c>
      <c r="BN23" s="81" t="str">
        <f t="shared" si="3"/>
        <v>='April 20'!C12</v>
      </c>
      <c r="BP23" s="81" t="str">
        <f t="shared" ca="1" si="18"/>
        <v/>
      </c>
      <c r="BR23" s="84">
        <f t="shared" si="8"/>
        <v>0</v>
      </c>
      <c r="BS23" s="84">
        <f t="shared" si="9"/>
        <v>0</v>
      </c>
      <c r="CA23" s="81" t="s">
        <v>2</v>
      </c>
      <c r="CB23" s="81">
        <f t="shared" si="19"/>
        <v>0</v>
      </c>
      <c r="CC23" s="81">
        <f t="shared" si="20"/>
        <v>0</v>
      </c>
      <c r="CD23" s="81" t="s">
        <v>16</v>
      </c>
      <c r="CE23" s="81">
        <f t="shared" si="21"/>
        <v>0</v>
      </c>
      <c r="CF23" s="81">
        <f t="shared" si="22"/>
        <v>0</v>
      </c>
      <c r="CG23" s="81" t="s">
        <v>5</v>
      </c>
      <c r="CH23" s="81">
        <f t="shared" si="23"/>
        <v>0</v>
      </c>
      <c r="CI23" s="81">
        <f t="shared" si="24"/>
        <v>0</v>
      </c>
      <c r="CJ23" s="81" t="s">
        <v>18</v>
      </c>
      <c r="CK23" s="81">
        <f t="shared" si="25"/>
        <v>0</v>
      </c>
      <c r="CL23" s="81">
        <f t="shared" si="26"/>
        <v>0</v>
      </c>
      <c r="CM23" s="81" t="s">
        <v>4</v>
      </c>
      <c r="CN23" s="81">
        <f t="shared" si="27"/>
        <v>0</v>
      </c>
      <c r="CO23" s="81">
        <f t="shared" si="28"/>
        <v>0</v>
      </c>
      <c r="CP23" s="81" t="s">
        <v>22</v>
      </c>
      <c r="CQ23" s="81">
        <f t="shared" si="29"/>
        <v>0</v>
      </c>
      <c r="CR23" s="81">
        <f t="shared" si="30"/>
        <v>0</v>
      </c>
      <c r="CS23" s="81" t="s">
        <v>21</v>
      </c>
      <c r="CT23" s="81">
        <f t="shared" si="31"/>
        <v>0</v>
      </c>
      <c r="CU23" s="81">
        <f t="shared" si="32"/>
        <v>0</v>
      </c>
      <c r="CV23" s="81" t="s">
        <v>998</v>
      </c>
      <c r="CW23" s="81">
        <f t="shared" si="33"/>
        <v>0</v>
      </c>
      <c r="CX23" s="81">
        <f t="shared" si="34"/>
        <v>0</v>
      </c>
      <c r="CY23" s="81" t="s">
        <v>19</v>
      </c>
      <c r="CZ23" s="81">
        <f t="shared" si="35"/>
        <v>0</v>
      </c>
      <c r="DA23" s="81">
        <f t="shared" si="36"/>
        <v>0</v>
      </c>
      <c r="DB23" s="81" t="s">
        <v>20</v>
      </c>
      <c r="DC23" s="81">
        <f t="shared" si="37"/>
        <v>0</v>
      </c>
      <c r="DD23" s="81">
        <f t="shared" si="38"/>
        <v>0</v>
      </c>
      <c r="DE23" s="81" t="s">
        <v>23</v>
      </c>
      <c r="DF23" s="81">
        <f t="shared" si="39"/>
        <v>0</v>
      </c>
      <c r="DG23" s="81">
        <f t="shared" si="40"/>
        <v>0</v>
      </c>
      <c r="DH23" s="81" t="s">
        <v>15</v>
      </c>
      <c r="DI23" s="81">
        <f t="shared" si="41"/>
        <v>0</v>
      </c>
      <c r="DJ23" s="81">
        <f t="shared" si="42"/>
        <v>0</v>
      </c>
      <c r="DK23" s="81" t="s">
        <v>5245</v>
      </c>
      <c r="DL23" s="81">
        <f t="shared" si="43"/>
        <v>0</v>
      </c>
      <c r="DM23" s="81">
        <f t="shared" si="44"/>
        <v>0</v>
      </c>
      <c r="DN23" s="81" t="s">
        <v>7</v>
      </c>
      <c r="DO23" s="81">
        <f t="shared" si="45"/>
        <v>0</v>
      </c>
      <c r="DP23" s="81">
        <f t="shared" si="46"/>
        <v>0</v>
      </c>
      <c r="DQ23" s="81" t="s">
        <v>1</v>
      </c>
      <c r="DR23" s="81">
        <f t="shared" si="47"/>
        <v>0</v>
      </c>
      <c r="DS23" s="81">
        <f t="shared" si="48"/>
        <v>0</v>
      </c>
    </row>
    <row r="24" spans="1:123" x14ac:dyDescent="0.3">
      <c r="A24" s="74" t="s">
        <v>21</v>
      </c>
      <c r="B24" s="47">
        <v>300</v>
      </c>
      <c r="C24" s="48">
        <v>0.25</v>
      </c>
      <c r="N24" s="81">
        <f>IF(Q25=0,IF(Q24=0,,"x"),)</f>
        <v>0</v>
      </c>
      <c r="O24" s="81">
        <f t="shared" si="49"/>
        <v>0</v>
      </c>
      <c r="P24" s="81">
        <f t="shared" si="13"/>
        <v>0</v>
      </c>
      <c r="Q24" s="81">
        <f t="shared" si="50"/>
        <v>0</v>
      </c>
      <c r="R24" s="81">
        <f>IF(W24="",,SUM($W$4:W24))</f>
        <v>0</v>
      </c>
      <c r="S24" s="81">
        <f t="shared" si="14"/>
        <v>0</v>
      </c>
      <c r="T24" s="81">
        <f t="shared" si="51"/>
        <v>0</v>
      </c>
      <c r="U24" s="81">
        <f t="shared" si="15"/>
        <v>0</v>
      </c>
      <c r="V24" s="81" t="str">
        <f t="shared" ca="1" si="16"/>
        <v/>
      </c>
      <c r="W24" s="83"/>
      <c r="X24" s="81">
        <f t="shared" si="4"/>
        <v>0</v>
      </c>
      <c r="Y24" s="81">
        <f t="shared" si="5"/>
        <v>0</v>
      </c>
      <c r="Z24" s="81" t="str">
        <f t="shared" si="52"/>
        <v>Totala utgifter</v>
      </c>
      <c r="AC24" s="81">
        <v>2</v>
      </c>
      <c r="AE24" s="81">
        <v>24</v>
      </c>
      <c r="AI24" s="81">
        <v>21</v>
      </c>
      <c r="AJ24" s="81" t="str">
        <f t="shared" si="0"/>
        <v>Maj 20</v>
      </c>
      <c r="AK24" s="81" t="str">
        <f t="shared" si="53"/>
        <v>Maj</v>
      </c>
      <c r="AL24" s="81">
        <f t="shared" si="54"/>
        <v>20</v>
      </c>
      <c r="AM24" s="81" t="str">
        <f t="shared" si="17"/>
        <v>='Maj 20'!</v>
      </c>
      <c r="AN24" s="81" t="str">
        <f t="shared" si="7"/>
        <v>='Maj 20'!C27</v>
      </c>
      <c r="AO24" s="81" t="s">
        <v>1024</v>
      </c>
      <c r="AR24" s="81" t="s">
        <v>84</v>
      </c>
      <c r="AS24" s="83" t="str">
        <f t="shared" si="1"/>
        <v>='Maj 20'!C6</v>
      </c>
      <c r="AT24" s="83">
        <f t="shared" si="2"/>
        <v>0</v>
      </c>
      <c r="AV24" s="81" t="s">
        <v>385</v>
      </c>
      <c r="AW24" s="81" t="s">
        <v>1538</v>
      </c>
      <c r="AX24" s="81" t="s">
        <v>1539</v>
      </c>
      <c r="AY24" s="81" t="s">
        <v>1540</v>
      </c>
      <c r="AZ24" s="81" t="s">
        <v>1541</v>
      </c>
      <c r="BA24" s="81" t="s">
        <v>1542</v>
      </c>
      <c r="BB24" s="81" t="s">
        <v>1543</v>
      </c>
      <c r="BC24" s="81" t="s">
        <v>1544</v>
      </c>
      <c r="BD24" s="81" t="s">
        <v>1545</v>
      </c>
      <c r="BE24" s="81" t="s">
        <v>1546</v>
      </c>
      <c r="BF24" s="81" t="s">
        <v>1547</v>
      </c>
      <c r="BG24" s="81" t="s">
        <v>1548</v>
      </c>
      <c r="BH24" s="81" t="s">
        <v>4641</v>
      </c>
      <c r="BI24" s="81" t="s">
        <v>4945</v>
      </c>
      <c r="BJ24" s="81" t="s">
        <v>84</v>
      </c>
      <c r="BL24" s="81" t="s">
        <v>688</v>
      </c>
      <c r="BM24" s="81">
        <v>21</v>
      </c>
      <c r="BN24" s="81" t="str">
        <f t="shared" si="3"/>
        <v>='Maj 20'!C12</v>
      </c>
      <c r="BP24" s="81" t="str">
        <f t="shared" ca="1" si="18"/>
        <v/>
      </c>
      <c r="BR24" s="84">
        <f t="shared" si="8"/>
        <v>0</v>
      </c>
      <c r="BS24" s="84">
        <f t="shared" si="9"/>
        <v>0</v>
      </c>
      <c r="CA24" s="81" t="s">
        <v>2</v>
      </c>
      <c r="CB24" s="81">
        <f t="shared" si="19"/>
        <v>0</v>
      </c>
      <c r="CC24" s="81">
        <f t="shared" si="20"/>
        <v>0</v>
      </c>
      <c r="CD24" s="81" t="s">
        <v>16</v>
      </c>
      <c r="CE24" s="81">
        <f t="shared" si="21"/>
        <v>0</v>
      </c>
      <c r="CF24" s="81">
        <f t="shared" si="22"/>
        <v>0</v>
      </c>
      <c r="CG24" s="81" t="s">
        <v>5</v>
      </c>
      <c r="CH24" s="81">
        <f t="shared" si="23"/>
        <v>0</v>
      </c>
      <c r="CI24" s="81">
        <f t="shared" si="24"/>
        <v>0</v>
      </c>
      <c r="CJ24" s="81" t="s">
        <v>18</v>
      </c>
      <c r="CK24" s="81">
        <f t="shared" si="25"/>
        <v>0</v>
      </c>
      <c r="CL24" s="81">
        <f t="shared" si="26"/>
        <v>0</v>
      </c>
      <c r="CM24" s="81" t="s">
        <v>4</v>
      </c>
      <c r="CN24" s="81">
        <f t="shared" si="27"/>
        <v>0</v>
      </c>
      <c r="CO24" s="81">
        <f t="shared" si="28"/>
        <v>0</v>
      </c>
      <c r="CP24" s="81" t="s">
        <v>22</v>
      </c>
      <c r="CQ24" s="81">
        <f t="shared" si="29"/>
        <v>0</v>
      </c>
      <c r="CR24" s="81">
        <f t="shared" si="30"/>
        <v>0</v>
      </c>
      <c r="CS24" s="81" t="s">
        <v>21</v>
      </c>
      <c r="CT24" s="81">
        <f t="shared" si="31"/>
        <v>0</v>
      </c>
      <c r="CU24" s="81">
        <f t="shared" si="32"/>
        <v>0</v>
      </c>
      <c r="CV24" s="81" t="s">
        <v>998</v>
      </c>
      <c r="CW24" s="81">
        <f t="shared" si="33"/>
        <v>0</v>
      </c>
      <c r="CX24" s="81">
        <f t="shared" si="34"/>
        <v>0</v>
      </c>
      <c r="CY24" s="81" t="s">
        <v>19</v>
      </c>
      <c r="CZ24" s="81">
        <f t="shared" si="35"/>
        <v>0</v>
      </c>
      <c r="DA24" s="81">
        <f t="shared" si="36"/>
        <v>0</v>
      </c>
      <c r="DB24" s="81" t="s">
        <v>20</v>
      </c>
      <c r="DC24" s="81">
        <f t="shared" si="37"/>
        <v>0</v>
      </c>
      <c r="DD24" s="81">
        <f t="shared" si="38"/>
        <v>0</v>
      </c>
      <c r="DE24" s="81" t="s">
        <v>23</v>
      </c>
      <c r="DF24" s="81">
        <f t="shared" si="39"/>
        <v>0</v>
      </c>
      <c r="DG24" s="81">
        <f t="shared" si="40"/>
        <v>0</v>
      </c>
      <c r="DH24" s="81" t="s">
        <v>15</v>
      </c>
      <c r="DI24" s="81">
        <f t="shared" si="41"/>
        <v>0</v>
      </c>
      <c r="DJ24" s="81">
        <f t="shared" si="42"/>
        <v>0</v>
      </c>
      <c r="DK24" s="81" t="s">
        <v>5246</v>
      </c>
      <c r="DL24" s="81">
        <f t="shared" si="43"/>
        <v>0</v>
      </c>
      <c r="DM24" s="81">
        <f t="shared" si="44"/>
        <v>0</v>
      </c>
      <c r="DN24" s="81" t="s">
        <v>7</v>
      </c>
      <c r="DO24" s="81">
        <f t="shared" si="45"/>
        <v>0</v>
      </c>
      <c r="DP24" s="81">
        <f t="shared" si="46"/>
        <v>0</v>
      </c>
      <c r="DQ24" s="81" t="s">
        <v>1</v>
      </c>
      <c r="DR24" s="81">
        <f t="shared" si="47"/>
        <v>0</v>
      </c>
      <c r="DS24" s="81">
        <f t="shared" si="48"/>
        <v>0</v>
      </c>
    </row>
    <row r="25" spans="1:123" x14ac:dyDescent="0.3">
      <c r="A25" s="74" t="s">
        <v>998</v>
      </c>
      <c r="B25" s="47">
        <v>100</v>
      </c>
      <c r="C25" s="48">
        <v>0.25</v>
      </c>
      <c r="N25" s="81">
        <f>IF(Q26=0,IF(Q25=0,,"x"),)</f>
        <v>0</v>
      </c>
      <c r="O25" s="81">
        <f t="shared" si="49"/>
        <v>0</v>
      </c>
      <c r="P25" s="81">
        <f t="shared" si="13"/>
        <v>0</v>
      </c>
      <c r="Q25" s="81">
        <f t="shared" si="50"/>
        <v>0</v>
      </c>
      <c r="R25" s="81">
        <f>IF(W25="",,SUM($W$4:W25))</f>
        <v>0</v>
      </c>
      <c r="S25" s="81">
        <f t="shared" si="14"/>
        <v>0</v>
      </c>
      <c r="T25" s="81">
        <f t="shared" si="51"/>
        <v>0</v>
      </c>
      <c r="U25" s="81">
        <f t="shared" si="15"/>
        <v>0</v>
      </c>
      <c r="V25" s="81" t="str">
        <f t="shared" ca="1" si="16"/>
        <v/>
      </c>
      <c r="W25" s="83"/>
      <c r="X25" s="81">
        <f t="shared" si="4"/>
        <v>0</v>
      </c>
      <c r="Y25" s="81">
        <f t="shared" si="5"/>
        <v>0</v>
      </c>
      <c r="AC25" s="81">
        <v>3</v>
      </c>
      <c r="AE25" s="81">
        <v>25</v>
      </c>
      <c r="AI25" s="81">
        <v>22</v>
      </c>
      <c r="AJ25" s="81" t="str">
        <f t="shared" si="0"/>
        <v>Juni 20</v>
      </c>
      <c r="AK25" s="81" t="str">
        <f t="shared" si="53"/>
        <v>Juni</v>
      </c>
      <c r="AL25" s="81">
        <f t="shared" si="54"/>
        <v>20</v>
      </c>
      <c r="AM25" s="81" t="str">
        <f t="shared" si="17"/>
        <v>='Juni 20'!</v>
      </c>
      <c r="AN25" s="81" t="str">
        <f t="shared" si="7"/>
        <v>='Juni 20'!C27</v>
      </c>
      <c r="AO25" s="81" t="s">
        <v>1025</v>
      </c>
      <c r="AR25" s="81" t="s">
        <v>85</v>
      </c>
      <c r="AS25" s="83" t="str">
        <f t="shared" si="1"/>
        <v>='Juni 20'!C6</v>
      </c>
      <c r="AT25" s="83">
        <f t="shared" si="2"/>
        <v>0</v>
      </c>
      <c r="AV25" s="81" t="s">
        <v>386</v>
      </c>
      <c r="AW25" s="81" t="s">
        <v>1549</v>
      </c>
      <c r="AX25" s="81" t="s">
        <v>1550</v>
      </c>
      <c r="AY25" s="81" t="s">
        <v>1551</v>
      </c>
      <c r="AZ25" s="81" t="s">
        <v>1552</v>
      </c>
      <c r="BA25" s="81" t="s">
        <v>1553</v>
      </c>
      <c r="BB25" s="81" t="s">
        <v>1554</v>
      </c>
      <c r="BC25" s="81" t="s">
        <v>1555</v>
      </c>
      <c r="BD25" s="81" t="s">
        <v>1556</v>
      </c>
      <c r="BE25" s="81" t="s">
        <v>1557</v>
      </c>
      <c r="BF25" s="81" t="s">
        <v>1558</v>
      </c>
      <c r="BG25" s="81" t="s">
        <v>1559</v>
      </c>
      <c r="BH25" s="81" t="s">
        <v>4642</v>
      </c>
      <c r="BI25" s="81" t="s">
        <v>4946</v>
      </c>
      <c r="BJ25" s="81" t="s">
        <v>85</v>
      </c>
      <c r="BL25" s="81" t="s">
        <v>689</v>
      </c>
      <c r="BM25" s="81">
        <v>22</v>
      </c>
      <c r="BN25" s="81" t="str">
        <f t="shared" si="3"/>
        <v>='Juni 20'!C12</v>
      </c>
      <c r="BP25" s="81" t="str">
        <f t="shared" ca="1" si="18"/>
        <v/>
      </c>
      <c r="BR25" s="84">
        <f t="shared" si="8"/>
        <v>0</v>
      </c>
      <c r="BS25" s="84">
        <f t="shared" si="9"/>
        <v>0</v>
      </c>
      <c r="CA25" s="81" t="s">
        <v>2</v>
      </c>
      <c r="CB25" s="81">
        <f t="shared" si="19"/>
        <v>0</v>
      </c>
      <c r="CC25" s="81">
        <f t="shared" si="20"/>
        <v>0</v>
      </c>
      <c r="CD25" s="81" t="s">
        <v>16</v>
      </c>
      <c r="CE25" s="81">
        <f t="shared" si="21"/>
        <v>0</v>
      </c>
      <c r="CF25" s="81">
        <f t="shared" si="22"/>
        <v>0</v>
      </c>
      <c r="CG25" s="81" t="s">
        <v>5</v>
      </c>
      <c r="CH25" s="81">
        <f t="shared" si="23"/>
        <v>0</v>
      </c>
      <c r="CI25" s="81">
        <f t="shared" si="24"/>
        <v>0</v>
      </c>
      <c r="CJ25" s="81" t="s">
        <v>18</v>
      </c>
      <c r="CK25" s="81">
        <f t="shared" si="25"/>
        <v>0</v>
      </c>
      <c r="CL25" s="81">
        <f t="shared" si="26"/>
        <v>0</v>
      </c>
      <c r="CM25" s="81" t="s">
        <v>4</v>
      </c>
      <c r="CN25" s="81">
        <f t="shared" si="27"/>
        <v>0</v>
      </c>
      <c r="CO25" s="81">
        <f t="shared" si="28"/>
        <v>0</v>
      </c>
      <c r="CP25" s="81" t="s">
        <v>22</v>
      </c>
      <c r="CQ25" s="81">
        <f t="shared" si="29"/>
        <v>0</v>
      </c>
      <c r="CR25" s="81">
        <f t="shared" si="30"/>
        <v>0</v>
      </c>
      <c r="CS25" s="81" t="s">
        <v>21</v>
      </c>
      <c r="CT25" s="81">
        <f t="shared" si="31"/>
        <v>0</v>
      </c>
      <c r="CU25" s="81">
        <f t="shared" si="32"/>
        <v>0</v>
      </c>
      <c r="CV25" s="81" t="s">
        <v>998</v>
      </c>
      <c r="CW25" s="81">
        <f t="shared" si="33"/>
        <v>0</v>
      </c>
      <c r="CX25" s="81">
        <f t="shared" si="34"/>
        <v>0</v>
      </c>
      <c r="CY25" s="81" t="s">
        <v>19</v>
      </c>
      <c r="CZ25" s="81">
        <f t="shared" si="35"/>
        <v>0</v>
      </c>
      <c r="DA25" s="81">
        <f t="shared" si="36"/>
        <v>0</v>
      </c>
      <c r="DB25" s="81" t="s">
        <v>20</v>
      </c>
      <c r="DC25" s="81">
        <f t="shared" si="37"/>
        <v>0</v>
      </c>
      <c r="DD25" s="81">
        <f t="shared" si="38"/>
        <v>0</v>
      </c>
      <c r="DE25" s="81" t="s">
        <v>23</v>
      </c>
      <c r="DF25" s="81">
        <f t="shared" si="39"/>
        <v>0</v>
      </c>
      <c r="DG25" s="81">
        <f t="shared" si="40"/>
        <v>0</v>
      </c>
      <c r="DH25" s="81" t="s">
        <v>15</v>
      </c>
      <c r="DI25" s="81">
        <f t="shared" si="41"/>
        <v>0</v>
      </c>
      <c r="DJ25" s="81">
        <f t="shared" si="42"/>
        <v>0</v>
      </c>
      <c r="DK25" s="81" t="s">
        <v>5247</v>
      </c>
      <c r="DL25" s="81">
        <f t="shared" si="43"/>
        <v>0</v>
      </c>
      <c r="DM25" s="81">
        <f t="shared" si="44"/>
        <v>0</v>
      </c>
      <c r="DN25" s="81" t="s">
        <v>7</v>
      </c>
      <c r="DO25" s="81">
        <f t="shared" si="45"/>
        <v>0</v>
      </c>
      <c r="DP25" s="81">
        <f t="shared" si="46"/>
        <v>0</v>
      </c>
      <c r="DQ25" s="81" t="s">
        <v>1</v>
      </c>
      <c r="DR25" s="81">
        <f t="shared" si="47"/>
        <v>0</v>
      </c>
      <c r="DS25" s="81">
        <f t="shared" si="48"/>
        <v>0</v>
      </c>
    </row>
    <row r="26" spans="1:123" x14ac:dyDescent="0.3">
      <c r="A26" s="74" t="s">
        <v>19</v>
      </c>
      <c r="B26" s="47">
        <v>400</v>
      </c>
      <c r="C26" s="48">
        <v>0.25</v>
      </c>
      <c r="N26" s="81">
        <f>IF(Q27=0,IF(Q26=0,,"x"),)</f>
        <v>0</v>
      </c>
      <c r="O26" s="81">
        <f t="shared" si="49"/>
        <v>0</v>
      </c>
      <c r="P26" s="81">
        <f t="shared" si="13"/>
        <v>0</v>
      </c>
      <c r="Q26" s="81">
        <f t="shared" si="50"/>
        <v>0</v>
      </c>
      <c r="R26" s="81">
        <f>IF(W26="",,SUM($W$4:W26))</f>
        <v>0</v>
      </c>
      <c r="S26" s="81">
        <f t="shared" si="14"/>
        <v>0</v>
      </c>
      <c r="T26" s="81">
        <f t="shared" si="51"/>
        <v>0</v>
      </c>
      <c r="U26" s="81">
        <f t="shared" si="15"/>
        <v>0</v>
      </c>
      <c r="V26" s="81" t="str">
        <f t="shared" ca="1" si="16"/>
        <v/>
      </c>
      <c r="W26" s="83"/>
      <c r="X26" s="81">
        <f t="shared" si="4"/>
        <v>0</v>
      </c>
      <c r="Y26" s="81">
        <f t="shared" si="5"/>
        <v>0</v>
      </c>
      <c r="AA26" s="86"/>
      <c r="AB26" s="86"/>
      <c r="AC26" s="81">
        <v>4</v>
      </c>
      <c r="AE26" s="81">
        <v>26</v>
      </c>
      <c r="AI26" s="81">
        <v>23</v>
      </c>
      <c r="AJ26" s="81" t="str">
        <f t="shared" si="0"/>
        <v>Juli 20</v>
      </c>
      <c r="AK26" s="81" t="str">
        <f t="shared" si="53"/>
        <v>Juli</v>
      </c>
      <c r="AL26" s="81">
        <f t="shared" si="54"/>
        <v>20</v>
      </c>
      <c r="AM26" s="81" t="str">
        <f t="shared" si="17"/>
        <v>='Juli 20'!</v>
      </c>
      <c r="AN26" s="81" t="str">
        <f t="shared" si="7"/>
        <v>='Juli 20'!C27</v>
      </c>
      <c r="AO26" s="81" t="s">
        <v>1026</v>
      </c>
      <c r="AR26" s="81" t="s">
        <v>86</v>
      </c>
      <c r="AS26" s="83" t="str">
        <f t="shared" si="1"/>
        <v>='Juli 20'!C6</v>
      </c>
      <c r="AT26" s="83">
        <f t="shared" si="2"/>
        <v>0</v>
      </c>
      <c r="AV26" s="81" t="s">
        <v>387</v>
      </c>
      <c r="AW26" s="81" t="s">
        <v>1560</v>
      </c>
      <c r="AX26" s="81" t="s">
        <v>1561</v>
      </c>
      <c r="AY26" s="81" t="s">
        <v>1562</v>
      </c>
      <c r="AZ26" s="81" t="s">
        <v>1563</v>
      </c>
      <c r="BA26" s="81" t="s">
        <v>1564</v>
      </c>
      <c r="BB26" s="81" t="s">
        <v>1565</v>
      </c>
      <c r="BC26" s="81" t="s">
        <v>1566</v>
      </c>
      <c r="BD26" s="81" t="s">
        <v>1567</v>
      </c>
      <c r="BE26" s="81" t="s">
        <v>1568</v>
      </c>
      <c r="BF26" s="81" t="s">
        <v>1569</v>
      </c>
      <c r="BG26" s="81" t="s">
        <v>1570</v>
      </c>
      <c r="BH26" s="81" t="s">
        <v>4643</v>
      </c>
      <c r="BI26" s="81" t="s">
        <v>4947</v>
      </c>
      <c r="BJ26" s="81" t="s">
        <v>86</v>
      </c>
      <c r="BL26" s="81" t="s">
        <v>690</v>
      </c>
      <c r="BM26" s="81">
        <v>23</v>
      </c>
      <c r="BN26" s="81" t="str">
        <f t="shared" si="3"/>
        <v>='Juli 20'!C12</v>
      </c>
      <c r="BP26" s="81" t="str">
        <f t="shared" ca="1" si="18"/>
        <v/>
      </c>
      <c r="BR26" s="84">
        <f t="shared" si="8"/>
        <v>0</v>
      </c>
      <c r="BS26" s="84">
        <f t="shared" si="9"/>
        <v>0</v>
      </c>
      <c r="CA26" s="81" t="s">
        <v>2</v>
      </c>
      <c r="CB26" s="81">
        <f t="shared" si="19"/>
        <v>0</v>
      </c>
      <c r="CC26" s="81">
        <f t="shared" si="20"/>
        <v>0</v>
      </c>
      <c r="CD26" s="81" t="s">
        <v>16</v>
      </c>
      <c r="CE26" s="81">
        <f t="shared" si="21"/>
        <v>0</v>
      </c>
      <c r="CF26" s="81">
        <f t="shared" si="22"/>
        <v>0</v>
      </c>
      <c r="CG26" s="81" t="s">
        <v>5</v>
      </c>
      <c r="CH26" s="81">
        <f t="shared" si="23"/>
        <v>0</v>
      </c>
      <c r="CI26" s="81">
        <f t="shared" si="24"/>
        <v>0</v>
      </c>
      <c r="CJ26" s="81" t="s">
        <v>18</v>
      </c>
      <c r="CK26" s="81">
        <f t="shared" si="25"/>
        <v>0</v>
      </c>
      <c r="CL26" s="81">
        <f t="shared" si="26"/>
        <v>0</v>
      </c>
      <c r="CM26" s="81" t="s">
        <v>4</v>
      </c>
      <c r="CN26" s="81">
        <f t="shared" si="27"/>
        <v>0</v>
      </c>
      <c r="CO26" s="81">
        <f t="shared" si="28"/>
        <v>0</v>
      </c>
      <c r="CP26" s="81" t="s">
        <v>22</v>
      </c>
      <c r="CQ26" s="81">
        <f t="shared" si="29"/>
        <v>0</v>
      </c>
      <c r="CR26" s="81">
        <f t="shared" si="30"/>
        <v>0</v>
      </c>
      <c r="CS26" s="81" t="s">
        <v>21</v>
      </c>
      <c r="CT26" s="81">
        <f t="shared" si="31"/>
        <v>0</v>
      </c>
      <c r="CU26" s="81">
        <f t="shared" si="32"/>
        <v>0</v>
      </c>
      <c r="CV26" s="81" t="s">
        <v>998</v>
      </c>
      <c r="CW26" s="81">
        <f t="shared" si="33"/>
        <v>0</v>
      </c>
      <c r="CX26" s="81">
        <f t="shared" si="34"/>
        <v>0</v>
      </c>
      <c r="CY26" s="81" t="s">
        <v>19</v>
      </c>
      <c r="CZ26" s="81">
        <f t="shared" si="35"/>
        <v>0</v>
      </c>
      <c r="DA26" s="81">
        <f t="shared" si="36"/>
        <v>0</v>
      </c>
      <c r="DB26" s="81" t="s">
        <v>20</v>
      </c>
      <c r="DC26" s="81">
        <f t="shared" si="37"/>
        <v>0</v>
      </c>
      <c r="DD26" s="81">
        <f t="shared" si="38"/>
        <v>0</v>
      </c>
      <c r="DE26" s="81" t="s">
        <v>23</v>
      </c>
      <c r="DF26" s="81">
        <f t="shared" si="39"/>
        <v>0</v>
      </c>
      <c r="DG26" s="81">
        <f t="shared" si="40"/>
        <v>0</v>
      </c>
      <c r="DH26" s="81" t="s">
        <v>15</v>
      </c>
      <c r="DI26" s="81">
        <f t="shared" si="41"/>
        <v>0</v>
      </c>
      <c r="DJ26" s="81">
        <f t="shared" si="42"/>
        <v>0</v>
      </c>
      <c r="DK26" s="81" t="s">
        <v>5248</v>
      </c>
      <c r="DL26" s="81">
        <f t="shared" si="43"/>
        <v>0</v>
      </c>
      <c r="DM26" s="81">
        <f t="shared" si="44"/>
        <v>0</v>
      </c>
      <c r="DN26" s="81" t="s">
        <v>7</v>
      </c>
      <c r="DO26" s="81">
        <f t="shared" si="45"/>
        <v>0</v>
      </c>
      <c r="DP26" s="81">
        <f t="shared" si="46"/>
        <v>0</v>
      </c>
      <c r="DQ26" s="81" t="s">
        <v>1</v>
      </c>
      <c r="DR26" s="81">
        <f t="shared" si="47"/>
        <v>0</v>
      </c>
      <c r="DS26" s="81">
        <f t="shared" si="48"/>
        <v>0</v>
      </c>
    </row>
    <row r="27" spans="1:123" x14ac:dyDescent="0.3">
      <c r="A27" s="74" t="s">
        <v>20</v>
      </c>
      <c r="B27" s="47">
        <v>250</v>
      </c>
      <c r="C27" s="48">
        <v>0.25</v>
      </c>
      <c r="N27" s="81">
        <f>IF(Q28=0,IF(Q27=0,,"x"),)</f>
        <v>0</v>
      </c>
      <c r="O27" s="81">
        <f t="shared" si="49"/>
        <v>0</v>
      </c>
      <c r="P27" s="81">
        <f t="shared" si="13"/>
        <v>0</v>
      </c>
      <c r="Q27" s="81">
        <f t="shared" si="50"/>
        <v>0</v>
      </c>
      <c r="R27" s="81">
        <f>IF(W27="",,SUM($W$4:W27))</f>
        <v>0</v>
      </c>
      <c r="S27" s="81">
        <f t="shared" si="14"/>
        <v>0</v>
      </c>
      <c r="T27" s="81">
        <f t="shared" si="51"/>
        <v>0</v>
      </c>
      <c r="U27" s="81">
        <f t="shared" si="15"/>
        <v>0</v>
      </c>
      <c r="V27" s="81" t="str">
        <f t="shared" ca="1" si="16"/>
        <v/>
      </c>
      <c r="W27" s="83"/>
      <c r="X27" s="81">
        <f t="shared" si="4"/>
        <v>0</v>
      </c>
      <c r="Y27" s="81">
        <f t="shared" si="5"/>
        <v>0</v>
      </c>
      <c r="AC27" s="81">
        <v>5</v>
      </c>
      <c r="AE27" s="81">
        <v>27</v>
      </c>
      <c r="AI27" s="81">
        <v>24</v>
      </c>
      <c r="AJ27" s="81" t="str">
        <f t="shared" si="0"/>
        <v>Augusti 20</v>
      </c>
      <c r="AK27" s="81" t="str">
        <f t="shared" si="53"/>
        <v>Augusti</v>
      </c>
      <c r="AL27" s="81">
        <f t="shared" si="54"/>
        <v>20</v>
      </c>
      <c r="AM27" s="81" t="str">
        <f t="shared" si="17"/>
        <v>='Augusti 20'!</v>
      </c>
      <c r="AN27" s="81" t="str">
        <f t="shared" si="7"/>
        <v>='Augusti 20'!C27</v>
      </c>
      <c r="AO27" s="81" t="s">
        <v>1027</v>
      </c>
      <c r="AR27" s="81" t="s">
        <v>87</v>
      </c>
      <c r="AS27" s="83" t="str">
        <f t="shared" si="1"/>
        <v>='Augusti 20'!C6</v>
      </c>
      <c r="AT27" s="83">
        <f t="shared" si="2"/>
        <v>0</v>
      </c>
      <c r="AV27" s="81" t="s">
        <v>388</v>
      </c>
      <c r="AW27" s="81" t="s">
        <v>1571</v>
      </c>
      <c r="AX27" s="81" t="s">
        <v>1572</v>
      </c>
      <c r="AY27" s="81" t="s">
        <v>1573</v>
      </c>
      <c r="AZ27" s="81" t="s">
        <v>1574</v>
      </c>
      <c r="BA27" s="81" t="s">
        <v>1575</v>
      </c>
      <c r="BB27" s="81" t="s">
        <v>1576</v>
      </c>
      <c r="BC27" s="81" t="s">
        <v>1577</v>
      </c>
      <c r="BD27" s="81" t="s">
        <v>1578</v>
      </c>
      <c r="BE27" s="81" t="s">
        <v>1579</v>
      </c>
      <c r="BF27" s="81" t="s">
        <v>1580</v>
      </c>
      <c r="BG27" s="81" t="s">
        <v>1581</v>
      </c>
      <c r="BH27" s="81" t="s">
        <v>4644</v>
      </c>
      <c r="BI27" s="81" t="s">
        <v>4948</v>
      </c>
      <c r="BJ27" s="81" t="s">
        <v>87</v>
      </c>
      <c r="BL27" s="81" t="s">
        <v>691</v>
      </c>
      <c r="BM27" s="81">
        <v>24</v>
      </c>
      <c r="BN27" s="81" t="str">
        <f t="shared" si="3"/>
        <v>='Augusti 20'!C12</v>
      </c>
      <c r="BP27" s="81" t="str">
        <f t="shared" ca="1" si="18"/>
        <v/>
      </c>
      <c r="BR27" s="84">
        <f t="shared" si="8"/>
        <v>0</v>
      </c>
      <c r="BS27" s="84">
        <f t="shared" si="9"/>
        <v>0</v>
      </c>
      <c r="CA27" s="81" t="s">
        <v>2</v>
      </c>
      <c r="CB27" s="81">
        <f t="shared" si="19"/>
        <v>0</v>
      </c>
      <c r="CC27" s="81">
        <f t="shared" si="20"/>
        <v>0</v>
      </c>
      <c r="CD27" s="81" t="s">
        <v>16</v>
      </c>
      <c r="CE27" s="81">
        <f t="shared" si="21"/>
        <v>0</v>
      </c>
      <c r="CF27" s="81">
        <f t="shared" si="22"/>
        <v>0</v>
      </c>
      <c r="CG27" s="81" t="s">
        <v>5</v>
      </c>
      <c r="CH27" s="81">
        <f t="shared" si="23"/>
        <v>0</v>
      </c>
      <c r="CI27" s="81">
        <f t="shared" si="24"/>
        <v>0</v>
      </c>
      <c r="CJ27" s="81" t="s">
        <v>18</v>
      </c>
      <c r="CK27" s="81">
        <f t="shared" si="25"/>
        <v>0</v>
      </c>
      <c r="CL27" s="81">
        <f t="shared" si="26"/>
        <v>0</v>
      </c>
      <c r="CM27" s="81" t="s">
        <v>4</v>
      </c>
      <c r="CN27" s="81">
        <f t="shared" si="27"/>
        <v>0</v>
      </c>
      <c r="CO27" s="81">
        <f t="shared" si="28"/>
        <v>0</v>
      </c>
      <c r="CP27" s="81" t="s">
        <v>22</v>
      </c>
      <c r="CQ27" s="81">
        <f t="shared" si="29"/>
        <v>0</v>
      </c>
      <c r="CR27" s="81">
        <f t="shared" si="30"/>
        <v>0</v>
      </c>
      <c r="CS27" s="81" t="s">
        <v>21</v>
      </c>
      <c r="CT27" s="81">
        <f t="shared" si="31"/>
        <v>0</v>
      </c>
      <c r="CU27" s="81">
        <f t="shared" si="32"/>
        <v>0</v>
      </c>
      <c r="CV27" s="81" t="s">
        <v>998</v>
      </c>
      <c r="CW27" s="81">
        <f t="shared" si="33"/>
        <v>0</v>
      </c>
      <c r="CX27" s="81">
        <f t="shared" si="34"/>
        <v>0</v>
      </c>
      <c r="CY27" s="81" t="s">
        <v>19</v>
      </c>
      <c r="CZ27" s="81">
        <f t="shared" si="35"/>
        <v>0</v>
      </c>
      <c r="DA27" s="81">
        <f t="shared" si="36"/>
        <v>0</v>
      </c>
      <c r="DB27" s="81" t="s">
        <v>20</v>
      </c>
      <c r="DC27" s="81">
        <f t="shared" si="37"/>
        <v>0</v>
      </c>
      <c r="DD27" s="81">
        <f t="shared" si="38"/>
        <v>0</v>
      </c>
      <c r="DE27" s="81" t="s">
        <v>23</v>
      </c>
      <c r="DF27" s="81">
        <f t="shared" si="39"/>
        <v>0</v>
      </c>
      <c r="DG27" s="81">
        <f t="shared" si="40"/>
        <v>0</v>
      </c>
      <c r="DH27" s="81" t="s">
        <v>15</v>
      </c>
      <c r="DI27" s="81">
        <f t="shared" si="41"/>
        <v>0</v>
      </c>
      <c r="DJ27" s="81">
        <f t="shared" si="42"/>
        <v>0</v>
      </c>
      <c r="DK27" s="81" t="s">
        <v>5249</v>
      </c>
      <c r="DL27" s="81">
        <f t="shared" si="43"/>
        <v>0</v>
      </c>
      <c r="DM27" s="81">
        <f t="shared" si="44"/>
        <v>0</v>
      </c>
      <c r="DN27" s="81" t="s">
        <v>7</v>
      </c>
      <c r="DO27" s="81">
        <f t="shared" si="45"/>
        <v>0</v>
      </c>
      <c r="DP27" s="81">
        <f t="shared" si="46"/>
        <v>0</v>
      </c>
      <c r="DQ27" s="81" t="s">
        <v>1</v>
      </c>
      <c r="DR27" s="81">
        <f t="shared" si="47"/>
        <v>0</v>
      </c>
      <c r="DS27" s="81">
        <f t="shared" si="48"/>
        <v>0</v>
      </c>
    </row>
    <row r="28" spans="1:123" x14ac:dyDescent="0.3">
      <c r="A28" s="74" t="s">
        <v>23</v>
      </c>
      <c r="B28" s="56">
        <v>300</v>
      </c>
      <c r="C28" s="57">
        <v>0.25</v>
      </c>
      <c r="N28" s="81">
        <f>IF(Q29=0,IF(Q28=0,,"x"),)</f>
        <v>0</v>
      </c>
      <c r="O28" s="81">
        <f t="shared" si="49"/>
        <v>0</v>
      </c>
      <c r="P28" s="81">
        <f t="shared" si="13"/>
        <v>0</v>
      </c>
      <c r="Q28" s="81">
        <f t="shared" si="50"/>
        <v>0</v>
      </c>
      <c r="R28" s="81">
        <f>IF(W28="",,SUM($W$4:W28))</f>
        <v>0</v>
      </c>
      <c r="S28" s="81">
        <f t="shared" si="14"/>
        <v>0</v>
      </c>
      <c r="T28" s="81">
        <f t="shared" si="51"/>
        <v>0</v>
      </c>
      <c r="U28" s="81">
        <f t="shared" si="15"/>
        <v>0</v>
      </c>
      <c r="V28" s="81" t="str">
        <f t="shared" ca="1" si="16"/>
        <v/>
      </c>
      <c r="W28" s="83"/>
      <c r="X28" s="81">
        <f t="shared" si="4"/>
        <v>0</v>
      </c>
      <c r="Y28" s="81">
        <f t="shared" si="5"/>
        <v>0</v>
      </c>
      <c r="AE28" s="81">
        <v>28</v>
      </c>
      <c r="AI28" s="81">
        <v>25</v>
      </c>
      <c r="AJ28" s="81" t="str">
        <f t="shared" si="0"/>
        <v>September 20</v>
      </c>
      <c r="AK28" s="81" t="str">
        <f t="shared" si="53"/>
        <v>September</v>
      </c>
      <c r="AL28" s="81">
        <f t="shared" si="54"/>
        <v>20</v>
      </c>
      <c r="AM28" s="81" t="str">
        <f t="shared" si="17"/>
        <v>='September 20'!</v>
      </c>
      <c r="AN28" s="81" t="str">
        <f t="shared" si="7"/>
        <v>='September 20'!C27</v>
      </c>
      <c r="AO28" s="81" t="s">
        <v>1028</v>
      </c>
      <c r="AR28" s="81" t="s">
        <v>88</v>
      </c>
      <c r="AS28" s="83" t="str">
        <f t="shared" si="1"/>
        <v>='September 20'!C6</v>
      </c>
      <c r="AT28" s="83">
        <f t="shared" si="2"/>
        <v>0</v>
      </c>
      <c r="AV28" s="81" t="s">
        <v>389</v>
      </c>
      <c r="AW28" s="81" t="s">
        <v>1582</v>
      </c>
      <c r="AX28" s="81" t="s">
        <v>1583</v>
      </c>
      <c r="AY28" s="81" t="s">
        <v>1584</v>
      </c>
      <c r="AZ28" s="81" t="s">
        <v>1585</v>
      </c>
      <c r="BA28" s="81" t="s">
        <v>1586</v>
      </c>
      <c r="BB28" s="81" t="s">
        <v>1587</v>
      </c>
      <c r="BC28" s="81" t="s">
        <v>1588</v>
      </c>
      <c r="BD28" s="81" t="s">
        <v>1589</v>
      </c>
      <c r="BE28" s="81" t="s">
        <v>1590</v>
      </c>
      <c r="BF28" s="81" t="s">
        <v>1591</v>
      </c>
      <c r="BG28" s="81" t="s">
        <v>1592</v>
      </c>
      <c r="BH28" s="81" t="s">
        <v>4645</v>
      </c>
      <c r="BI28" s="81" t="s">
        <v>4949</v>
      </c>
      <c r="BJ28" s="81" t="s">
        <v>88</v>
      </c>
      <c r="BL28" s="81" t="s">
        <v>692</v>
      </c>
      <c r="BM28" s="81">
        <v>25</v>
      </c>
      <c r="BN28" s="81" t="str">
        <f t="shared" si="3"/>
        <v>='September 20'!C12</v>
      </c>
      <c r="BP28" s="81" t="str">
        <f t="shared" ca="1" si="18"/>
        <v/>
      </c>
      <c r="BR28" s="84">
        <f t="shared" si="8"/>
        <v>0</v>
      </c>
      <c r="BS28" s="84">
        <f t="shared" si="9"/>
        <v>0</v>
      </c>
      <c r="CA28" s="81" t="s">
        <v>2</v>
      </c>
      <c r="CB28" s="81">
        <f t="shared" si="19"/>
        <v>0</v>
      </c>
      <c r="CC28" s="81">
        <f t="shared" si="20"/>
        <v>0</v>
      </c>
      <c r="CD28" s="81" t="s">
        <v>16</v>
      </c>
      <c r="CE28" s="81">
        <f t="shared" si="21"/>
        <v>0</v>
      </c>
      <c r="CF28" s="81">
        <f t="shared" si="22"/>
        <v>0</v>
      </c>
      <c r="CG28" s="81" t="s">
        <v>5</v>
      </c>
      <c r="CH28" s="81">
        <f t="shared" si="23"/>
        <v>0</v>
      </c>
      <c r="CI28" s="81">
        <f t="shared" si="24"/>
        <v>0</v>
      </c>
      <c r="CJ28" s="81" t="s">
        <v>18</v>
      </c>
      <c r="CK28" s="81">
        <f t="shared" si="25"/>
        <v>0</v>
      </c>
      <c r="CL28" s="81">
        <f t="shared" si="26"/>
        <v>0</v>
      </c>
      <c r="CM28" s="81" t="s">
        <v>4</v>
      </c>
      <c r="CN28" s="81">
        <f t="shared" si="27"/>
        <v>0</v>
      </c>
      <c r="CO28" s="81">
        <f t="shared" si="28"/>
        <v>0</v>
      </c>
      <c r="CP28" s="81" t="s">
        <v>22</v>
      </c>
      <c r="CQ28" s="81">
        <f t="shared" si="29"/>
        <v>0</v>
      </c>
      <c r="CR28" s="81">
        <f t="shared" si="30"/>
        <v>0</v>
      </c>
      <c r="CS28" s="81" t="s">
        <v>21</v>
      </c>
      <c r="CT28" s="81">
        <f t="shared" si="31"/>
        <v>0</v>
      </c>
      <c r="CU28" s="81">
        <f t="shared" si="32"/>
        <v>0</v>
      </c>
      <c r="CV28" s="81" t="s">
        <v>998</v>
      </c>
      <c r="CW28" s="81">
        <f t="shared" si="33"/>
        <v>0</v>
      </c>
      <c r="CX28" s="81">
        <f t="shared" si="34"/>
        <v>0</v>
      </c>
      <c r="CY28" s="81" t="s">
        <v>19</v>
      </c>
      <c r="CZ28" s="81">
        <f t="shared" si="35"/>
        <v>0</v>
      </c>
      <c r="DA28" s="81">
        <f t="shared" si="36"/>
        <v>0</v>
      </c>
      <c r="DB28" s="81" t="s">
        <v>20</v>
      </c>
      <c r="DC28" s="81">
        <f t="shared" si="37"/>
        <v>0</v>
      </c>
      <c r="DD28" s="81">
        <f t="shared" si="38"/>
        <v>0</v>
      </c>
      <c r="DE28" s="81" t="s">
        <v>23</v>
      </c>
      <c r="DF28" s="81">
        <f t="shared" si="39"/>
        <v>0</v>
      </c>
      <c r="DG28" s="81">
        <f t="shared" si="40"/>
        <v>0</v>
      </c>
      <c r="DH28" s="81" t="s">
        <v>15</v>
      </c>
      <c r="DI28" s="81">
        <f t="shared" si="41"/>
        <v>0</v>
      </c>
      <c r="DJ28" s="81">
        <f t="shared" si="42"/>
        <v>0</v>
      </c>
      <c r="DK28" s="81" t="s">
        <v>5250</v>
      </c>
      <c r="DL28" s="81">
        <f t="shared" si="43"/>
        <v>0</v>
      </c>
      <c r="DM28" s="81">
        <f t="shared" si="44"/>
        <v>0</v>
      </c>
      <c r="DN28" s="81" t="s">
        <v>7</v>
      </c>
      <c r="DO28" s="81">
        <f t="shared" si="45"/>
        <v>0</v>
      </c>
      <c r="DP28" s="81">
        <f t="shared" si="46"/>
        <v>0</v>
      </c>
      <c r="DQ28" s="81" t="s">
        <v>1</v>
      </c>
      <c r="DR28" s="81">
        <f t="shared" si="47"/>
        <v>0</v>
      </c>
      <c r="DS28" s="81">
        <f t="shared" si="48"/>
        <v>0</v>
      </c>
    </row>
    <row r="29" spans="1:123" x14ac:dyDescent="0.3">
      <c r="A29" s="76" t="s">
        <v>5557</v>
      </c>
      <c r="B29" s="47">
        <v>150</v>
      </c>
      <c r="C29" s="48">
        <v>0.25</v>
      </c>
      <c r="N29" s="81">
        <f>IF(Q30=0,IF(Q29=0,,"x"),)</f>
        <v>0</v>
      </c>
      <c r="O29" s="81">
        <f t="shared" si="49"/>
        <v>0</v>
      </c>
      <c r="P29" s="81">
        <f t="shared" si="13"/>
        <v>0</v>
      </c>
      <c r="Q29" s="81">
        <f t="shared" si="50"/>
        <v>0</v>
      </c>
      <c r="R29" s="81">
        <f>IF(W29="",,SUM($W$4:W29))</f>
        <v>0</v>
      </c>
      <c r="S29" s="81">
        <f t="shared" si="14"/>
        <v>0</v>
      </c>
      <c r="T29" s="81">
        <f t="shared" si="51"/>
        <v>0</v>
      </c>
      <c r="U29" s="81">
        <f t="shared" si="15"/>
        <v>0</v>
      </c>
      <c r="V29" s="81" t="str">
        <f t="shared" ca="1" si="16"/>
        <v/>
      </c>
      <c r="W29" s="83"/>
      <c r="X29" s="81">
        <f t="shared" si="4"/>
        <v>0</v>
      </c>
      <c r="Y29" s="81">
        <f t="shared" si="5"/>
        <v>0</v>
      </c>
      <c r="AE29" s="81">
        <v>29</v>
      </c>
      <c r="AI29" s="81">
        <v>26</v>
      </c>
      <c r="AJ29" s="81" t="str">
        <f t="shared" si="0"/>
        <v>Oktober 20</v>
      </c>
      <c r="AK29" s="81" t="str">
        <f t="shared" si="53"/>
        <v>Oktober</v>
      </c>
      <c r="AL29" s="81">
        <f t="shared" si="54"/>
        <v>20</v>
      </c>
      <c r="AM29" s="81" t="str">
        <f t="shared" si="17"/>
        <v>='Oktober 20'!</v>
      </c>
      <c r="AN29" s="81" t="str">
        <f t="shared" si="7"/>
        <v>='Oktober 20'!C27</v>
      </c>
      <c r="AO29" s="81" t="s">
        <v>1029</v>
      </c>
      <c r="AR29" s="81" t="s">
        <v>89</v>
      </c>
      <c r="AS29" s="83" t="str">
        <f t="shared" si="1"/>
        <v>='Oktober 20'!C6</v>
      </c>
      <c r="AT29" s="83">
        <f t="shared" si="2"/>
        <v>0</v>
      </c>
      <c r="AV29" s="81" t="s">
        <v>390</v>
      </c>
      <c r="AW29" s="81" t="s">
        <v>1593</v>
      </c>
      <c r="AX29" s="81" t="s">
        <v>1594</v>
      </c>
      <c r="AY29" s="81" t="s">
        <v>1595</v>
      </c>
      <c r="AZ29" s="81" t="s">
        <v>1596</v>
      </c>
      <c r="BA29" s="81" t="s">
        <v>1597</v>
      </c>
      <c r="BB29" s="81" t="s">
        <v>1598</v>
      </c>
      <c r="BC29" s="81" t="s">
        <v>1599</v>
      </c>
      <c r="BD29" s="81" t="s">
        <v>1600</v>
      </c>
      <c r="BE29" s="81" t="s">
        <v>1601</v>
      </c>
      <c r="BF29" s="81" t="s">
        <v>1602</v>
      </c>
      <c r="BG29" s="81" t="s">
        <v>1603</v>
      </c>
      <c r="BH29" s="81" t="s">
        <v>4646</v>
      </c>
      <c r="BI29" s="81" t="s">
        <v>4950</v>
      </c>
      <c r="BJ29" s="81" t="s">
        <v>89</v>
      </c>
      <c r="BL29" s="81" t="s">
        <v>693</v>
      </c>
      <c r="BM29" s="81">
        <v>26</v>
      </c>
      <c r="BN29" s="81" t="str">
        <f t="shared" si="3"/>
        <v>='Oktober 20'!C12</v>
      </c>
      <c r="BP29" s="81" t="str">
        <f t="shared" ca="1" si="18"/>
        <v/>
      </c>
      <c r="BR29" s="84">
        <f t="shared" si="8"/>
        <v>0</v>
      </c>
      <c r="BS29" s="84">
        <f t="shared" si="9"/>
        <v>0</v>
      </c>
      <c r="CA29" s="81" t="s">
        <v>2</v>
      </c>
      <c r="CB29" s="81">
        <f t="shared" si="19"/>
        <v>0</v>
      </c>
      <c r="CC29" s="81">
        <f t="shared" si="20"/>
        <v>0</v>
      </c>
      <c r="CD29" s="81" t="s">
        <v>16</v>
      </c>
      <c r="CE29" s="81">
        <f t="shared" si="21"/>
        <v>0</v>
      </c>
      <c r="CF29" s="81">
        <f t="shared" si="22"/>
        <v>0</v>
      </c>
      <c r="CG29" s="81" t="s">
        <v>5</v>
      </c>
      <c r="CH29" s="81">
        <f t="shared" si="23"/>
        <v>0</v>
      </c>
      <c r="CI29" s="81">
        <f t="shared" si="24"/>
        <v>0</v>
      </c>
      <c r="CJ29" s="81" t="s">
        <v>18</v>
      </c>
      <c r="CK29" s="81">
        <f t="shared" si="25"/>
        <v>0</v>
      </c>
      <c r="CL29" s="81">
        <f t="shared" si="26"/>
        <v>0</v>
      </c>
      <c r="CM29" s="81" t="s">
        <v>4</v>
      </c>
      <c r="CN29" s="81">
        <f t="shared" si="27"/>
        <v>0</v>
      </c>
      <c r="CO29" s="81">
        <f t="shared" si="28"/>
        <v>0</v>
      </c>
      <c r="CP29" s="81" t="s">
        <v>22</v>
      </c>
      <c r="CQ29" s="81">
        <f t="shared" si="29"/>
        <v>0</v>
      </c>
      <c r="CR29" s="81">
        <f t="shared" si="30"/>
        <v>0</v>
      </c>
      <c r="CS29" s="81" t="s">
        <v>21</v>
      </c>
      <c r="CT29" s="81">
        <f t="shared" si="31"/>
        <v>0</v>
      </c>
      <c r="CU29" s="81">
        <f t="shared" si="32"/>
        <v>0</v>
      </c>
      <c r="CV29" s="81" t="s">
        <v>998</v>
      </c>
      <c r="CW29" s="81">
        <f t="shared" si="33"/>
        <v>0</v>
      </c>
      <c r="CX29" s="81">
        <f t="shared" si="34"/>
        <v>0</v>
      </c>
      <c r="CY29" s="81" t="s">
        <v>19</v>
      </c>
      <c r="CZ29" s="81">
        <f t="shared" si="35"/>
        <v>0</v>
      </c>
      <c r="DA29" s="81">
        <f t="shared" si="36"/>
        <v>0</v>
      </c>
      <c r="DB29" s="81" t="s">
        <v>20</v>
      </c>
      <c r="DC29" s="81">
        <f t="shared" si="37"/>
        <v>0</v>
      </c>
      <c r="DD29" s="81">
        <f t="shared" si="38"/>
        <v>0</v>
      </c>
      <c r="DE29" s="81" t="s">
        <v>23</v>
      </c>
      <c r="DF29" s="81">
        <f t="shared" si="39"/>
        <v>0</v>
      </c>
      <c r="DG29" s="81">
        <f t="shared" si="40"/>
        <v>0</v>
      </c>
      <c r="DH29" s="81" t="s">
        <v>15</v>
      </c>
      <c r="DI29" s="81">
        <f t="shared" si="41"/>
        <v>0</v>
      </c>
      <c r="DJ29" s="81">
        <f t="shared" si="42"/>
        <v>0</v>
      </c>
      <c r="DK29" s="81" t="s">
        <v>5251</v>
      </c>
      <c r="DL29" s="81">
        <f t="shared" si="43"/>
        <v>0</v>
      </c>
      <c r="DM29" s="81">
        <f t="shared" si="44"/>
        <v>0</v>
      </c>
      <c r="DN29" s="81" t="s">
        <v>7</v>
      </c>
      <c r="DO29" s="81">
        <f t="shared" si="45"/>
        <v>0</v>
      </c>
      <c r="DP29" s="81">
        <f t="shared" si="46"/>
        <v>0</v>
      </c>
      <c r="DQ29" s="81" t="s">
        <v>1</v>
      </c>
      <c r="DR29" s="81">
        <f t="shared" si="47"/>
        <v>0</v>
      </c>
      <c r="DS29" s="81">
        <f t="shared" si="48"/>
        <v>0</v>
      </c>
    </row>
    <row r="30" spans="1:123" ht="15" thickBot="1" x14ac:dyDescent="0.35">
      <c r="A30" s="75" t="s">
        <v>15</v>
      </c>
      <c r="B30" s="50">
        <v>500</v>
      </c>
      <c r="C30" s="51">
        <v>0.25</v>
      </c>
      <c r="D30" s="49"/>
      <c r="N30" s="81">
        <f>IF(Q31=0,IF(Q30=0,,"x"),)</f>
        <v>0</v>
      </c>
      <c r="O30" s="81">
        <f t="shared" si="49"/>
        <v>0</v>
      </c>
      <c r="P30" s="81">
        <f t="shared" si="13"/>
        <v>0</v>
      </c>
      <c r="Q30" s="81">
        <f t="shared" si="50"/>
        <v>0</v>
      </c>
      <c r="R30" s="81">
        <f>IF(W30="",,SUM($W$4:W30))</f>
        <v>0</v>
      </c>
      <c r="S30" s="81">
        <f t="shared" si="14"/>
        <v>0</v>
      </c>
      <c r="T30" s="81">
        <f t="shared" si="51"/>
        <v>0</v>
      </c>
      <c r="U30" s="81">
        <f t="shared" si="15"/>
        <v>0</v>
      </c>
      <c r="V30" s="81" t="str">
        <f t="shared" ca="1" si="16"/>
        <v/>
      </c>
      <c r="W30" s="83"/>
      <c r="X30" s="81">
        <f t="shared" si="4"/>
        <v>0</v>
      </c>
      <c r="Y30" s="81">
        <f t="shared" si="5"/>
        <v>0</v>
      </c>
      <c r="AE30" s="81">
        <v>30</v>
      </c>
      <c r="AI30" s="81">
        <v>27</v>
      </c>
      <c r="AJ30" s="81" t="str">
        <f t="shared" si="0"/>
        <v>November 20</v>
      </c>
      <c r="AK30" s="81" t="str">
        <f t="shared" si="53"/>
        <v>November</v>
      </c>
      <c r="AL30" s="81">
        <f t="shared" si="54"/>
        <v>20</v>
      </c>
      <c r="AM30" s="81" t="str">
        <f t="shared" si="17"/>
        <v>='November 20'!</v>
      </c>
      <c r="AN30" s="81" t="str">
        <f t="shared" si="7"/>
        <v>='November 20'!C27</v>
      </c>
      <c r="AO30" s="81" t="s">
        <v>1030</v>
      </c>
      <c r="AR30" s="81" t="s">
        <v>90</v>
      </c>
      <c r="AS30" s="83" t="str">
        <f t="shared" si="1"/>
        <v>='November 20'!C6</v>
      </c>
      <c r="AT30" s="83">
        <f t="shared" si="2"/>
        <v>0</v>
      </c>
      <c r="AV30" s="81" t="s">
        <v>391</v>
      </c>
      <c r="AW30" s="81" t="s">
        <v>1604</v>
      </c>
      <c r="AX30" s="81" t="s">
        <v>1605</v>
      </c>
      <c r="AY30" s="81" t="s">
        <v>1606</v>
      </c>
      <c r="AZ30" s="81" t="s">
        <v>1607</v>
      </c>
      <c r="BA30" s="81" t="s">
        <v>1608</v>
      </c>
      <c r="BB30" s="81" t="s">
        <v>1609</v>
      </c>
      <c r="BC30" s="81" t="s">
        <v>1610</v>
      </c>
      <c r="BD30" s="81" t="s">
        <v>1611</v>
      </c>
      <c r="BE30" s="81" t="s">
        <v>1612</v>
      </c>
      <c r="BF30" s="81" t="s">
        <v>1613</v>
      </c>
      <c r="BG30" s="81" t="s">
        <v>1614</v>
      </c>
      <c r="BH30" s="81" t="s">
        <v>4647</v>
      </c>
      <c r="BI30" s="81" t="s">
        <v>4951</v>
      </c>
      <c r="BJ30" s="81" t="s">
        <v>90</v>
      </c>
      <c r="BL30" s="81" t="s">
        <v>694</v>
      </c>
      <c r="BM30" s="81">
        <v>27</v>
      </c>
      <c r="BN30" s="81" t="str">
        <f t="shared" si="3"/>
        <v>='November 20'!C12</v>
      </c>
      <c r="BP30" s="81" t="str">
        <f t="shared" ca="1" si="18"/>
        <v/>
      </c>
      <c r="BR30" s="84">
        <f t="shared" si="8"/>
        <v>0</v>
      </c>
      <c r="BS30" s="84">
        <f t="shared" si="9"/>
        <v>0</v>
      </c>
      <c r="CA30" s="81" t="s">
        <v>2</v>
      </c>
      <c r="CB30" s="81">
        <f t="shared" si="19"/>
        <v>0</v>
      </c>
      <c r="CC30" s="81">
        <f t="shared" si="20"/>
        <v>0</v>
      </c>
      <c r="CD30" s="81" t="s">
        <v>16</v>
      </c>
      <c r="CE30" s="81">
        <f t="shared" si="21"/>
        <v>0</v>
      </c>
      <c r="CF30" s="81">
        <f t="shared" si="22"/>
        <v>0</v>
      </c>
      <c r="CG30" s="81" t="s">
        <v>5</v>
      </c>
      <c r="CH30" s="81">
        <f t="shared" si="23"/>
        <v>0</v>
      </c>
      <c r="CI30" s="81">
        <f t="shared" si="24"/>
        <v>0</v>
      </c>
      <c r="CJ30" s="81" t="s">
        <v>18</v>
      </c>
      <c r="CK30" s="81">
        <f t="shared" si="25"/>
        <v>0</v>
      </c>
      <c r="CL30" s="81">
        <f t="shared" si="26"/>
        <v>0</v>
      </c>
      <c r="CM30" s="81" t="s">
        <v>4</v>
      </c>
      <c r="CN30" s="81">
        <f t="shared" si="27"/>
        <v>0</v>
      </c>
      <c r="CO30" s="81">
        <f t="shared" si="28"/>
        <v>0</v>
      </c>
      <c r="CP30" s="81" t="s">
        <v>22</v>
      </c>
      <c r="CQ30" s="81">
        <f t="shared" si="29"/>
        <v>0</v>
      </c>
      <c r="CR30" s="81">
        <f t="shared" si="30"/>
        <v>0</v>
      </c>
      <c r="CS30" s="81" t="s">
        <v>21</v>
      </c>
      <c r="CT30" s="81">
        <f t="shared" si="31"/>
        <v>0</v>
      </c>
      <c r="CU30" s="81">
        <f t="shared" si="32"/>
        <v>0</v>
      </c>
      <c r="CV30" s="81" t="s">
        <v>998</v>
      </c>
      <c r="CW30" s="81">
        <f t="shared" si="33"/>
        <v>0</v>
      </c>
      <c r="CX30" s="81">
        <f t="shared" si="34"/>
        <v>0</v>
      </c>
      <c r="CY30" s="81" t="s">
        <v>19</v>
      </c>
      <c r="CZ30" s="81">
        <f t="shared" si="35"/>
        <v>0</v>
      </c>
      <c r="DA30" s="81">
        <f t="shared" si="36"/>
        <v>0</v>
      </c>
      <c r="DB30" s="81" t="s">
        <v>20</v>
      </c>
      <c r="DC30" s="81">
        <f t="shared" si="37"/>
        <v>0</v>
      </c>
      <c r="DD30" s="81">
        <f t="shared" si="38"/>
        <v>0</v>
      </c>
      <c r="DE30" s="81" t="s">
        <v>23</v>
      </c>
      <c r="DF30" s="81">
        <f t="shared" si="39"/>
        <v>0</v>
      </c>
      <c r="DG30" s="81">
        <f t="shared" si="40"/>
        <v>0</v>
      </c>
      <c r="DH30" s="81" t="s">
        <v>15</v>
      </c>
      <c r="DI30" s="81">
        <f t="shared" si="41"/>
        <v>0</v>
      </c>
      <c r="DJ30" s="81">
        <f t="shared" si="42"/>
        <v>0</v>
      </c>
      <c r="DK30" s="81" t="s">
        <v>5252</v>
      </c>
      <c r="DL30" s="81">
        <f t="shared" si="43"/>
        <v>0</v>
      </c>
      <c r="DM30" s="81">
        <f t="shared" si="44"/>
        <v>0</v>
      </c>
      <c r="DN30" s="81" t="s">
        <v>7</v>
      </c>
      <c r="DO30" s="81">
        <f t="shared" si="45"/>
        <v>0</v>
      </c>
      <c r="DP30" s="81">
        <f t="shared" si="46"/>
        <v>0</v>
      </c>
      <c r="DQ30" s="81" t="s">
        <v>1</v>
      </c>
      <c r="DR30" s="81">
        <f t="shared" si="47"/>
        <v>0</v>
      </c>
      <c r="DS30" s="81">
        <f t="shared" si="48"/>
        <v>0</v>
      </c>
    </row>
    <row r="31" spans="1:123" x14ac:dyDescent="0.3">
      <c r="A31" s="52" t="s">
        <v>7</v>
      </c>
      <c r="B31" s="53">
        <f>SUM(B18:B30)</f>
        <v>9400</v>
      </c>
      <c r="C31" s="58"/>
      <c r="D31" s="59"/>
      <c r="N31" s="81">
        <f>IF(Q32=0,IF(Q31=0,,"x"),)</f>
        <v>0</v>
      </c>
      <c r="O31" s="81">
        <f t="shared" si="49"/>
        <v>0</v>
      </c>
      <c r="P31" s="81">
        <f t="shared" si="13"/>
        <v>0</v>
      </c>
      <c r="Q31" s="81">
        <f t="shared" si="50"/>
        <v>0</v>
      </c>
      <c r="R31" s="81">
        <f>IF(W31="",,SUM($W$4:W31))</f>
        <v>0</v>
      </c>
      <c r="S31" s="81">
        <f t="shared" si="14"/>
        <v>0</v>
      </c>
      <c r="T31" s="81">
        <f t="shared" si="51"/>
        <v>0</v>
      </c>
      <c r="U31" s="81">
        <f t="shared" si="15"/>
        <v>0</v>
      </c>
      <c r="V31" s="81" t="str">
        <f t="shared" ca="1" si="16"/>
        <v/>
      </c>
      <c r="W31" s="83"/>
      <c r="X31" s="81">
        <f t="shared" si="4"/>
        <v>0</v>
      </c>
      <c r="Y31" s="81">
        <f t="shared" si="5"/>
        <v>0</v>
      </c>
      <c r="AE31" s="81">
        <v>31</v>
      </c>
      <c r="AI31" s="81">
        <v>28</v>
      </c>
      <c r="AJ31" s="81" t="str">
        <f t="shared" si="0"/>
        <v>December 20</v>
      </c>
      <c r="AK31" s="81" t="str">
        <f t="shared" si="53"/>
        <v>December</v>
      </c>
      <c r="AL31" s="81">
        <f t="shared" si="54"/>
        <v>20</v>
      </c>
      <c r="AM31" s="81" t="str">
        <f t="shared" si="17"/>
        <v>='December 20'!</v>
      </c>
      <c r="AN31" s="81" t="str">
        <f t="shared" si="7"/>
        <v>='December 20'!C27</v>
      </c>
      <c r="AO31" s="81" t="s">
        <v>1031</v>
      </c>
      <c r="AR31" s="81" t="s">
        <v>91</v>
      </c>
      <c r="AS31" s="83" t="str">
        <f t="shared" si="1"/>
        <v>='December 20'!C6</v>
      </c>
      <c r="AT31" s="83">
        <f t="shared" si="2"/>
        <v>0</v>
      </c>
      <c r="AV31" s="81" t="s">
        <v>392</v>
      </c>
      <c r="AW31" s="81" t="s">
        <v>1615</v>
      </c>
      <c r="AX31" s="81" t="s">
        <v>1616</v>
      </c>
      <c r="AY31" s="81" t="s">
        <v>1617</v>
      </c>
      <c r="AZ31" s="81" t="s">
        <v>1618</v>
      </c>
      <c r="BA31" s="81" t="s">
        <v>1619</v>
      </c>
      <c r="BB31" s="81" t="s">
        <v>1620</v>
      </c>
      <c r="BC31" s="81" t="s">
        <v>1621</v>
      </c>
      <c r="BD31" s="81" t="s">
        <v>1622</v>
      </c>
      <c r="BE31" s="81" t="s">
        <v>1623</v>
      </c>
      <c r="BF31" s="81" t="s">
        <v>1624</v>
      </c>
      <c r="BG31" s="81" t="s">
        <v>1625</v>
      </c>
      <c r="BH31" s="81" t="s">
        <v>4648</v>
      </c>
      <c r="BI31" s="81" t="s">
        <v>4952</v>
      </c>
      <c r="BJ31" s="81" t="s">
        <v>91</v>
      </c>
      <c r="BL31" s="81" t="s">
        <v>695</v>
      </c>
      <c r="BM31" s="81">
        <v>28</v>
      </c>
      <c r="BN31" s="81" t="str">
        <f t="shared" si="3"/>
        <v>='December 20'!C12</v>
      </c>
      <c r="BP31" s="81" t="str">
        <f t="shared" ca="1" si="18"/>
        <v/>
      </c>
      <c r="BR31" s="84">
        <f t="shared" si="8"/>
        <v>0</v>
      </c>
      <c r="BS31" s="84">
        <f t="shared" si="9"/>
        <v>0</v>
      </c>
      <c r="CA31" s="81" t="s">
        <v>2</v>
      </c>
      <c r="CB31" s="81">
        <f t="shared" si="19"/>
        <v>0</v>
      </c>
      <c r="CC31" s="81">
        <f t="shared" si="20"/>
        <v>0</v>
      </c>
      <c r="CD31" s="81" t="s">
        <v>16</v>
      </c>
      <c r="CE31" s="81">
        <f t="shared" si="21"/>
        <v>0</v>
      </c>
      <c r="CF31" s="81">
        <f t="shared" si="22"/>
        <v>0</v>
      </c>
      <c r="CG31" s="81" t="s">
        <v>5</v>
      </c>
      <c r="CH31" s="81">
        <f t="shared" si="23"/>
        <v>0</v>
      </c>
      <c r="CI31" s="81">
        <f t="shared" si="24"/>
        <v>0</v>
      </c>
      <c r="CJ31" s="81" t="s">
        <v>18</v>
      </c>
      <c r="CK31" s="81">
        <f t="shared" si="25"/>
        <v>0</v>
      </c>
      <c r="CL31" s="81">
        <f t="shared" si="26"/>
        <v>0</v>
      </c>
      <c r="CM31" s="81" t="s">
        <v>4</v>
      </c>
      <c r="CN31" s="81">
        <f t="shared" si="27"/>
        <v>0</v>
      </c>
      <c r="CO31" s="81">
        <f t="shared" si="28"/>
        <v>0</v>
      </c>
      <c r="CP31" s="81" t="s">
        <v>22</v>
      </c>
      <c r="CQ31" s="81">
        <f t="shared" si="29"/>
        <v>0</v>
      </c>
      <c r="CR31" s="81">
        <f t="shared" si="30"/>
        <v>0</v>
      </c>
      <c r="CS31" s="81" t="s">
        <v>21</v>
      </c>
      <c r="CT31" s="81">
        <f t="shared" si="31"/>
        <v>0</v>
      </c>
      <c r="CU31" s="81">
        <f t="shared" si="32"/>
        <v>0</v>
      </c>
      <c r="CV31" s="81" t="s">
        <v>998</v>
      </c>
      <c r="CW31" s="81">
        <f t="shared" si="33"/>
        <v>0</v>
      </c>
      <c r="CX31" s="81">
        <f t="shared" si="34"/>
        <v>0</v>
      </c>
      <c r="CY31" s="81" t="s">
        <v>19</v>
      </c>
      <c r="CZ31" s="81">
        <f t="shared" si="35"/>
        <v>0</v>
      </c>
      <c r="DA31" s="81">
        <f t="shared" si="36"/>
        <v>0</v>
      </c>
      <c r="DB31" s="81" t="s">
        <v>20</v>
      </c>
      <c r="DC31" s="81">
        <f t="shared" si="37"/>
        <v>0</v>
      </c>
      <c r="DD31" s="81">
        <f t="shared" si="38"/>
        <v>0</v>
      </c>
      <c r="DE31" s="81" t="s">
        <v>23</v>
      </c>
      <c r="DF31" s="81">
        <f t="shared" si="39"/>
        <v>0</v>
      </c>
      <c r="DG31" s="81">
        <f t="shared" si="40"/>
        <v>0</v>
      </c>
      <c r="DH31" s="81" t="s">
        <v>15</v>
      </c>
      <c r="DI31" s="81">
        <f t="shared" si="41"/>
        <v>0</v>
      </c>
      <c r="DJ31" s="81">
        <f t="shared" si="42"/>
        <v>0</v>
      </c>
      <c r="DK31" s="81" t="s">
        <v>5253</v>
      </c>
      <c r="DL31" s="81">
        <f t="shared" si="43"/>
        <v>0</v>
      </c>
      <c r="DM31" s="81">
        <f t="shared" si="44"/>
        <v>0</v>
      </c>
      <c r="DN31" s="81" t="s">
        <v>7</v>
      </c>
      <c r="DO31" s="81">
        <f t="shared" si="45"/>
        <v>0</v>
      </c>
      <c r="DP31" s="81">
        <f t="shared" si="46"/>
        <v>0</v>
      </c>
      <c r="DQ31" s="81" t="s">
        <v>1</v>
      </c>
      <c r="DR31" s="81">
        <f t="shared" si="47"/>
        <v>0</v>
      </c>
      <c r="DS31" s="81">
        <f t="shared" si="48"/>
        <v>0</v>
      </c>
    </row>
    <row r="32" spans="1:123" x14ac:dyDescent="0.3">
      <c r="A32" s="40"/>
      <c r="B32" s="60"/>
      <c r="N32" s="81">
        <f>IF(Q33=0,IF(Q32=0,,"x"),)</f>
        <v>0</v>
      </c>
      <c r="O32" s="81">
        <f t="shared" si="49"/>
        <v>0</v>
      </c>
      <c r="P32" s="81">
        <f t="shared" si="13"/>
        <v>0</v>
      </c>
      <c r="Q32" s="81">
        <f t="shared" si="50"/>
        <v>0</v>
      </c>
      <c r="R32" s="81">
        <f>IF(W32="",,SUM($W$4:W32))</f>
        <v>0</v>
      </c>
      <c r="S32" s="81">
        <f t="shared" si="14"/>
        <v>0</v>
      </c>
      <c r="T32" s="81">
        <f t="shared" si="51"/>
        <v>0</v>
      </c>
      <c r="U32" s="81">
        <f t="shared" si="15"/>
        <v>0</v>
      </c>
      <c r="V32" s="81" t="str">
        <f t="shared" ca="1" si="16"/>
        <v/>
      </c>
      <c r="W32" s="83"/>
      <c r="X32" s="81">
        <f t="shared" si="4"/>
        <v>0</v>
      </c>
      <c r="Y32" s="81">
        <f t="shared" si="5"/>
        <v>0</v>
      </c>
      <c r="AE32" s="81">
        <v>32</v>
      </c>
      <c r="AI32" s="81">
        <v>29</v>
      </c>
      <c r="AJ32" s="81" t="str">
        <f t="shared" si="0"/>
        <v>Januari 21</v>
      </c>
      <c r="AK32" s="81" t="str">
        <f t="shared" si="53"/>
        <v>Januari</v>
      </c>
      <c r="AL32" s="81">
        <f t="shared" si="54"/>
        <v>21</v>
      </c>
      <c r="AM32" s="81" t="str">
        <f t="shared" si="17"/>
        <v>='Januari 21'!</v>
      </c>
      <c r="AN32" s="81" t="str">
        <f t="shared" si="7"/>
        <v>='Januari 21'!C27</v>
      </c>
      <c r="AO32" s="81" t="s">
        <v>1032</v>
      </c>
      <c r="AR32" s="81" t="s">
        <v>92</v>
      </c>
      <c r="AS32" s="83" t="str">
        <f t="shared" si="1"/>
        <v>='Januari 21'!C6</v>
      </c>
      <c r="AT32" s="83">
        <f t="shared" si="2"/>
        <v>0</v>
      </c>
      <c r="AV32" s="81" t="s">
        <v>393</v>
      </c>
      <c r="AW32" s="81" t="s">
        <v>1626</v>
      </c>
      <c r="AX32" s="81" t="s">
        <v>1627</v>
      </c>
      <c r="AY32" s="81" t="s">
        <v>1628</v>
      </c>
      <c r="AZ32" s="81" t="s">
        <v>1629</v>
      </c>
      <c r="BA32" s="81" t="s">
        <v>1630</v>
      </c>
      <c r="BB32" s="81" t="s">
        <v>1631</v>
      </c>
      <c r="BC32" s="81" t="s">
        <v>1632</v>
      </c>
      <c r="BD32" s="81" t="s">
        <v>1633</v>
      </c>
      <c r="BE32" s="81" t="s">
        <v>1634</v>
      </c>
      <c r="BF32" s="81" t="s">
        <v>1635</v>
      </c>
      <c r="BG32" s="81" t="s">
        <v>1636</v>
      </c>
      <c r="BH32" s="81" t="s">
        <v>4649</v>
      </c>
      <c r="BI32" s="81" t="s">
        <v>4953</v>
      </c>
      <c r="BJ32" s="81" t="s">
        <v>92</v>
      </c>
      <c r="BL32" s="81" t="s">
        <v>696</v>
      </c>
      <c r="BM32" s="81">
        <v>29</v>
      </c>
      <c r="BN32" s="81" t="str">
        <f t="shared" si="3"/>
        <v>='Januari 21'!C12</v>
      </c>
      <c r="BP32" s="81" t="str">
        <f t="shared" ca="1" si="18"/>
        <v/>
      </c>
      <c r="BR32" s="84">
        <f t="shared" si="8"/>
        <v>0</v>
      </c>
      <c r="BS32" s="84">
        <f t="shared" si="9"/>
        <v>0</v>
      </c>
      <c r="CA32" s="81" t="s">
        <v>2</v>
      </c>
      <c r="CB32" s="81">
        <f t="shared" si="19"/>
        <v>0</v>
      </c>
      <c r="CC32" s="81">
        <f t="shared" si="20"/>
        <v>0</v>
      </c>
      <c r="CD32" s="81" t="s">
        <v>16</v>
      </c>
      <c r="CE32" s="81">
        <f t="shared" si="21"/>
        <v>0</v>
      </c>
      <c r="CF32" s="81">
        <f t="shared" si="22"/>
        <v>0</v>
      </c>
      <c r="CG32" s="81" t="s">
        <v>5</v>
      </c>
      <c r="CH32" s="81">
        <f t="shared" si="23"/>
        <v>0</v>
      </c>
      <c r="CI32" s="81">
        <f t="shared" si="24"/>
        <v>0</v>
      </c>
      <c r="CJ32" s="81" t="s">
        <v>18</v>
      </c>
      <c r="CK32" s="81">
        <f t="shared" si="25"/>
        <v>0</v>
      </c>
      <c r="CL32" s="81">
        <f t="shared" si="26"/>
        <v>0</v>
      </c>
      <c r="CM32" s="81" t="s">
        <v>4</v>
      </c>
      <c r="CN32" s="81">
        <f t="shared" si="27"/>
        <v>0</v>
      </c>
      <c r="CO32" s="81">
        <f t="shared" si="28"/>
        <v>0</v>
      </c>
      <c r="CP32" s="81" t="s">
        <v>22</v>
      </c>
      <c r="CQ32" s="81">
        <f t="shared" si="29"/>
        <v>0</v>
      </c>
      <c r="CR32" s="81">
        <f t="shared" si="30"/>
        <v>0</v>
      </c>
      <c r="CS32" s="81" t="s">
        <v>21</v>
      </c>
      <c r="CT32" s="81">
        <f t="shared" si="31"/>
        <v>0</v>
      </c>
      <c r="CU32" s="81">
        <f t="shared" si="32"/>
        <v>0</v>
      </c>
      <c r="CV32" s="81" t="s">
        <v>998</v>
      </c>
      <c r="CW32" s="81">
        <f t="shared" si="33"/>
        <v>0</v>
      </c>
      <c r="CX32" s="81">
        <f t="shared" si="34"/>
        <v>0</v>
      </c>
      <c r="CY32" s="81" t="s">
        <v>19</v>
      </c>
      <c r="CZ32" s="81">
        <f t="shared" si="35"/>
        <v>0</v>
      </c>
      <c r="DA32" s="81">
        <f t="shared" si="36"/>
        <v>0</v>
      </c>
      <c r="DB32" s="81" t="s">
        <v>20</v>
      </c>
      <c r="DC32" s="81">
        <f t="shared" si="37"/>
        <v>0</v>
      </c>
      <c r="DD32" s="81">
        <f t="shared" si="38"/>
        <v>0</v>
      </c>
      <c r="DE32" s="81" t="s">
        <v>23</v>
      </c>
      <c r="DF32" s="81">
        <f t="shared" si="39"/>
        <v>0</v>
      </c>
      <c r="DG32" s="81">
        <f t="shared" si="40"/>
        <v>0</v>
      </c>
      <c r="DH32" s="81" t="s">
        <v>15</v>
      </c>
      <c r="DI32" s="81">
        <f t="shared" si="41"/>
        <v>0</v>
      </c>
      <c r="DJ32" s="81">
        <f t="shared" si="42"/>
        <v>0</v>
      </c>
      <c r="DK32" s="81" t="s">
        <v>5254</v>
      </c>
      <c r="DL32" s="81">
        <f t="shared" si="43"/>
        <v>0</v>
      </c>
      <c r="DM32" s="81">
        <f t="shared" si="44"/>
        <v>0</v>
      </c>
      <c r="DN32" s="81" t="s">
        <v>7</v>
      </c>
      <c r="DO32" s="81">
        <f t="shared" si="45"/>
        <v>0</v>
      </c>
      <c r="DP32" s="81">
        <f t="shared" si="46"/>
        <v>0</v>
      </c>
      <c r="DQ32" s="81" t="s">
        <v>1</v>
      </c>
      <c r="DR32" s="81">
        <f t="shared" si="47"/>
        <v>0</v>
      </c>
      <c r="DS32" s="81">
        <f t="shared" si="48"/>
        <v>0</v>
      </c>
    </row>
    <row r="33" spans="1:123" ht="15" thickBot="1" x14ac:dyDescent="0.35">
      <c r="A33" s="44" t="s">
        <v>3</v>
      </c>
      <c r="B33" s="61">
        <f>B14-B31</f>
        <v>1544</v>
      </c>
      <c r="C33" s="62">
        <v>0.25</v>
      </c>
      <c r="D33" s="63"/>
      <c r="N33" s="81">
        <f>IF(Q34=0,IF(Q33=0,,"x"),)</f>
        <v>0</v>
      </c>
      <c r="O33" s="81">
        <f t="shared" si="49"/>
        <v>0</v>
      </c>
      <c r="P33" s="81">
        <f t="shared" si="13"/>
        <v>0</v>
      </c>
      <c r="Q33" s="81">
        <f t="shared" si="50"/>
        <v>0</v>
      </c>
      <c r="R33" s="81">
        <f>IF(W33="",,SUM($W$4:W33))</f>
        <v>0</v>
      </c>
      <c r="S33" s="81">
        <f t="shared" si="14"/>
        <v>0</v>
      </c>
      <c r="T33" s="81">
        <f t="shared" si="51"/>
        <v>0</v>
      </c>
      <c r="U33" s="81">
        <f t="shared" si="15"/>
        <v>0</v>
      </c>
      <c r="V33" s="81" t="str">
        <f t="shared" ca="1" si="16"/>
        <v/>
      </c>
      <c r="W33" s="83"/>
      <c r="X33" s="81">
        <f t="shared" si="4"/>
        <v>0</v>
      </c>
      <c r="Y33" s="81">
        <f t="shared" si="5"/>
        <v>0</v>
      </c>
      <c r="AE33" s="81">
        <v>33</v>
      </c>
      <c r="AI33" s="81">
        <v>30</v>
      </c>
      <c r="AJ33" s="81" t="str">
        <f t="shared" si="0"/>
        <v>Februari 21</v>
      </c>
      <c r="AK33" s="81" t="str">
        <f t="shared" si="53"/>
        <v>Februari</v>
      </c>
      <c r="AL33" s="81">
        <f t="shared" si="54"/>
        <v>21</v>
      </c>
      <c r="AM33" s="81" t="str">
        <f t="shared" si="17"/>
        <v>='Februari 21'!</v>
      </c>
      <c r="AN33" s="81" t="str">
        <f t="shared" si="7"/>
        <v>='Februari 21'!C27</v>
      </c>
      <c r="AO33" s="81" t="s">
        <v>1033</v>
      </c>
      <c r="AR33" s="81" t="s">
        <v>93</v>
      </c>
      <c r="AS33" s="83" t="str">
        <f t="shared" si="1"/>
        <v>='Februari 21'!C6</v>
      </c>
      <c r="AT33" s="83">
        <f t="shared" si="2"/>
        <v>0</v>
      </c>
      <c r="AV33" s="81" t="s">
        <v>394</v>
      </c>
      <c r="AW33" s="81" t="s">
        <v>1637</v>
      </c>
      <c r="AX33" s="81" t="s">
        <v>1638</v>
      </c>
      <c r="AY33" s="81" t="s">
        <v>1639</v>
      </c>
      <c r="AZ33" s="81" t="s">
        <v>1640</v>
      </c>
      <c r="BA33" s="81" t="s">
        <v>1641</v>
      </c>
      <c r="BB33" s="81" t="s">
        <v>1642</v>
      </c>
      <c r="BC33" s="81" t="s">
        <v>1643</v>
      </c>
      <c r="BD33" s="81" t="s">
        <v>1644</v>
      </c>
      <c r="BE33" s="81" t="s">
        <v>1645</v>
      </c>
      <c r="BF33" s="81" t="s">
        <v>1646</v>
      </c>
      <c r="BG33" s="81" t="s">
        <v>1647</v>
      </c>
      <c r="BH33" s="81" t="s">
        <v>4650</v>
      </c>
      <c r="BI33" s="81" t="s">
        <v>4954</v>
      </c>
      <c r="BJ33" s="81" t="s">
        <v>93</v>
      </c>
      <c r="BL33" s="81" t="s">
        <v>697</v>
      </c>
      <c r="BM33" s="81">
        <v>30</v>
      </c>
      <c r="BN33" s="81" t="str">
        <f t="shared" si="3"/>
        <v>='Februari 21'!C12</v>
      </c>
      <c r="BP33" s="81" t="str">
        <f t="shared" ca="1" si="18"/>
        <v/>
      </c>
      <c r="BR33" s="84">
        <f t="shared" si="8"/>
        <v>0</v>
      </c>
      <c r="BS33" s="84">
        <f t="shared" si="9"/>
        <v>0</v>
      </c>
      <c r="CA33" s="81" t="s">
        <v>2</v>
      </c>
      <c r="CB33" s="81">
        <f t="shared" si="19"/>
        <v>0</v>
      </c>
      <c r="CC33" s="81">
        <f t="shared" si="20"/>
        <v>0</v>
      </c>
      <c r="CD33" s="81" t="s">
        <v>16</v>
      </c>
      <c r="CE33" s="81">
        <f t="shared" si="21"/>
        <v>0</v>
      </c>
      <c r="CF33" s="81">
        <f t="shared" si="22"/>
        <v>0</v>
      </c>
      <c r="CG33" s="81" t="s">
        <v>5</v>
      </c>
      <c r="CH33" s="81">
        <f t="shared" si="23"/>
        <v>0</v>
      </c>
      <c r="CI33" s="81">
        <f t="shared" si="24"/>
        <v>0</v>
      </c>
      <c r="CJ33" s="81" t="s">
        <v>18</v>
      </c>
      <c r="CK33" s="81">
        <f t="shared" si="25"/>
        <v>0</v>
      </c>
      <c r="CL33" s="81">
        <f t="shared" si="26"/>
        <v>0</v>
      </c>
      <c r="CM33" s="81" t="s">
        <v>4</v>
      </c>
      <c r="CN33" s="81">
        <f t="shared" si="27"/>
        <v>0</v>
      </c>
      <c r="CO33" s="81">
        <f t="shared" si="28"/>
        <v>0</v>
      </c>
      <c r="CP33" s="81" t="s">
        <v>22</v>
      </c>
      <c r="CQ33" s="81">
        <f t="shared" si="29"/>
        <v>0</v>
      </c>
      <c r="CR33" s="81">
        <f t="shared" si="30"/>
        <v>0</v>
      </c>
      <c r="CS33" s="81" t="s">
        <v>21</v>
      </c>
      <c r="CT33" s="81">
        <f t="shared" si="31"/>
        <v>0</v>
      </c>
      <c r="CU33" s="81">
        <f t="shared" si="32"/>
        <v>0</v>
      </c>
      <c r="CV33" s="81" t="s">
        <v>998</v>
      </c>
      <c r="CW33" s="81">
        <f t="shared" si="33"/>
        <v>0</v>
      </c>
      <c r="CX33" s="81">
        <f t="shared" si="34"/>
        <v>0</v>
      </c>
      <c r="CY33" s="81" t="s">
        <v>19</v>
      </c>
      <c r="CZ33" s="81">
        <f t="shared" si="35"/>
        <v>0</v>
      </c>
      <c r="DA33" s="81">
        <f t="shared" si="36"/>
        <v>0</v>
      </c>
      <c r="DB33" s="81" t="s">
        <v>20</v>
      </c>
      <c r="DC33" s="81">
        <f t="shared" si="37"/>
        <v>0</v>
      </c>
      <c r="DD33" s="81">
        <f t="shared" si="38"/>
        <v>0</v>
      </c>
      <c r="DE33" s="81" t="s">
        <v>23</v>
      </c>
      <c r="DF33" s="81">
        <f t="shared" si="39"/>
        <v>0</v>
      </c>
      <c r="DG33" s="81">
        <f t="shared" si="40"/>
        <v>0</v>
      </c>
      <c r="DH33" s="81" t="s">
        <v>15</v>
      </c>
      <c r="DI33" s="81">
        <f t="shared" si="41"/>
        <v>0</v>
      </c>
      <c r="DJ33" s="81">
        <f t="shared" si="42"/>
        <v>0</v>
      </c>
      <c r="DK33" s="81" t="s">
        <v>5255</v>
      </c>
      <c r="DL33" s="81">
        <f t="shared" si="43"/>
        <v>0</v>
      </c>
      <c r="DM33" s="81">
        <f t="shared" si="44"/>
        <v>0</v>
      </c>
      <c r="DN33" s="81" t="s">
        <v>7</v>
      </c>
      <c r="DO33" s="81">
        <f t="shared" si="45"/>
        <v>0</v>
      </c>
      <c r="DP33" s="81">
        <f t="shared" si="46"/>
        <v>0</v>
      </c>
      <c r="DQ33" s="81" t="s">
        <v>1</v>
      </c>
      <c r="DR33" s="81">
        <f t="shared" si="47"/>
        <v>0</v>
      </c>
      <c r="DS33" s="81">
        <f t="shared" si="48"/>
        <v>0</v>
      </c>
    </row>
    <row r="34" spans="1:123" x14ac:dyDescent="0.3">
      <c r="N34" s="81">
        <f>IF(Q35=0,IF(Q34=0,,"x"),)</f>
        <v>0</v>
      </c>
      <c r="O34" s="81">
        <f t="shared" si="49"/>
        <v>0</v>
      </c>
      <c r="P34" s="81">
        <f t="shared" si="13"/>
        <v>0</v>
      </c>
      <c r="Q34" s="81">
        <f t="shared" si="50"/>
        <v>0</v>
      </c>
      <c r="R34" s="81">
        <f>IF(W34="",,SUM($W$4:W34))</f>
        <v>0</v>
      </c>
      <c r="S34" s="81">
        <f t="shared" si="14"/>
        <v>0</v>
      </c>
      <c r="T34" s="81">
        <f t="shared" si="51"/>
        <v>0</v>
      </c>
      <c r="U34" s="81">
        <f t="shared" si="15"/>
        <v>0</v>
      </c>
      <c r="V34" s="81" t="str">
        <f t="shared" ca="1" si="16"/>
        <v/>
      </c>
      <c r="W34" s="83"/>
      <c r="X34" s="81">
        <f t="shared" si="4"/>
        <v>0</v>
      </c>
      <c r="Y34" s="81">
        <f t="shared" si="5"/>
        <v>0</v>
      </c>
      <c r="AE34" s="81">
        <v>34</v>
      </c>
      <c r="AI34" s="81">
        <v>31</v>
      </c>
      <c r="AJ34" s="81" t="str">
        <f t="shared" si="0"/>
        <v>Mars 21</v>
      </c>
      <c r="AK34" s="81" t="str">
        <f t="shared" si="53"/>
        <v>Mars</v>
      </c>
      <c r="AL34" s="81">
        <f t="shared" si="54"/>
        <v>21</v>
      </c>
      <c r="AM34" s="81" t="str">
        <f t="shared" si="17"/>
        <v>='Mars 21'!</v>
      </c>
      <c r="AN34" s="81" t="str">
        <f t="shared" si="7"/>
        <v>='Mars 21'!C27</v>
      </c>
      <c r="AO34" s="81" t="s">
        <v>1034</v>
      </c>
      <c r="AR34" s="81" t="s">
        <v>94</v>
      </c>
      <c r="AS34" s="83" t="str">
        <f t="shared" si="1"/>
        <v>='Mars 21'!C6</v>
      </c>
      <c r="AT34" s="83">
        <f t="shared" si="2"/>
        <v>0</v>
      </c>
      <c r="AV34" s="81" t="s">
        <v>395</v>
      </c>
      <c r="AW34" s="81" t="s">
        <v>1648</v>
      </c>
      <c r="AX34" s="81" t="s">
        <v>1649</v>
      </c>
      <c r="AY34" s="81" t="s">
        <v>1650</v>
      </c>
      <c r="AZ34" s="81" t="s">
        <v>1651</v>
      </c>
      <c r="BA34" s="81" t="s">
        <v>1652</v>
      </c>
      <c r="BB34" s="81" t="s">
        <v>1653</v>
      </c>
      <c r="BC34" s="81" t="s">
        <v>1654</v>
      </c>
      <c r="BD34" s="81" t="s">
        <v>1655</v>
      </c>
      <c r="BE34" s="81" t="s">
        <v>1656</v>
      </c>
      <c r="BF34" s="81" t="s">
        <v>1657</v>
      </c>
      <c r="BG34" s="81" t="s">
        <v>1658</v>
      </c>
      <c r="BH34" s="81" t="s">
        <v>4651</v>
      </c>
      <c r="BI34" s="81" t="s">
        <v>4955</v>
      </c>
      <c r="BJ34" s="81" t="s">
        <v>94</v>
      </c>
      <c r="BL34" s="81" t="s">
        <v>698</v>
      </c>
      <c r="BM34" s="81">
        <v>31</v>
      </c>
      <c r="BN34" s="81" t="str">
        <f t="shared" si="3"/>
        <v>='Mars 21'!C12</v>
      </c>
      <c r="BP34" s="81" t="str">
        <f t="shared" ca="1" si="18"/>
        <v/>
      </c>
      <c r="BR34" s="84">
        <f t="shared" si="8"/>
        <v>0</v>
      </c>
      <c r="BS34" s="84">
        <f t="shared" si="9"/>
        <v>0</v>
      </c>
      <c r="CA34" s="81" t="s">
        <v>2</v>
      </c>
      <c r="CB34" s="81">
        <f t="shared" si="19"/>
        <v>0</v>
      </c>
      <c r="CC34" s="81">
        <f t="shared" si="20"/>
        <v>0</v>
      </c>
      <c r="CD34" s="81" t="s">
        <v>16</v>
      </c>
      <c r="CE34" s="81">
        <f t="shared" si="21"/>
        <v>0</v>
      </c>
      <c r="CF34" s="81">
        <f t="shared" si="22"/>
        <v>0</v>
      </c>
      <c r="CG34" s="81" t="s">
        <v>5</v>
      </c>
      <c r="CH34" s="81">
        <f t="shared" si="23"/>
        <v>0</v>
      </c>
      <c r="CI34" s="81">
        <f t="shared" si="24"/>
        <v>0</v>
      </c>
      <c r="CJ34" s="81" t="s">
        <v>18</v>
      </c>
      <c r="CK34" s="81">
        <f t="shared" si="25"/>
        <v>0</v>
      </c>
      <c r="CL34" s="81">
        <f t="shared" si="26"/>
        <v>0</v>
      </c>
      <c r="CM34" s="81" t="s">
        <v>4</v>
      </c>
      <c r="CN34" s="81">
        <f t="shared" si="27"/>
        <v>0</v>
      </c>
      <c r="CO34" s="81">
        <f t="shared" si="28"/>
        <v>0</v>
      </c>
      <c r="CP34" s="81" t="s">
        <v>22</v>
      </c>
      <c r="CQ34" s="81">
        <f t="shared" si="29"/>
        <v>0</v>
      </c>
      <c r="CR34" s="81">
        <f t="shared" si="30"/>
        <v>0</v>
      </c>
      <c r="CS34" s="81" t="s">
        <v>21</v>
      </c>
      <c r="CT34" s="81">
        <f t="shared" si="31"/>
        <v>0</v>
      </c>
      <c r="CU34" s="81">
        <f t="shared" si="32"/>
        <v>0</v>
      </c>
      <c r="CV34" s="81" t="s">
        <v>998</v>
      </c>
      <c r="CW34" s="81">
        <f t="shared" si="33"/>
        <v>0</v>
      </c>
      <c r="CX34" s="81">
        <f t="shared" si="34"/>
        <v>0</v>
      </c>
      <c r="CY34" s="81" t="s">
        <v>19</v>
      </c>
      <c r="CZ34" s="81">
        <f t="shared" si="35"/>
        <v>0</v>
      </c>
      <c r="DA34" s="81">
        <f t="shared" si="36"/>
        <v>0</v>
      </c>
      <c r="DB34" s="81" t="s">
        <v>20</v>
      </c>
      <c r="DC34" s="81">
        <f t="shared" si="37"/>
        <v>0</v>
      </c>
      <c r="DD34" s="81">
        <f t="shared" si="38"/>
        <v>0</v>
      </c>
      <c r="DE34" s="81" t="s">
        <v>23</v>
      </c>
      <c r="DF34" s="81">
        <f t="shared" si="39"/>
        <v>0</v>
      </c>
      <c r="DG34" s="81">
        <f t="shared" si="40"/>
        <v>0</v>
      </c>
      <c r="DH34" s="81" t="s">
        <v>15</v>
      </c>
      <c r="DI34" s="81">
        <f t="shared" si="41"/>
        <v>0</v>
      </c>
      <c r="DJ34" s="81">
        <f t="shared" si="42"/>
        <v>0</v>
      </c>
      <c r="DK34" s="81" t="s">
        <v>5256</v>
      </c>
      <c r="DL34" s="81">
        <f t="shared" si="43"/>
        <v>0</v>
      </c>
      <c r="DM34" s="81">
        <f t="shared" si="44"/>
        <v>0</v>
      </c>
      <c r="DN34" s="81" t="s">
        <v>7</v>
      </c>
      <c r="DO34" s="81">
        <f t="shared" si="45"/>
        <v>0</v>
      </c>
      <c r="DP34" s="81">
        <f t="shared" si="46"/>
        <v>0</v>
      </c>
      <c r="DQ34" s="81" t="s">
        <v>1</v>
      </c>
      <c r="DR34" s="81">
        <f t="shared" si="47"/>
        <v>0</v>
      </c>
      <c r="DS34" s="81">
        <f t="shared" si="48"/>
        <v>0</v>
      </c>
    </row>
    <row r="35" spans="1:123" x14ac:dyDescent="0.3">
      <c r="N35" s="81">
        <f>IF(Q36=0,IF(Q35=0,,"x"),)</f>
        <v>0</v>
      </c>
      <c r="O35" s="81">
        <f t="shared" si="49"/>
        <v>0</v>
      </c>
      <c r="P35" s="81">
        <f t="shared" si="13"/>
        <v>0</v>
      </c>
      <c r="Q35" s="81">
        <f t="shared" si="50"/>
        <v>0</v>
      </c>
      <c r="R35" s="81">
        <f>IF(W35="",,SUM($W$4:W35))</f>
        <v>0</v>
      </c>
      <c r="S35" s="81">
        <f t="shared" si="14"/>
        <v>0</v>
      </c>
      <c r="T35" s="81">
        <f t="shared" si="51"/>
        <v>0</v>
      </c>
      <c r="U35" s="81">
        <f t="shared" si="15"/>
        <v>0</v>
      </c>
      <c r="V35" s="81" t="str">
        <f t="shared" ca="1" si="16"/>
        <v/>
      </c>
      <c r="W35" s="83"/>
      <c r="X35" s="81">
        <f t="shared" si="4"/>
        <v>0</v>
      </c>
      <c r="Y35" s="81">
        <f t="shared" si="5"/>
        <v>0</v>
      </c>
      <c r="AE35" s="81">
        <v>35</v>
      </c>
      <c r="AI35" s="81">
        <v>32</v>
      </c>
      <c r="AJ35" s="81" t="str">
        <f t="shared" si="0"/>
        <v>April 21</v>
      </c>
      <c r="AK35" s="81" t="str">
        <f t="shared" si="53"/>
        <v>April</v>
      </c>
      <c r="AL35" s="81">
        <f t="shared" si="54"/>
        <v>21</v>
      </c>
      <c r="AM35" s="81" t="str">
        <f t="shared" si="17"/>
        <v>='April 21'!</v>
      </c>
      <c r="AN35" s="81" t="str">
        <f t="shared" si="7"/>
        <v>='April 21'!C27</v>
      </c>
      <c r="AO35" s="81" t="s">
        <v>1035</v>
      </c>
      <c r="AR35" s="81" t="s">
        <v>95</v>
      </c>
      <c r="AS35" s="83" t="str">
        <f t="shared" si="1"/>
        <v>='April 21'!C6</v>
      </c>
      <c r="AT35" s="83">
        <f t="shared" si="2"/>
        <v>0</v>
      </c>
      <c r="AV35" s="81" t="s">
        <v>396</v>
      </c>
      <c r="AW35" s="81" t="s">
        <v>1659</v>
      </c>
      <c r="AX35" s="81" t="s">
        <v>1660</v>
      </c>
      <c r="AY35" s="81" t="s">
        <v>1661</v>
      </c>
      <c r="AZ35" s="81" t="s">
        <v>1662</v>
      </c>
      <c r="BA35" s="81" t="s">
        <v>1663</v>
      </c>
      <c r="BB35" s="81" t="s">
        <v>1664</v>
      </c>
      <c r="BC35" s="81" t="s">
        <v>1665</v>
      </c>
      <c r="BD35" s="81" t="s">
        <v>1666</v>
      </c>
      <c r="BE35" s="81" t="s">
        <v>1667</v>
      </c>
      <c r="BF35" s="81" t="s">
        <v>1668</v>
      </c>
      <c r="BG35" s="81" t="s">
        <v>1669</v>
      </c>
      <c r="BH35" s="81" t="s">
        <v>4652</v>
      </c>
      <c r="BI35" s="81" t="s">
        <v>4956</v>
      </c>
      <c r="BJ35" s="81" t="s">
        <v>95</v>
      </c>
      <c r="BL35" s="81" t="s">
        <v>699</v>
      </c>
      <c r="BM35" s="81">
        <v>32</v>
      </c>
      <c r="BN35" s="81" t="str">
        <f t="shared" si="3"/>
        <v>='April 21'!C12</v>
      </c>
      <c r="BP35" s="81" t="str">
        <f t="shared" ca="1" si="18"/>
        <v/>
      </c>
      <c r="BR35" s="84">
        <f t="shared" si="8"/>
        <v>0</v>
      </c>
      <c r="BS35" s="84">
        <f t="shared" si="9"/>
        <v>0</v>
      </c>
      <c r="CA35" s="81" t="s">
        <v>2</v>
      </c>
      <c r="CB35" s="81">
        <f t="shared" si="19"/>
        <v>0</v>
      </c>
      <c r="CC35" s="81">
        <f t="shared" si="20"/>
        <v>0</v>
      </c>
      <c r="CD35" s="81" t="s">
        <v>16</v>
      </c>
      <c r="CE35" s="81">
        <f t="shared" si="21"/>
        <v>0</v>
      </c>
      <c r="CF35" s="81">
        <f t="shared" si="22"/>
        <v>0</v>
      </c>
      <c r="CG35" s="81" t="s">
        <v>5</v>
      </c>
      <c r="CH35" s="81">
        <f t="shared" si="23"/>
        <v>0</v>
      </c>
      <c r="CI35" s="81">
        <f t="shared" si="24"/>
        <v>0</v>
      </c>
      <c r="CJ35" s="81" t="s">
        <v>18</v>
      </c>
      <c r="CK35" s="81">
        <f t="shared" si="25"/>
        <v>0</v>
      </c>
      <c r="CL35" s="81">
        <f t="shared" si="26"/>
        <v>0</v>
      </c>
      <c r="CM35" s="81" t="s">
        <v>4</v>
      </c>
      <c r="CN35" s="81">
        <f t="shared" si="27"/>
        <v>0</v>
      </c>
      <c r="CO35" s="81">
        <f t="shared" si="28"/>
        <v>0</v>
      </c>
      <c r="CP35" s="81" t="s">
        <v>22</v>
      </c>
      <c r="CQ35" s="81">
        <f t="shared" si="29"/>
        <v>0</v>
      </c>
      <c r="CR35" s="81">
        <f t="shared" si="30"/>
        <v>0</v>
      </c>
      <c r="CS35" s="81" t="s">
        <v>21</v>
      </c>
      <c r="CT35" s="81">
        <f t="shared" si="31"/>
        <v>0</v>
      </c>
      <c r="CU35" s="81">
        <f t="shared" si="32"/>
        <v>0</v>
      </c>
      <c r="CV35" s="81" t="s">
        <v>998</v>
      </c>
      <c r="CW35" s="81">
        <f t="shared" si="33"/>
        <v>0</v>
      </c>
      <c r="CX35" s="81">
        <f t="shared" si="34"/>
        <v>0</v>
      </c>
      <c r="CY35" s="81" t="s">
        <v>19</v>
      </c>
      <c r="CZ35" s="81">
        <f t="shared" si="35"/>
        <v>0</v>
      </c>
      <c r="DA35" s="81">
        <f t="shared" si="36"/>
        <v>0</v>
      </c>
      <c r="DB35" s="81" t="s">
        <v>20</v>
      </c>
      <c r="DC35" s="81">
        <f t="shared" si="37"/>
        <v>0</v>
      </c>
      <c r="DD35" s="81">
        <f t="shared" si="38"/>
        <v>0</v>
      </c>
      <c r="DE35" s="81" t="s">
        <v>23</v>
      </c>
      <c r="DF35" s="81">
        <f t="shared" si="39"/>
        <v>0</v>
      </c>
      <c r="DG35" s="81">
        <f t="shared" si="40"/>
        <v>0</v>
      </c>
      <c r="DH35" s="81" t="s">
        <v>15</v>
      </c>
      <c r="DI35" s="81">
        <f t="shared" si="41"/>
        <v>0</v>
      </c>
      <c r="DJ35" s="81">
        <f t="shared" si="42"/>
        <v>0</v>
      </c>
      <c r="DK35" s="81" t="s">
        <v>5257</v>
      </c>
      <c r="DL35" s="81">
        <f t="shared" si="43"/>
        <v>0</v>
      </c>
      <c r="DM35" s="81">
        <f t="shared" si="44"/>
        <v>0</v>
      </c>
      <c r="DN35" s="81" t="s">
        <v>7</v>
      </c>
      <c r="DO35" s="81">
        <f t="shared" si="45"/>
        <v>0</v>
      </c>
      <c r="DP35" s="81">
        <f t="shared" si="46"/>
        <v>0</v>
      </c>
      <c r="DQ35" s="81" t="s">
        <v>1</v>
      </c>
      <c r="DR35" s="81">
        <f t="shared" si="47"/>
        <v>0</v>
      </c>
      <c r="DS35" s="81">
        <f t="shared" si="48"/>
        <v>0</v>
      </c>
    </row>
    <row r="36" spans="1:123" x14ac:dyDescent="0.3">
      <c r="N36" s="81">
        <f>IF(Q37=0,IF(Q36=0,,"x"),)</f>
        <v>0</v>
      </c>
      <c r="O36" s="81">
        <f t="shared" si="49"/>
        <v>0</v>
      </c>
      <c r="P36" s="81">
        <f t="shared" si="13"/>
        <v>0</v>
      </c>
      <c r="Q36" s="81">
        <f t="shared" si="50"/>
        <v>0</v>
      </c>
      <c r="R36" s="81">
        <f>IF(W36="",,SUM($W$4:W36))</f>
        <v>0</v>
      </c>
      <c r="S36" s="81">
        <f t="shared" si="14"/>
        <v>0</v>
      </c>
      <c r="T36" s="81">
        <f t="shared" si="51"/>
        <v>0</v>
      </c>
      <c r="U36" s="81">
        <f t="shared" si="15"/>
        <v>0</v>
      </c>
      <c r="V36" s="81" t="str">
        <f t="shared" ca="1" si="16"/>
        <v/>
      </c>
      <c r="W36" s="83"/>
      <c r="X36" s="81">
        <f t="shared" ref="X36:X67" si="55">IF(W36&gt;$B$33*(1+$C$33),W36,0)</f>
        <v>0</v>
      </c>
      <c r="Y36" s="81">
        <f t="shared" ref="Y36:Y67" si="56">IF(W36&lt;$B$33*(1-$C$33),W36,0)</f>
        <v>0</v>
      </c>
      <c r="AE36" s="81">
        <v>36</v>
      </c>
      <c r="AI36" s="81">
        <v>33</v>
      </c>
      <c r="AJ36" s="81" t="str">
        <f t="shared" si="0"/>
        <v>Maj 21</v>
      </c>
      <c r="AK36" s="81" t="str">
        <f t="shared" si="53"/>
        <v>Maj</v>
      </c>
      <c r="AL36" s="81">
        <f t="shared" si="54"/>
        <v>21</v>
      </c>
      <c r="AM36" s="81" t="str">
        <f t="shared" si="17"/>
        <v>='Maj 21'!</v>
      </c>
      <c r="AN36" s="81" t="str">
        <f t="shared" si="7"/>
        <v>='Maj 21'!C27</v>
      </c>
      <c r="AO36" s="81" t="s">
        <v>1036</v>
      </c>
      <c r="AR36" s="81" t="s">
        <v>96</v>
      </c>
      <c r="AS36" s="83" t="str">
        <f t="shared" si="1"/>
        <v>='Maj 21'!C6</v>
      </c>
      <c r="AT36" s="83">
        <f t="shared" si="2"/>
        <v>0</v>
      </c>
      <c r="AV36" s="81" t="s">
        <v>397</v>
      </c>
      <c r="AW36" s="81" t="s">
        <v>1670</v>
      </c>
      <c r="AX36" s="81" t="s">
        <v>1671</v>
      </c>
      <c r="AY36" s="81" t="s">
        <v>1672</v>
      </c>
      <c r="AZ36" s="81" t="s">
        <v>1673</v>
      </c>
      <c r="BA36" s="81" t="s">
        <v>1674</v>
      </c>
      <c r="BB36" s="81" t="s">
        <v>1675</v>
      </c>
      <c r="BC36" s="81" t="s">
        <v>1676</v>
      </c>
      <c r="BD36" s="81" t="s">
        <v>1677</v>
      </c>
      <c r="BE36" s="81" t="s">
        <v>1678</v>
      </c>
      <c r="BF36" s="81" t="s">
        <v>1679</v>
      </c>
      <c r="BG36" s="81" t="s">
        <v>1680</v>
      </c>
      <c r="BH36" s="81" t="s">
        <v>4653</v>
      </c>
      <c r="BI36" s="81" t="s">
        <v>4957</v>
      </c>
      <c r="BJ36" s="81" t="s">
        <v>96</v>
      </c>
      <c r="BL36" s="81" t="s">
        <v>700</v>
      </c>
      <c r="BM36" s="81">
        <v>33</v>
      </c>
      <c r="BN36" s="81" t="str">
        <f t="shared" si="3"/>
        <v>='Maj 21'!C12</v>
      </c>
      <c r="BP36" s="81" t="str">
        <f t="shared" ca="1" si="18"/>
        <v/>
      </c>
      <c r="BR36" s="84">
        <f t="shared" si="8"/>
        <v>0</v>
      </c>
      <c r="BS36" s="84">
        <f t="shared" si="9"/>
        <v>0</v>
      </c>
      <c r="CA36" s="81" t="s">
        <v>2</v>
      </c>
      <c r="CB36" s="81">
        <f t="shared" si="19"/>
        <v>0</v>
      </c>
      <c r="CC36" s="81">
        <f t="shared" si="20"/>
        <v>0</v>
      </c>
      <c r="CD36" s="81" t="s">
        <v>16</v>
      </c>
      <c r="CE36" s="81">
        <f t="shared" si="21"/>
        <v>0</v>
      </c>
      <c r="CF36" s="81">
        <f t="shared" si="22"/>
        <v>0</v>
      </c>
      <c r="CG36" s="81" t="s">
        <v>5</v>
      </c>
      <c r="CH36" s="81">
        <f t="shared" si="23"/>
        <v>0</v>
      </c>
      <c r="CI36" s="81">
        <f t="shared" si="24"/>
        <v>0</v>
      </c>
      <c r="CJ36" s="81" t="s">
        <v>18</v>
      </c>
      <c r="CK36" s="81">
        <f t="shared" si="25"/>
        <v>0</v>
      </c>
      <c r="CL36" s="81">
        <f t="shared" si="26"/>
        <v>0</v>
      </c>
      <c r="CM36" s="81" t="s">
        <v>4</v>
      </c>
      <c r="CN36" s="81">
        <f t="shared" si="27"/>
        <v>0</v>
      </c>
      <c r="CO36" s="81">
        <f t="shared" si="28"/>
        <v>0</v>
      </c>
      <c r="CP36" s="81" t="s">
        <v>22</v>
      </c>
      <c r="CQ36" s="81">
        <f t="shared" si="29"/>
        <v>0</v>
      </c>
      <c r="CR36" s="81">
        <f t="shared" si="30"/>
        <v>0</v>
      </c>
      <c r="CS36" s="81" t="s">
        <v>21</v>
      </c>
      <c r="CT36" s="81">
        <f t="shared" si="31"/>
        <v>0</v>
      </c>
      <c r="CU36" s="81">
        <f t="shared" si="32"/>
        <v>0</v>
      </c>
      <c r="CV36" s="81" t="s">
        <v>998</v>
      </c>
      <c r="CW36" s="81">
        <f t="shared" si="33"/>
        <v>0</v>
      </c>
      <c r="CX36" s="81">
        <f t="shared" si="34"/>
        <v>0</v>
      </c>
      <c r="CY36" s="81" t="s">
        <v>19</v>
      </c>
      <c r="CZ36" s="81">
        <f t="shared" si="35"/>
        <v>0</v>
      </c>
      <c r="DA36" s="81">
        <f t="shared" si="36"/>
        <v>0</v>
      </c>
      <c r="DB36" s="81" t="s">
        <v>20</v>
      </c>
      <c r="DC36" s="81">
        <f t="shared" si="37"/>
        <v>0</v>
      </c>
      <c r="DD36" s="81">
        <f t="shared" si="38"/>
        <v>0</v>
      </c>
      <c r="DE36" s="81" t="s">
        <v>23</v>
      </c>
      <c r="DF36" s="81">
        <f t="shared" si="39"/>
        <v>0</v>
      </c>
      <c r="DG36" s="81">
        <f t="shared" si="40"/>
        <v>0</v>
      </c>
      <c r="DH36" s="81" t="s">
        <v>15</v>
      </c>
      <c r="DI36" s="81">
        <f t="shared" si="41"/>
        <v>0</v>
      </c>
      <c r="DJ36" s="81">
        <f t="shared" si="42"/>
        <v>0</v>
      </c>
      <c r="DK36" s="81" t="s">
        <v>5258</v>
      </c>
      <c r="DL36" s="81">
        <f t="shared" si="43"/>
        <v>0</v>
      </c>
      <c r="DM36" s="81">
        <f t="shared" si="44"/>
        <v>0</v>
      </c>
      <c r="DN36" s="81" t="s">
        <v>7</v>
      </c>
      <c r="DO36" s="81">
        <f t="shared" si="45"/>
        <v>0</v>
      </c>
      <c r="DP36" s="81">
        <f t="shared" si="46"/>
        <v>0</v>
      </c>
      <c r="DQ36" s="81" t="s">
        <v>1</v>
      </c>
      <c r="DR36" s="81">
        <f t="shared" si="47"/>
        <v>0</v>
      </c>
      <c r="DS36" s="81">
        <f t="shared" si="48"/>
        <v>0</v>
      </c>
    </row>
    <row r="37" spans="1:123" x14ac:dyDescent="0.3">
      <c r="N37" s="81">
        <f>IF(Q38=0,IF(Q37=0,,"x"),)</f>
        <v>0</v>
      </c>
      <c r="O37" s="81">
        <f t="shared" si="49"/>
        <v>0</v>
      </c>
      <c r="P37" s="81">
        <f t="shared" si="13"/>
        <v>0</v>
      </c>
      <c r="Q37" s="81">
        <f t="shared" si="50"/>
        <v>0</v>
      </c>
      <c r="R37" s="81">
        <f>IF(W37="",,SUM($W$4:W37))</f>
        <v>0</v>
      </c>
      <c r="S37" s="81">
        <f t="shared" si="14"/>
        <v>0</v>
      </c>
      <c r="T37" s="81">
        <f t="shared" si="51"/>
        <v>0</v>
      </c>
      <c r="U37" s="81">
        <f t="shared" si="15"/>
        <v>0</v>
      </c>
      <c r="V37" s="81" t="str">
        <f t="shared" ca="1" si="16"/>
        <v/>
      </c>
      <c r="W37" s="83"/>
      <c r="X37" s="81">
        <f t="shared" si="55"/>
        <v>0</v>
      </c>
      <c r="Y37" s="81">
        <f t="shared" si="56"/>
        <v>0</v>
      </c>
      <c r="AE37" s="81">
        <v>37</v>
      </c>
      <c r="AI37" s="81">
        <v>34</v>
      </c>
      <c r="AJ37" s="81" t="str">
        <f t="shared" si="0"/>
        <v>Juni 21</v>
      </c>
      <c r="AK37" s="81" t="str">
        <f t="shared" si="53"/>
        <v>Juni</v>
      </c>
      <c r="AL37" s="81">
        <f t="shared" si="54"/>
        <v>21</v>
      </c>
      <c r="AM37" s="81" t="str">
        <f t="shared" si="17"/>
        <v>='Juni 21'!</v>
      </c>
      <c r="AN37" s="81" t="str">
        <f t="shared" si="7"/>
        <v>='Juni 21'!C27</v>
      </c>
      <c r="AO37" s="81" t="s">
        <v>1037</v>
      </c>
      <c r="AR37" s="81" t="s">
        <v>97</v>
      </c>
      <c r="AS37" s="83" t="str">
        <f t="shared" si="1"/>
        <v>='Juni 21'!C6</v>
      </c>
      <c r="AT37" s="83">
        <f t="shared" si="2"/>
        <v>0</v>
      </c>
      <c r="AV37" s="81" t="s">
        <v>398</v>
      </c>
      <c r="AW37" s="81" t="s">
        <v>1681</v>
      </c>
      <c r="AX37" s="81" t="s">
        <v>1682</v>
      </c>
      <c r="AY37" s="81" t="s">
        <v>1683</v>
      </c>
      <c r="AZ37" s="81" t="s">
        <v>1684</v>
      </c>
      <c r="BA37" s="81" t="s">
        <v>1685</v>
      </c>
      <c r="BB37" s="81" t="s">
        <v>1686</v>
      </c>
      <c r="BC37" s="81" t="s">
        <v>1687</v>
      </c>
      <c r="BD37" s="81" t="s">
        <v>1688</v>
      </c>
      <c r="BE37" s="81" t="s">
        <v>1689</v>
      </c>
      <c r="BF37" s="81" t="s">
        <v>1690</v>
      </c>
      <c r="BG37" s="81" t="s">
        <v>1691</v>
      </c>
      <c r="BH37" s="81" t="s">
        <v>4654</v>
      </c>
      <c r="BI37" s="81" t="s">
        <v>4958</v>
      </c>
      <c r="BJ37" s="81" t="s">
        <v>97</v>
      </c>
      <c r="BL37" s="81" t="s">
        <v>701</v>
      </c>
      <c r="BM37" s="81">
        <v>34</v>
      </c>
      <c r="BN37" s="81" t="str">
        <f t="shared" si="3"/>
        <v>='Juni 21'!C12</v>
      </c>
      <c r="BP37" s="81" t="str">
        <f t="shared" ca="1" si="18"/>
        <v/>
      </c>
      <c r="BR37" s="84">
        <f t="shared" si="8"/>
        <v>0</v>
      </c>
      <c r="BS37" s="84">
        <f t="shared" si="9"/>
        <v>0</v>
      </c>
      <c r="CA37" s="81" t="s">
        <v>2</v>
      </c>
      <c r="CB37" s="81">
        <f t="shared" si="19"/>
        <v>0</v>
      </c>
      <c r="CC37" s="81">
        <f t="shared" si="20"/>
        <v>0</v>
      </c>
      <c r="CD37" s="81" t="s">
        <v>16</v>
      </c>
      <c r="CE37" s="81">
        <f t="shared" si="21"/>
        <v>0</v>
      </c>
      <c r="CF37" s="81">
        <f t="shared" si="22"/>
        <v>0</v>
      </c>
      <c r="CG37" s="81" t="s">
        <v>5</v>
      </c>
      <c r="CH37" s="81">
        <f t="shared" si="23"/>
        <v>0</v>
      </c>
      <c r="CI37" s="81">
        <f t="shared" si="24"/>
        <v>0</v>
      </c>
      <c r="CJ37" s="81" t="s">
        <v>18</v>
      </c>
      <c r="CK37" s="81">
        <f t="shared" si="25"/>
        <v>0</v>
      </c>
      <c r="CL37" s="81">
        <f t="shared" si="26"/>
        <v>0</v>
      </c>
      <c r="CM37" s="81" t="s">
        <v>4</v>
      </c>
      <c r="CN37" s="81">
        <f t="shared" si="27"/>
        <v>0</v>
      </c>
      <c r="CO37" s="81">
        <f t="shared" si="28"/>
        <v>0</v>
      </c>
      <c r="CP37" s="81" t="s">
        <v>22</v>
      </c>
      <c r="CQ37" s="81">
        <f t="shared" si="29"/>
        <v>0</v>
      </c>
      <c r="CR37" s="81">
        <f t="shared" si="30"/>
        <v>0</v>
      </c>
      <c r="CS37" s="81" t="s">
        <v>21</v>
      </c>
      <c r="CT37" s="81">
        <f t="shared" si="31"/>
        <v>0</v>
      </c>
      <c r="CU37" s="81">
        <f t="shared" si="32"/>
        <v>0</v>
      </c>
      <c r="CV37" s="81" t="s">
        <v>998</v>
      </c>
      <c r="CW37" s="81">
        <f t="shared" si="33"/>
        <v>0</v>
      </c>
      <c r="CX37" s="81">
        <f t="shared" si="34"/>
        <v>0</v>
      </c>
      <c r="CY37" s="81" t="s">
        <v>19</v>
      </c>
      <c r="CZ37" s="81">
        <f t="shared" si="35"/>
        <v>0</v>
      </c>
      <c r="DA37" s="81">
        <f t="shared" si="36"/>
        <v>0</v>
      </c>
      <c r="DB37" s="81" t="s">
        <v>20</v>
      </c>
      <c r="DC37" s="81">
        <f t="shared" si="37"/>
        <v>0</v>
      </c>
      <c r="DD37" s="81">
        <f t="shared" si="38"/>
        <v>0</v>
      </c>
      <c r="DE37" s="81" t="s">
        <v>23</v>
      </c>
      <c r="DF37" s="81">
        <f t="shared" si="39"/>
        <v>0</v>
      </c>
      <c r="DG37" s="81">
        <f t="shared" si="40"/>
        <v>0</v>
      </c>
      <c r="DH37" s="81" t="s">
        <v>15</v>
      </c>
      <c r="DI37" s="81">
        <f t="shared" si="41"/>
        <v>0</v>
      </c>
      <c r="DJ37" s="81">
        <f t="shared" si="42"/>
        <v>0</v>
      </c>
      <c r="DK37" s="81" t="s">
        <v>5259</v>
      </c>
      <c r="DL37" s="81">
        <f t="shared" si="43"/>
        <v>0</v>
      </c>
      <c r="DM37" s="81">
        <f t="shared" si="44"/>
        <v>0</v>
      </c>
      <c r="DN37" s="81" t="s">
        <v>7</v>
      </c>
      <c r="DO37" s="81">
        <f t="shared" si="45"/>
        <v>0</v>
      </c>
      <c r="DP37" s="81">
        <f t="shared" si="46"/>
        <v>0</v>
      </c>
      <c r="DQ37" s="81" t="s">
        <v>1</v>
      </c>
      <c r="DR37" s="81">
        <f t="shared" si="47"/>
        <v>0</v>
      </c>
      <c r="DS37" s="81">
        <f t="shared" si="48"/>
        <v>0</v>
      </c>
    </row>
    <row r="38" spans="1:123" x14ac:dyDescent="0.3">
      <c r="N38" s="81">
        <f>IF(Q39=0,IF(Q38=0,,"x"),)</f>
        <v>0</v>
      </c>
      <c r="O38" s="81">
        <f t="shared" si="49"/>
        <v>0</v>
      </c>
      <c r="P38" s="81">
        <f t="shared" si="13"/>
        <v>0</v>
      </c>
      <c r="Q38" s="81">
        <f t="shared" si="50"/>
        <v>0</v>
      </c>
      <c r="R38" s="81">
        <f>IF(W38="",,SUM($W$4:W38))</f>
        <v>0</v>
      </c>
      <c r="S38" s="81">
        <f t="shared" si="14"/>
        <v>0</v>
      </c>
      <c r="T38" s="81">
        <f t="shared" si="51"/>
        <v>0</v>
      </c>
      <c r="U38" s="81">
        <f t="shared" si="15"/>
        <v>0</v>
      </c>
      <c r="V38" s="81" t="str">
        <f t="shared" ca="1" si="16"/>
        <v/>
      </c>
      <c r="W38" s="83"/>
      <c r="X38" s="81">
        <f t="shared" si="55"/>
        <v>0</v>
      </c>
      <c r="Y38" s="81">
        <f t="shared" si="56"/>
        <v>0</v>
      </c>
      <c r="AE38" s="81">
        <v>38</v>
      </c>
      <c r="AI38" s="81">
        <v>35</v>
      </c>
      <c r="AJ38" s="81" t="str">
        <f t="shared" si="0"/>
        <v>Juli 21</v>
      </c>
      <c r="AK38" s="81" t="str">
        <f t="shared" si="53"/>
        <v>Juli</v>
      </c>
      <c r="AL38" s="81">
        <f t="shared" si="54"/>
        <v>21</v>
      </c>
      <c r="AM38" s="81" t="str">
        <f t="shared" si="17"/>
        <v>='Juli 21'!</v>
      </c>
      <c r="AN38" s="81" t="str">
        <f t="shared" si="7"/>
        <v>='Juli 21'!C27</v>
      </c>
      <c r="AO38" s="81" t="s">
        <v>1038</v>
      </c>
      <c r="AR38" s="81" t="s">
        <v>98</v>
      </c>
      <c r="AS38" s="83" t="str">
        <f t="shared" si="1"/>
        <v>='Juli 21'!C6</v>
      </c>
      <c r="AT38" s="83">
        <f t="shared" si="2"/>
        <v>0</v>
      </c>
      <c r="AV38" s="81" t="s">
        <v>399</v>
      </c>
      <c r="AW38" s="81" t="s">
        <v>1692</v>
      </c>
      <c r="AX38" s="81" t="s">
        <v>1693</v>
      </c>
      <c r="AY38" s="81" t="s">
        <v>1694</v>
      </c>
      <c r="AZ38" s="81" t="s">
        <v>1695</v>
      </c>
      <c r="BA38" s="81" t="s">
        <v>1696</v>
      </c>
      <c r="BB38" s="81" t="s">
        <v>1697</v>
      </c>
      <c r="BC38" s="81" t="s">
        <v>1698</v>
      </c>
      <c r="BD38" s="81" t="s">
        <v>1699</v>
      </c>
      <c r="BE38" s="81" t="s">
        <v>1700</v>
      </c>
      <c r="BF38" s="81" t="s">
        <v>1701</v>
      </c>
      <c r="BG38" s="81" t="s">
        <v>1702</v>
      </c>
      <c r="BH38" s="81" t="s">
        <v>4655</v>
      </c>
      <c r="BI38" s="81" t="s">
        <v>4959</v>
      </c>
      <c r="BJ38" s="81" t="s">
        <v>98</v>
      </c>
      <c r="BL38" s="81" t="s">
        <v>702</v>
      </c>
      <c r="BM38" s="81">
        <v>35</v>
      </c>
      <c r="BN38" s="81" t="str">
        <f t="shared" si="3"/>
        <v>='Juli 21'!C12</v>
      </c>
      <c r="BP38" s="81" t="str">
        <f t="shared" ca="1" si="18"/>
        <v/>
      </c>
      <c r="BR38" s="84">
        <f t="shared" si="8"/>
        <v>0</v>
      </c>
      <c r="BS38" s="84">
        <f t="shared" si="9"/>
        <v>0</v>
      </c>
      <c r="CA38" s="81" t="s">
        <v>2</v>
      </c>
      <c r="CB38" s="81">
        <f t="shared" si="19"/>
        <v>0</v>
      </c>
      <c r="CC38" s="81">
        <f t="shared" si="20"/>
        <v>0</v>
      </c>
      <c r="CD38" s="81" t="s">
        <v>16</v>
      </c>
      <c r="CE38" s="81">
        <f t="shared" si="21"/>
        <v>0</v>
      </c>
      <c r="CF38" s="81">
        <f t="shared" si="22"/>
        <v>0</v>
      </c>
      <c r="CG38" s="81" t="s">
        <v>5</v>
      </c>
      <c r="CH38" s="81">
        <f t="shared" si="23"/>
        <v>0</v>
      </c>
      <c r="CI38" s="81">
        <f t="shared" si="24"/>
        <v>0</v>
      </c>
      <c r="CJ38" s="81" t="s">
        <v>18</v>
      </c>
      <c r="CK38" s="81">
        <f t="shared" si="25"/>
        <v>0</v>
      </c>
      <c r="CL38" s="81">
        <f t="shared" si="26"/>
        <v>0</v>
      </c>
      <c r="CM38" s="81" t="s">
        <v>4</v>
      </c>
      <c r="CN38" s="81">
        <f t="shared" si="27"/>
        <v>0</v>
      </c>
      <c r="CO38" s="81">
        <f t="shared" si="28"/>
        <v>0</v>
      </c>
      <c r="CP38" s="81" t="s">
        <v>22</v>
      </c>
      <c r="CQ38" s="81">
        <f t="shared" si="29"/>
        <v>0</v>
      </c>
      <c r="CR38" s="81">
        <f t="shared" si="30"/>
        <v>0</v>
      </c>
      <c r="CS38" s="81" t="s">
        <v>21</v>
      </c>
      <c r="CT38" s="81">
        <f t="shared" si="31"/>
        <v>0</v>
      </c>
      <c r="CU38" s="81">
        <f t="shared" si="32"/>
        <v>0</v>
      </c>
      <c r="CV38" s="81" t="s">
        <v>998</v>
      </c>
      <c r="CW38" s="81">
        <f t="shared" si="33"/>
        <v>0</v>
      </c>
      <c r="CX38" s="81">
        <f t="shared" si="34"/>
        <v>0</v>
      </c>
      <c r="CY38" s="81" t="s">
        <v>19</v>
      </c>
      <c r="CZ38" s="81">
        <f t="shared" si="35"/>
        <v>0</v>
      </c>
      <c r="DA38" s="81">
        <f t="shared" si="36"/>
        <v>0</v>
      </c>
      <c r="DB38" s="81" t="s">
        <v>20</v>
      </c>
      <c r="DC38" s="81">
        <f t="shared" si="37"/>
        <v>0</v>
      </c>
      <c r="DD38" s="81">
        <f t="shared" si="38"/>
        <v>0</v>
      </c>
      <c r="DE38" s="81" t="s">
        <v>23</v>
      </c>
      <c r="DF38" s="81">
        <f t="shared" si="39"/>
        <v>0</v>
      </c>
      <c r="DG38" s="81">
        <f t="shared" si="40"/>
        <v>0</v>
      </c>
      <c r="DH38" s="81" t="s">
        <v>15</v>
      </c>
      <c r="DI38" s="81">
        <f t="shared" si="41"/>
        <v>0</v>
      </c>
      <c r="DJ38" s="81">
        <f t="shared" si="42"/>
        <v>0</v>
      </c>
      <c r="DK38" s="81" t="s">
        <v>5260</v>
      </c>
      <c r="DL38" s="81">
        <f t="shared" si="43"/>
        <v>0</v>
      </c>
      <c r="DM38" s="81">
        <f t="shared" si="44"/>
        <v>0</v>
      </c>
      <c r="DN38" s="81" t="s">
        <v>7</v>
      </c>
      <c r="DO38" s="81">
        <f t="shared" si="45"/>
        <v>0</v>
      </c>
      <c r="DP38" s="81">
        <f t="shared" si="46"/>
        <v>0</v>
      </c>
      <c r="DQ38" s="81" t="s">
        <v>1</v>
      </c>
      <c r="DR38" s="81">
        <f t="shared" si="47"/>
        <v>0</v>
      </c>
      <c r="DS38" s="81">
        <f t="shared" si="48"/>
        <v>0</v>
      </c>
    </row>
    <row r="39" spans="1:123" x14ac:dyDescent="0.3">
      <c r="N39" s="81">
        <f>IF(Q40=0,IF(Q39=0,,"x"),)</f>
        <v>0</v>
      </c>
      <c r="O39" s="81">
        <f t="shared" si="49"/>
        <v>0</v>
      </c>
      <c r="P39" s="81">
        <f t="shared" si="13"/>
        <v>0</v>
      </c>
      <c r="Q39" s="81">
        <f t="shared" si="50"/>
        <v>0</v>
      </c>
      <c r="R39" s="81">
        <f>IF(W39="",,SUM($W$4:W39))</f>
        <v>0</v>
      </c>
      <c r="S39" s="81">
        <f t="shared" si="14"/>
        <v>0</v>
      </c>
      <c r="T39" s="81">
        <f t="shared" si="51"/>
        <v>0</v>
      </c>
      <c r="U39" s="81">
        <f t="shared" si="15"/>
        <v>0</v>
      </c>
      <c r="V39" s="81" t="str">
        <f t="shared" ca="1" si="16"/>
        <v/>
      </c>
      <c r="W39" s="83"/>
      <c r="X39" s="81">
        <f t="shared" si="55"/>
        <v>0</v>
      </c>
      <c r="Y39" s="81">
        <f t="shared" si="56"/>
        <v>0</v>
      </c>
      <c r="AE39" s="81">
        <v>39</v>
      </c>
      <c r="AI39" s="81">
        <v>36</v>
      </c>
      <c r="AJ39" s="81" t="str">
        <f t="shared" si="0"/>
        <v>Augusti 21</v>
      </c>
      <c r="AK39" s="81" t="str">
        <f t="shared" si="53"/>
        <v>Augusti</v>
      </c>
      <c r="AL39" s="81">
        <f t="shared" si="54"/>
        <v>21</v>
      </c>
      <c r="AM39" s="81" t="str">
        <f t="shared" si="17"/>
        <v>='Augusti 21'!</v>
      </c>
      <c r="AN39" s="81" t="str">
        <f t="shared" si="7"/>
        <v>='Augusti 21'!C27</v>
      </c>
      <c r="AO39" s="81" t="s">
        <v>1039</v>
      </c>
      <c r="AR39" s="81" t="s">
        <v>99</v>
      </c>
      <c r="AS39" s="83" t="str">
        <f t="shared" si="1"/>
        <v>='Augusti 21'!C6</v>
      </c>
      <c r="AT39" s="83">
        <f t="shared" si="2"/>
        <v>0</v>
      </c>
      <c r="AV39" s="81" t="s">
        <v>400</v>
      </c>
      <c r="AW39" s="81" t="s">
        <v>1703</v>
      </c>
      <c r="AX39" s="81" t="s">
        <v>1704</v>
      </c>
      <c r="AY39" s="81" t="s">
        <v>1705</v>
      </c>
      <c r="AZ39" s="81" t="s">
        <v>1706</v>
      </c>
      <c r="BA39" s="81" t="s">
        <v>1707</v>
      </c>
      <c r="BB39" s="81" t="s">
        <v>1708</v>
      </c>
      <c r="BC39" s="81" t="s">
        <v>1709</v>
      </c>
      <c r="BD39" s="81" t="s">
        <v>1710</v>
      </c>
      <c r="BE39" s="81" t="s">
        <v>1711</v>
      </c>
      <c r="BF39" s="81" t="s">
        <v>1712</v>
      </c>
      <c r="BG39" s="81" t="s">
        <v>1713</v>
      </c>
      <c r="BH39" s="81" t="s">
        <v>4656</v>
      </c>
      <c r="BI39" s="81" t="s">
        <v>4960</v>
      </c>
      <c r="BJ39" s="81" t="s">
        <v>99</v>
      </c>
      <c r="BL39" s="81" t="s">
        <v>703</v>
      </c>
      <c r="BM39" s="81">
        <v>36</v>
      </c>
      <c r="BN39" s="81" t="str">
        <f t="shared" si="3"/>
        <v>='Augusti 21'!C12</v>
      </c>
      <c r="BP39" s="81" t="str">
        <f t="shared" ca="1" si="18"/>
        <v/>
      </c>
      <c r="BR39" s="84">
        <f t="shared" si="8"/>
        <v>0</v>
      </c>
      <c r="BS39" s="84">
        <f t="shared" si="9"/>
        <v>0</v>
      </c>
      <c r="CA39" s="81" t="s">
        <v>2</v>
      </c>
      <c r="CB39" s="81">
        <f t="shared" si="19"/>
        <v>0</v>
      </c>
      <c r="CC39" s="81">
        <f t="shared" si="20"/>
        <v>0</v>
      </c>
      <c r="CD39" s="81" t="s">
        <v>16</v>
      </c>
      <c r="CE39" s="81">
        <f t="shared" si="21"/>
        <v>0</v>
      </c>
      <c r="CF39" s="81">
        <f t="shared" si="22"/>
        <v>0</v>
      </c>
      <c r="CG39" s="81" t="s">
        <v>5</v>
      </c>
      <c r="CH39" s="81">
        <f t="shared" si="23"/>
        <v>0</v>
      </c>
      <c r="CI39" s="81">
        <f t="shared" si="24"/>
        <v>0</v>
      </c>
      <c r="CJ39" s="81" t="s">
        <v>18</v>
      </c>
      <c r="CK39" s="81">
        <f t="shared" si="25"/>
        <v>0</v>
      </c>
      <c r="CL39" s="81">
        <f t="shared" si="26"/>
        <v>0</v>
      </c>
      <c r="CM39" s="81" t="s">
        <v>4</v>
      </c>
      <c r="CN39" s="81">
        <f t="shared" si="27"/>
        <v>0</v>
      </c>
      <c r="CO39" s="81">
        <f t="shared" si="28"/>
        <v>0</v>
      </c>
      <c r="CP39" s="81" t="s">
        <v>22</v>
      </c>
      <c r="CQ39" s="81">
        <f t="shared" si="29"/>
        <v>0</v>
      </c>
      <c r="CR39" s="81">
        <f t="shared" si="30"/>
        <v>0</v>
      </c>
      <c r="CS39" s="81" t="s">
        <v>21</v>
      </c>
      <c r="CT39" s="81">
        <f t="shared" si="31"/>
        <v>0</v>
      </c>
      <c r="CU39" s="81">
        <f t="shared" si="32"/>
        <v>0</v>
      </c>
      <c r="CV39" s="81" t="s">
        <v>998</v>
      </c>
      <c r="CW39" s="81">
        <f t="shared" si="33"/>
        <v>0</v>
      </c>
      <c r="CX39" s="81">
        <f t="shared" si="34"/>
        <v>0</v>
      </c>
      <c r="CY39" s="81" t="s">
        <v>19</v>
      </c>
      <c r="CZ39" s="81">
        <f t="shared" si="35"/>
        <v>0</v>
      </c>
      <c r="DA39" s="81">
        <f t="shared" si="36"/>
        <v>0</v>
      </c>
      <c r="DB39" s="81" t="s">
        <v>20</v>
      </c>
      <c r="DC39" s="81">
        <f t="shared" si="37"/>
        <v>0</v>
      </c>
      <c r="DD39" s="81">
        <f t="shared" si="38"/>
        <v>0</v>
      </c>
      <c r="DE39" s="81" t="s">
        <v>23</v>
      </c>
      <c r="DF39" s="81">
        <f t="shared" si="39"/>
        <v>0</v>
      </c>
      <c r="DG39" s="81">
        <f t="shared" si="40"/>
        <v>0</v>
      </c>
      <c r="DH39" s="81" t="s">
        <v>15</v>
      </c>
      <c r="DI39" s="81">
        <f t="shared" si="41"/>
        <v>0</v>
      </c>
      <c r="DJ39" s="81">
        <f t="shared" si="42"/>
        <v>0</v>
      </c>
      <c r="DK39" s="81" t="s">
        <v>5261</v>
      </c>
      <c r="DL39" s="81">
        <f t="shared" si="43"/>
        <v>0</v>
      </c>
      <c r="DM39" s="81">
        <f t="shared" si="44"/>
        <v>0</v>
      </c>
      <c r="DN39" s="81" t="s">
        <v>7</v>
      </c>
      <c r="DO39" s="81">
        <f t="shared" si="45"/>
        <v>0</v>
      </c>
      <c r="DP39" s="81">
        <f t="shared" si="46"/>
        <v>0</v>
      </c>
      <c r="DQ39" s="81" t="s">
        <v>1</v>
      </c>
      <c r="DR39" s="81">
        <f t="shared" si="47"/>
        <v>0</v>
      </c>
      <c r="DS39" s="81">
        <f t="shared" si="48"/>
        <v>0</v>
      </c>
    </row>
    <row r="40" spans="1:123" x14ac:dyDescent="0.3">
      <c r="G40" s="97"/>
      <c r="H40" s="97"/>
      <c r="I40" s="97"/>
      <c r="N40" s="81">
        <f>IF(Q41=0,IF(Q40=0,,"x"),)</f>
        <v>0</v>
      </c>
      <c r="O40" s="81">
        <f t="shared" si="49"/>
        <v>0</v>
      </c>
      <c r="P40" s="81">
        <f t="shared" si="13"/>
        <v>0</v>
      </c>
      <c r="Q40" s="81">
        <f t="shared" si="50"/>
        <v>0</v>
      </c>
      <c r="R40" s="81">
        <f>IF(W40="",,SUM($W$4:W40))</f>
        <v>0</v>
      </c>
      <c r="S40" s="81">
        <f t="shared" si="14"/>
        <v>0</v>
      </c>
      <c r="T40" s="81">
        <f t="shared" si="51"/>
        <v>0</v>
      </c>
      <c r="U40" s="81">
        <f t="shared" si="15"/>
        <v>0</v>
      </c>
      <c r="V40" s="81" t="str">
        <f t="shared" ca="1" si="16"/>
        <v/>
      </c>
      <c r="W40" s="83"/>
      <c r="X40" s="81">
        <f t="shared" si="55"/>
        <v>0</v>
      </c>
      <c r="Y40" s="81">
        <f t="shared" si="56"/>
        <v>0</v>
      </c>
      <c r="AE40" s="81">
        <v>40</v>
      </c>
      <c r="AI40" s="81">
        <v>37</v>
      </c>
      <c r="AJ40" s="81" t="str">
        <f t="shared" si="0"/>
        <v>September 21</v>
      </c>
      <c r="AK40" s="81" t="str">
        <f t="shared" si="53"/>
        <v>September</v>
      </c>
      <c r="AL40" s="81">
        <f t="shared" si="54"/>
        <v>21</v>
      </c>
      <c r="AM40" s="81" t="str">
        <f t="shared" si="17"/>
        <v>='September 21'!</v>
      </c>
      <c r="AN40" s="81" t="str">
        <f t="shared" si="7"/>
        <v>='September 21'!C27</v>
      </c>
      <c r="AO40" s="81" t="s">
        <v>1040</v>
      </c>
      <c r="AR40" s="81" t="s">
        <v>100</v>
      </c>
      <c r="AS40" s="83" t="str">
        <f t="shared" si="1"/>
        <v>='September 21'!C6</v>
      </c>
      <c r="AT40" s="83">
        <f t="shared" si="2"/>
        <v>0</v>
      </c>
      <c r="AV40" s="81" t="s">
        <v>401</v>
      </c>
      <c r="AW40" s="81" t="s">
        <v>1714</v>
      </c>
      <c r="AX40" s="81" t="s">
        <v>1715</v>
      </c>
      <c r="AY40" s="81" t="s">
        <v>1716</v>
      </c>
      <c r="AZ40" s="81" t="s">
        <v>1717</v>
      </c>
      <c r="BA40" s="81" t="s">
        <v>1718</v>
      </c>
      <c r="BB40" s="81" t="s">
        <v>1719</v>
      </c>
      <c r="BC40" s="81" t="s">
        <v>1720</v>
      </c>
      <c r="BD40" s="81" t="s">
        <v>1721</v>
      </c>
      <c r="BE40" s="81" t="s">
        <v>1722</v>
      </c>
      <c r="BF40" s="81" t="s">
        <v>1723</v>
      </c>
      <c r="BG40" s="81" t="s">
        <v>1724</v>
      </c>
      <c r="BH40" s="81" t="s">
        <v>4657</v>
      </c>
      <c r="BI40" s="81" t="s">
        <v>4961</v>
      </c>
      <c r="BJ40" s="81" t="s">
        <v>100</v>
      </c>
      <c r="BL40" s="81" t="s">
        <v>704</v>
      </c>
      <c r="BM40" s="81">
        <v>37</v>
      </c>
      <c r="BN40" s="81" t="str">
        <f t="shared" si="3"/>
        <v>='September 21'!C12</v>
      </c>
      <c r="BP40" s="81" t="str">
        <f t="shared" ca="1" si="18"/>
        <v/>
      </c>
      <c r="BR40" s="84">
        <f t="shared" si="8"/>
        <v>0</v>
      </c>
      <c r="BS40" s="84">
        <f t="shared" si="9"/>
        <v>0</v>
      </c>
      <c r="CA40" s="81" t="s">
        <v>2</v>
      </c>
      <c r="CB40" s="81">
        <f t="shared" si="19"/>
        <v>0</v>
      </c>
      <c r="CC40" s="81">
        <f t="shared" si="20"/>
        <v>0</v>
      </c>
      <c r="CD40" s="81" t="s">
        <v>16</v>
      </c>
      <c r="CE40" s="81">
        <f t="shared" si="21"/>
        <v>0</v>
      </c>
      <c r="CF40" s="81">
        <f t="shared" si="22"/>
        <v>0</v>
      </c>
      <c r="CG40" s="81" t="s">
        <v>5</v>
      </c>
      <c r="CH40" s="81">
        <f t="shared" si="23"/>
        <v>0</v>
      </c>
      <c r="CI40" s="81">
        <f t="shared" si="24"/>
        <v>0</v>
      </c>
      <c r="CJ40" s="81" t="s">
        <v>18</v>
      </c>
      <c r="CK40" s="81">
        <f t="shared" si="25"/>
        <v>0</v>
      </c>
      <c r="CL40" s="81">
        <f t="shared" si="26"/>
        <v>0</v>
      </c>
      <c r="CM40" s="81" t="s">
        <v>4</v>
      </c>
      <c r="CN40" s="81">
        <f t="shared" si="27"/>
        <v>0</v>
      </c>
      <c r="CO40" s="81">
        <f t="shared" si="28"/>
        <v>0</v>
      </c>
      <c r="CP40" s="81" t="s">
        <v>22</v>
      </c>
      <c r="CQ40" s="81">
        <f t="shared" si="29"/>
        <v>0</v>
      </c>
      <c r="CR40" s="81">
        <f t="shared" si="30"/>
        <v>0</v>
      </c>
      <c r="CS40" s="81" t="s">
        <v>21</v>
      </c>
      <c r="CT40" s="81">
        <f t="shared" si="31"/>
        <v>0</v>
      </c>
      <c r="CU40" s="81">
        <f t="shared" si="32"/>
        <v>0</v>
      </c>
      <c r="CV40" s="81" t="s">
        <v>998</v>
      </c>
      <c r="CW40" s="81">
        <f t="shared" si="33"/>
        <v>0</v>
      </c>
      <c r="CX40" s="81">
        <f t="shared" si="34"/>
        <v>0</v>
      </c>
      <c r="CY40" s="81" t="s">
        <v>19</v>
      </c>
      <c r="CZ40" s="81">
        <f t="shared" si="35"/>
        <v>0</v>
      </c>
      <c r="DA40" s="81">
        <f t="shared" si="36"/>
        <v>0</v>
      </c>
      <c r="DB40" s="81" t="s">
        <v>20</v>
      </c>
      <c r="DC40" s="81">
        <f t="shared" si="37"/>
        <v>0</v>
      </c>
      <c r="DD40" s="81">
        <f t="shared" si="38"/>
        <v>0</v>
      </c>
      <c r="DE40" s="81" t="s">
        <v>23</v>
      </c>
      <c r="DF40" s="81">
        <f t="shared" si="39"/>
        <v>0</v>
      </c>
      <c r="DG40" s="81">
        <f t="shared" si="40"/>
        <v>0</v>
      </c>
      <c r="DH40" s="81" t="s">
        <v>15</v>
      </c>
      <c r="DI40" s="81">
        <f t="shared" si="41"/>
        <v>0</v>
      </c>
      <c r="DJ40" s="81">
        <f t="shared" si="42"/>
        <v>0</v>
      </c>
      <c r="DK40" s="81" t="s">
        <v>5262</v>
      </c>
      <c r="DL40" s="81">
        <f t="shared" si="43"/>
        <v>0</v>
      </c>
      <c r="DM40" s="81">
        <f t="shared" si="44"/>
        <v>0</v>
      </c>
      <c r="DN40" s="81" t="s">
        <v>7</v>
      </c>
      <c r="DO40" s="81">
        <f t="shared" si="45"/>
        <v>0</v>
      </c>
      <c r="DP40" s="81">
        <f t="shared" si="46"/>
        <v>0</v>
      </c>
      <c r="DQ40" s="81" t="s">
        <v>1</v>
      </c>
      <c r="DR40" s="81">
        <f t="shared" si="47"/>
        <v>0</v>
      </c>
      <c r="DS40" s="81">
        <f t="shared" si="48"/>
        <v>0</v>
      </c>
    </row>
    <row r="41" spans="1:123" x14ac:dyDescent="0.3">
      <c r="G41" s="97"/>
      <c r="H41" s="97"/>
      <c r="I41" s="97"/>
      <c r="N41" s="81">
        <f>IF(Q42=0,IF(Q41=0,,"x"),)</f>
        <v>0</v>
      </c>
      <c r="O41" s="81">
        <f t="shared" si="49"/>
        <v>0</v>
      </c>
      <c r="P41" s="81">
        <f t="shared" si="13"/>
        <v>0</v>
      </c>
      <c r="Q41" s="81">
        <f t="shared" si="50"/>
        <v>0</v>
      </c>
      <c r="R41" s="81">
        <f>IF(W41="",,SUM($W$4:W41))</f>
        <v>0</v>
      </c>
      <c r="S41" s="81">
        <f t="shared" si="14"/>
        <v>0</v>
      </c>
      <c r="T41" s="81">
        <f t="shared" si="51"/>
        <v>0</v>
      </c>
      <c r="U41" s="81">
        <f t="shared" si="15"/>
        <v>0</v>
      </c>
      <c r="V41" s="81" t="str">
        <f t="shared" ca="1" si="16"/>
        <v/>
      </c>
      <c r="W41" s="83"/>
      <c r="X41" s="81">
        <f t="shared" si="55"/>
        <v>0</v>
      </c>
      <c r="Y41" s="81">
        <f t="shared" si="56"/>
        <v>0</v>
      </c>
      <c r="AE41" s="81">
        <v>41</v>
      </c>
      <c r="AI41" s="81">
        <v>38</v>
      </c>
      <c r="AJ41" s="81" t="str">
        <f t="shared" si="0"/>
        <v>Oktober 21</v>
      </c>
      <c r="AK41" s="81" t="str">
        <f t="shared" si="53"/>
        <v>Oktober</v>
      </c>
      <c r="AL41" s="81">
        <f t="shared" si="54"/>
        <v>21</v>
      </c>
      <c r="AM41" s="81" t="str">
        <f t="shared" si="17"/>
        <v>='Oktober 21'!</v>
      </c>
      <c r="AN41" s="81" t="str">
        <f t="shared" si="7"/>
        <v>='Oktober 21'!C27</v>
      </c>
      <c r="AO41" s="81" t="s">
        <v>1041</v>
      </c>
      <c r="AR41" s="81" t="s">
        <v>101</v>
      </c>
      <c r="AS41" s="83" t="str">
        <f t="shared" si="1"/>
        <v>='Oktober 21'!C6</v>
      </c>
      <c r="AT41" s="83">
        <f t="shared" si="2"/>
        <v>0</v>
      </c>
      <c r="AV41" s="81" t="s">
        <v>402</v>
      </c>
      <c r="AW41" s="81" t="s">
        <v>1725</v>
      </c>
      <c r="AX41" s="81" t="s">
        <v>1726</v>
      </c>
      <c r="AY41" s="81" t="s">
        <v>1727</v>
      </c>
      <c r="AZ41" s="81" t="s">
        <v>1728</v>
      </c>
      <c r="BA41" s="81" t="s">
        <v>1729</v>
      </c>
      <c r="BB41" s="81" t="s">
        <v>1730</v>
      </c>
      <c r="BC41" s="81" t="s">
        <v>1731</v>
      </c>
      <c r="BD41" s="81" t="s">
        <v>1732</v>
      </c>
      <c r="BE41" s="81" t="s">
        <v>1733</v>
      </c>
      <c r="BF41" s="81" t="s">
        <v>1734</v>
      </c>
      <c r="BG41" s="81" t="s">
        <v>1735</v>
      </c>
      <c r="BH41" s="81" t="s">
        <v>4658</v>
      </c>
      <c r="BI41" s="81" t="s">
        <v>4962</v>
      </c>
      <c r="BJ41" s="81" t="s">
        <v>101</v>
      </c>
      <c r="BL41" s="81" t="s">
        <v>705</v>
      </c>
      <c r="BM41" s="81">
        <v>38</v>
      </c>
      <c r="BN41" s="81" t="str">
        <f t="shared" si="3"/>
        <v>='Oktober 21'!C12</v>
      </c>
      <c r="BP41" s="81" t="str">
        <f t="shared" ca="1" si="18"/>
        <v/>
      </c>
      <c r="BR41" s="84">
        <f t="shared" si="8"/>
        <v>0</v>
      </c>
      <c r="BS41" s="84">
        <f t="shared" si="9"/>
        <v>0</v>
      </c>
      <c r="CA41" s="81" t="s">
        <v>2</v>
      </c>
      <c r="CB41" s="81">
        <f t="shared" si="19"/>
        <v>0</v>
      </c>
      <c r="CC41" s="81">
        <f t="shared" si="20"/>
        <v>0</v>
      </c>
      <c r="CD41" s="81" t="s">
        <v>16</v>
      </c>
      <c r="CE41" s="81">
        <f t="shared" si="21"/>
        <v>0</v>
      </c>
      <c r="CF41" s="81">
        <f t="shared" si="22"/>
        <v>0</v>
      </c>
      <c r="CG41" s="81" t="s">
        <v>5</v>
      </c>
      <c r="CH41" s="81">
        <f t="shared" si="23"/>
        <v>0</v>
      </c>
      <c r="CI41" s="81">
        <f t="shared" si="24"/>
        <v>0</v>
      </c>
      <c r="CJ41" s="81" t="s">
        <v>18</v>
      </c>
      <c r="CK41" s="81">
        <f t="shared" si="25"/>
        <v>0</v>
      </c>
      <c r="CL41" s="81">
        <f t="shared" si="26"/>
        <v>0</v>
      </c>
      <c r="CM41" s="81" t="s">
        <v>4</v>
      </c>
      <c r="CN41" s="81">
        <f t="shared" si="27"/>
        <v>0</v>
      </c>
      <c r="CO41" s="81">
        <f t="shared" si="28"/>
        <v>0</v>
      </c>
      <c r="CP41" s="81" t="s">
        <v>22</v>
      </c>
      <c r="CQ41" s="81">
        <f t="shared" si="29"/>
        <v>0</v>
      </c>
      <c r="CR41" s="81">
        <f t="shared" si="30"/>
        <v>0</v>
      </c>
      <c r="CS41" s="81" t="s">
        <v>21</v>
      </c>
      <c r="CT41" s="81">
        <f t="shared" si="31"/>
        <v>0</v>
      </c>
      <c r="CU41" s="81">
        <f t="shared" si="32"/>
        <v>0</v>
      </c>
      <c r="CV41" s="81" t="s">
        <v>998</v>
      </c>
      <c r="CW41" s="81">
        <f t="shared" si="33"/>
        <v>0</v>
      </c>
      <c r="CX41" s="81">
        <f t="shared" si="34"/>
        <v>0</v>
      </c>
      <c r="CY41" s="81" t="s">
        <v>19</v>
      </c>
      <c r="CZ41" s="81">
        <f t="shared" si="35"/>
        <v>0</v>
      </c>
      <c r="DA41" s="81">
        <f t="shared" si="36"/>
        <v>0</v>
      </c>
      <c r="DB41" s="81" t="s">
        <v>20</v>
      </c>
      <c r="DC41" s="81">
        <f t="shared" si="37"/>
        <v>0</v>
      </c>
      <c r="DD41" s="81">
        <f t="shared" si="38"/>
        <v>0</v>
      </c>
      <c r="DE41" s="81" t="s">
        <v>23</v>
      </c>
      <c r="DF41" s="81">
        <f t="shared" si="39"/>
        <v>0</v>
      </c>
      <c r="DG41" s="81">
        <f t="shared" si="40"/>
        <v>0</v>
      </c>
      <c r="DH41" s="81" t="s">
        <v>15</v>
      </c>
      <c r="DI41" s="81">
        <f t="shared" si="41"/>
        <v>0</v>
      </c>
      <c r="DJ41" s="81">
        <f t="shared" si="42"/>
        <v>0</v>
      </c>
      <c r="DK41" s="81" t="s">
        <v>5263</v>
      </c>
      <c r="DL41" s="81">
        <f t="shared" si="43"/>
        <v>0</v>
      </c>
      <c r="DM41" s="81">
        <f t="shared" si="44"/>
        <v>0</v>
      </c>
      <c r="DN41" s="81" t="s">
        <v>7</v>
      </c>
      <c r="DO41" s="81">
        <f t="shared" si="45"/>
        <v>0</v>
      </c>
      <c r="DP41" s="81">
        <f t="shared" si="46"/>
        <v>0</v>
      </c>
      <c r="DQ41" s="81" t="s">
        <v>1</v>
      </c>
      <c r="DR41" s="81">
        <f t="shared" si="47"/>
        <v>0</v>
      </c>
      <c r="DS41" s="81">
        <f t="shared" si="48"/>
        <v>0</v>
      </c>
    </row>
    <row r="42" spans="1:123" x14ac:dyDescent="0.3">
      <c r="G42" s="97"/>
      <c r="H42" s="97"/>
      <c r="I42" s="97"/>
      <c r="N42" s="81">
        <f>IF(Q43=0,IF(Q42=0,,"x"),)</f>
        <v>0</v>
      </c>
      <c r="O42" s="81">
        <f t="shared" si="49"/>
        <v>0</v>
      </c>
      <c r="P42" s="81">
        <f t="shared" si="13"/>
        <v>0</v>
      </c>
      <c r="Q42" s="81">
        <f t="shared" si="50"/>
        <v>0</v>
      </c>
      <c r="R42" s="81">
        <f>IF(W42="",,SUM($W$4:W42))</f>
        <v>0</v>
      </c>
      <c r="S42" s="81">
        <f t="shared" si="14"/>
        <v>0</v>
      </c>
      <c r="T42" s="81">
        <f t="shared" si="51"/>
        <v>0</v>
      </c>
      <c r="U42" s="81">
        <f t="shared" si="15"/>
        <v>0</v>
      </c>
      <c r="V42" s="81" t="str">
        <f t="shared" ca="1" si="16"/>
        <v/>
      </c>
      <c r="W42" s="83"/>
      <c r="X42" s="81">
        <f t="shared" si="55"/>
        <v>0</v>
      </c>
      <c r="Y42" s="81">
        <f t="shared" si="56"/>
        <v>0</v>
      </c>
      <c r="AE42" s="81">
        <v>42</v>
      </c>
      <c r="AI42" s="81">
        <v>39</v>
      </c>
      <c r="AJ42" s="81" t="str">
        <f t="shared" si="0"/>
        <v>November 21</v>
      </c>
      <c r="AK42" s="81" t="str">
        <f t="shared" si="53"/>
        <v>November</v>
      </c>
      <c r="AL42" s="81">
        <f t="shared" si="54"/>
        <v>21</v>
      </c>
      <c r="AM42" s="81" t="str">
        <f t="shared" si="17"/>
        <v>='November 21'!</v>
      </c>
      <c r="AN42" s="81" t="str">
        <f t="shared" si="7"/>
        <v>='November 21'!C27</v>
      </c>
      <c r="AO42" s="81" t="s">
        <v>1042</v>
      </c>
      <c r="AR42" s="81" t="s">
        <v>102</v>
      </c>
      <c r="AS42" s="83" t="str">
        <f t="shared" si="1"/>
        <v>='November 21'!C6</v>
      </c>
      <c r="AT42" s="83">
        <f t="shared" si="2"/>
        <v>0</v>
      </c>
      <c r="AV42" s="81" t="s">
        <v>403</v>
      </c>
      <c r="AW42" s="81" t="s">
        <v>1736</v>
      </c>
      <c r="AX42" s="81" t="s">
        <v>1737</v>
      </c>
      <c r="AY42" s="81" t="s">
        <v>1738</v>
      </c>
      <c r="AZ42" s="81" t="s">
        <v>1739</v>
      </c>
      <c r="BA42" s="81" t="s">
        <v>1740</v>
      </c>
      <c r="BB42" s="81" t="s">
        <v>1741</v>
      </c>
      <c r="BC42" s="81" t="s">
        <v>1742</v>
      </c>
      <c r="BD42" s="81" t="s">
        <v>1743</v>
      </c>
      <c r="BE42" s="81" t="s">
        <v>1744</v>
      </c>
      <c r="BF42" s="81" t="s">
        <v>1745</v>
      </c>
      <c r="BG42" s="81" t="s">
        <v>1746</v>
      </c>
      <c r="BH42" s="81" t="s">
        <v>4659</v>
      </c>
      <c r="BI42" s="81" t="s">
        <v>4963</v>
      </c>
      <c r="BJ42" s="81" t="s">
        <v>102</v>
      </c>
      <c r="BL42" s="81" t="s">
        <v>706</v>
      </c>
      <c r="BM42" s="81">
        <v>39</v>
      </c>
      <c r="BN42" s="81" t="str">
        <f t="shared" si="3"/>
        <v>='November 21'!C12</v>
      </c>
      <c r="BP42" s="81" t="str">
        <f t="shared" ca="1" si="18"/>
        <v/>
      </c>
      <c r="BR42" s="84">
        <f t="shared" si="8"/>
        <v>0</v>
      </c>
      <c r="BS42" s="84">
        <f t="shared" si="9"/>
        <v>0</v>
      </c>
      <c r="CA42" s="81" t="s">
        <v>2</v>
      </c>
      <c r="CB42" s="81">
        <f t="shared" si="19"/>
        <v>0</v>
      </c>
      <c r="CC42" s="81">
        <f t="shared" si="20"/>
        <v>0</v>
      </c>
      <c r="CD42" s="81" t="s">
        <v>16</v>
      </c>
      <c r="CE42" s="81">
        <f t="shared" si="21"/>
        <v>0</v>
      </c>
      <c r="CF42" s="81">
        <f t="shared" si="22"/>
        <v>0</v>
      </c>
      <c r="CG42" s="81" t="s">
        <v>5</v>
      </c>
      <c r="CH42" s="81">
        <f t="shared" si="23"/>
        <v>0</v>
      </c>
      <c r="CI42" s="81">
        <f t="shared" si="24"/>
        <v>0</v>
      </c>
      <c r="CJ42" s="81" t="s">
        <v>18</v>
      </c>
      <c r="CK42" s="81">
        <f t="shared" si="25"/>
        <v>0</v>
      </c>
      <c r="CL42" s="81">
        <f t="shared" si="26"/>
        <v>0</v>
      </c>
      <c r="CM42" s="81" t="s">
        <v>4</v>
      </c>
      <c r="CN42" s="81">
        <f t="shared" si="27"/>
        <v>0</v>
      </c>
      <c r="CO42" s="81">
        <f t="shared" si="28"/>
        <v>0</v>
      </c>
      <c r="CP42" s="81" t="s">
        <v>22</v>
      </c>
      <c r="CQ42" s="81">
        <f t="shared" si="29"/>
        <v>0</v>
      </c>
      <c r="CR42" s="81">
        <f t="shared" si="30"/>
        <v>0</v>
      </c>
      <c r="CS42" s="81" t="s">
        <v>21</v>
      </c>
      <c r="CT42" s="81">
        <f t="shared" si="31"/>
        <v>0</v>
      </c>
      <c r="CU42" s="81">
        <f t="shared" si="32"/>
        <v>0</v>
      </c>
      <c r="CV42" s="81" t="s">
        <v>998</v>
      </c>
      <c r="CW42" s="81">
        <f t="shared" si="33"/>
        <v>0</v>
      </c>
      <c r="CX42" s="81">
        <f t="shared" si="34"/>
        <v>0</v>
      </c>
      <c r="CY42" s="81" t="s">
        <v>19</v>
      </c>
      <c r="CZ42" s="81">
        <f t="shared" si="35"/>
        <v>0</v>
      </c>
      <c r="DA42" s="81">
        <f t="shared" si="36"/>
        <v>0</v>
      </c>
      <c r="DB42" s="81" t="s">
        <v>20</v>
      </c>
      <c r="DC42" s="81">
        <f t="shared" si="37"/>
        <v>0</v>
      </c>
      <c r="DD42" s="81">
        <f t="shared" si="38"/>
        <v>0</v>
      </c>
      <c r="DE42" s="81" t="s">
        <v>23</v>
      </c>
      <c r="DF42" s="81">
        <f t="shared" si="39"/>
        <v>0</v>
      </c>
      <c r="DG42" s="81">
        <f t="shared" si="40"/>
        <v>0</v>
      </c>
      <c r="DH42" s="81" t="s">
        <v>15</v>
      </c>
      <c r="DI42" s="81">
        <f t="shared" si="41"/>
        <v>0</v>
      </c>
      <c r="DJ42" s="81">
        <f t="shared" si="42"/>
        <v>0</v>
      </c>
      <c r="DK42" s="81" t="s">
        <v>5264</v>
      </c>
      <c r="DL42" s="81">
        <f t="shared" si="43"/>
        <v>0</v>
      </c>
      <c r="DM42" s="81">
        <f t="shared" si="44"/>
        <v>0</v>
      </c>
      <c r="DN42" s="81" t="s">
        <v>7</v>
      </c>
      <c r="DO42" s="81">
        <f t="shared" si="45"/>
        <v>0</v>
      </c>
      <c r="DP42" s="81">
        <f t="shared" si="46"/>
        <v>0</v>
      </c>
      <c r="DQ42" s="81" t="s">
        <v>1</v>
      </c>
      <c r="DR42" s="81">
        <f t="shared" si="47"/>
        <v>0</v>
      </c>
      <c r="DS42" s="81">
        <f t="shared" si="48"/>
        <v>0</v>
      </c>
    </row>
    <row r="43" spans="1:123" x14ac:dyDescent="0.3">
      <c r="G43" s="97"/>
      <c r="H43" s="97"/>
      <c r="I43" s="97"/>
      <c r="N43" s="81">
        <f>IF(Q44=0,IF(Q43=0,,"x"),)</f>
        <v>0</v>
      </c>
      <c r="O43" s="81">
        <f t="shared" si="49"/>
        <v>0</v>
      </c>
      <c r="P43" s="81">
        <f t="shared" si="13"/>
        <v>0</v>
      </c>
      <c r="Q43" s="81">
        <f t="shared" si="50"/>
        <v>0</v>
      </c>
      <c r="R43" s="81">
        <f>IF(W43="",,SUM($W$4:W43))</f>
        <v>0</v>
      </c>
      <c r="S43" s="81">
        <f t="shared" si="14"/>
        <v>0</v>
      </c>
      <c r="T43" s="81">
        <f t="shared" si="51"/>
        <v>0</v>
      </c>
      <c r="U43" s="81">
        <f t="shared" si="15"/>
        <v>0</v>
      </c>
      <c r="V43" s="81" t="str">
        <f t="shared" ca="1" si="16"/>
        <v/>
      </c>
      <c r="W43" s="83"/>
      <c r="X43" s="81">
        <f t="shared" si="55"/>
        <v>0</v>
      </c>
      <c r="Y43" s="81">
        <f t="shared" si="56"/>
        <v>0</v>
      </c>
      <c r="AE43" s="81">
        <v>43</v>
      </c>
      <c r="AI43" s="81">
        <v>40</v>
      </c>
      <c r="AJ43" s="81" t="str">
        <f t="shared" si="0"/>
        <v>December 21</v>
      </c>
      <c r="AK43" s="81" t="str">
        <f t="shared" si="53"/>
        <v>December</v>
      </c>
      <c r="AL43" s="81">
        <f t="shared" si="54"/>
        <v>21</v>
      </c>
      <c r="AM43" s="81" t="str">
        <f t="shared" si="17"/>
        <v>='December 21'!</v>
      </c>
      <c r="AN43" s="81" t="str">
        <f t="shared" si="7"/>
        <v>='December 21'!C27</v>
      </c>
      <c r="AO43" s="81" t="s">
        <v>1043</v>
      </c>
      <c r="AR43" s="81" t="s">
        <v>103</v>
      </c>
      <c r="AS43" s="83" t="str">
        <f t="shared" si="1"/>
        <v>='December 21'!C6</v>
      </c>
      <c r="AT43" s="83">
        <f t="shared" si="2"/>
        <v>0</v>
      </c>
      <c r="AV43" s="81" t="s">
        <v>404</v>
      </c>
      <c r="AW43" s="81" t="s">
        <v>1747</v>
      </c>
      <c r="AX43" s="81" t="s">
        <v>1748</v>
      </c>
      <c r="AY43" s="81" t="s">
        <v>1749</v>
      </c>
      <c r="AZ43" s="81" t="s">
        <v>1750</v>
      </c>
      <c r="BA43" s="81" t="s">
        <v>1751</v>
      </c>
      <c r="BB43" s="81" t="s">
        <v>1752</v>
      </c>
      <c r="BC43" s="81" t="s">
        <v>1753</v>
      </c>
      <c r="BD43" s="81" t="s">
        <v>1754</v>
      </c>
      <c r="BE43" s="81" t="s">
        <v>1755</v>
      </c>
      <c r="BF43" s="81" t="s">
        <v>1756</v>
      </c>
      <c r="BG43" s="81" t="s">
        <v>1757</v>
      </c>
      <c r="BH43" s="81" t="s">
        <v>4660</v>
      </c>
      <c r="BI43" s="81" t="s">
        <v>4964</v>
      </c>
      <c r="BJ43" s="81" t="s">
        <v>103</v>
      </c>
      <c r="BL43" s="81" t="s">
        <v>707</v>
      </c>
      <c r="BM43" s="81">
        <v>40</v>
      </c>
      <c r="BN43" s="81" t="str">
        <f t="shared" si="3"/>
        <v>='December 21'!C12</v>
      </c>
      <c r="BP43" s="81" t="str">
        <f t="shared" ca="1" si="18"/>
        <v/>
      </c>
      <c r="BR43" s="84">
        <f t="shared" si="8"/>
        <v>0</v>
      </c>
      <c r="BS43" s="84">
        <f t="shared" si="9"/>
        <v>0</v>
      </c>
      <c r="CA43" s="81" t="s">
        <v>2</v>
      </c>
      <c r="CB43" s="81">
        <f t="shared" si="19"/>
        <v>0</v>
      </c>
      <c r="CC43" s="81">
        <f t="shared" si="20"/>
        <v>0</v>
      </c>
      <c r="CD43" s="81" t="s">
        <v>16</v>
      </c>
      <c r="CE43" s="81">
        <f t="shared" si="21"/>
        <v>0</v>
      </c>
      <c r="CF43" s="81">
        <f t="shared" si="22"/>
        <v>0</v>
      </c>
      <c r="CG43" s="81" t="s">
        <v>5</v>
      </c>
      <c r="CH43" s="81">
        <f t="shared" si="23"/>
        <v>0</v>
      </c>
      <c r="CI43" s="81">
        <f t="shared" si="24"/>
        <v>0</v>
      </c>
      <c r="CJ43" s="81" t="s">
        <v>18</v>
      </c>
      <c r="CK43" s="81">
        <f t="shared" si="25"/>
        <v>0</v>
      </c>
      <c r="CL43" s="81">
        <f t="shared" si="26"/>
        <v>0</v>
      </c>
      <c r="CM43" s="81" t="s">
        <v>4</v>
      </c>
      <c r="CN43" s="81">
        <f t="shared" si="27"/>
        <v>0</v>
      </c>
      <c r="CO43" s="81">
        <f t="shared" si="28"/>
        <v>0</v>
      </c>
      <c r="CP43" s="81" t="s">
        <v>22</v>
      </c>
      <c r="CQ43" s="81">
        <f t="shared" si="29"/>
        <v>0</v>
      </c>
      <c r="CR43" s="81">
        <f t="shared" si="30"/>
        <v>0</v>
      </c>
      <c r="CS43" s="81" t="s">
        <v>21</v>
      </c>
      <c r="CT43" s="81">
        <f t="shared" si="31"/>
        <v>0</v>
      </c>
      <c r="CU43" s="81">
        <f t="shared" si="32"/>
        <v>0</v>
      </c>
      <c r="CV43" s="81" t="s">
        <v>998</v>
      </c>
      <c r="CW43" s="81">
        <f t="shared" si="33"/>
        <v>0</v>
      </c>
      <c r="CX43" s="81">
        <f t="shared" si="34"/>
        <v>0</v>
      </c>
      <c r="CY43" s="81" t="s">
        <v>19</v>
      </c>
      <c r="CZ43" s="81">
        <f t="shared" si="35"/>
        <v>0</v>
      </c>
      <c r="DA43" s="81">
        <f t="shared" si="36"/>
        <v>0</v>
      </c>
      <c r="DB43" s="81" t="s">
        <v>20</v>
      </c>
      <c r="DC43" s="81">
        <f t="shared" si="37"/>
        <v>0</v>
      </c>
      <c r="DD43" s="81">
        <f t="shared" si="38"/>
        <v>0</v>
      </c>
      <c r="DE43" s="81" t="s">
        <v>23</v>
      </c>
      <c r="DF43" s="81">
        <f t="shared" si="39"/>
        <v>0</v>
      </c>
      <c r="DG43" s="81">
        <f t="shared" si="40"/>
        <v>0</v>
      </c>
      <c r="DH43" s="81" t="s">
        <v>15</v>
      </c>
      <c r="DI43" s="81">
        <f t="shared" si="41"/>
        <v>0</v>
      </c>
      <c r="DJ43" s="81">
        <f t="shared" si="42"/>
        <v>0</v>
      </c>
      <c r="DK43" s="81" t="s">
        <v>5265</v>
      </c>
      <c r="DL43" s="81">
        <f t="shared" si="43"/>
        <v>0</v>
      </c>
      <c r="DM43" s="81">
        <f t="shared" si="44"/>
        <v>0</v>
      </c>
      <c r="DN43" s="81" t="s">
        <v>7</v>
      </c>
      <c r="DO43" s="81">
        <f t="shared" si="45"/>
        <v>0</v>
      </c>
      <c r="DP43" s="81">
        <f t="shared" si="46"/>
        <v>0</v>
      </c>
      <c r="DQ43" s="81" t="s">
        <v>1</v>
      </c>
      <c r="DR43" s="81">
        <f t="shared" si="47"/>
        <v>0</v>
      </c>
      <c r="DS43" s="81">
        <f t="shared" si="48"/>
        <v>0</v>
      </c>
    </row>
    <row r="44" spans="1:123" x14ac:dyDescent="0.3">
      <c r="G44" s="97"/>
      <c r="H44" s="97"/>
      <c r="I44" s="97"/>
      <c r="N44" s="81">
        <f>IF(Q45=0,IF(Q44=0,,"x"),)</f>
        <v>0</v>
      </c>
      <c r="O44" s="81">
        <f t="shared" si="49"/>
        <v>0</v>
      </c>
      <c r="P44" s="81">
        <f t="shared" si="13"/>
        <v>0</v>
      </c>
      <c r="Q44" s="81">
        <f t="shared" si="50"/>
        <v>0</v>
      </c>
      <c r="R44" s="81">
        <f>IF(W44="",,SUM($W$4:W44))</f>
        <v>0</v>
      </c>
      <c r="S44" s="81">
        <f t="shared" si="14"/>
        <v>0</v>
      </c>
      <c r="T44" s="81">
        <f t="shared" si="51"/>
        <v>0</v>
      </c>
      <c r="U44" s="81">
        <f t="shared" si="15"/>
        <v>0</v>
      </c>
      <c r="V44" s="81" t="str">
        <f t="shared" ca="1" si="16"/>
        <v/>
      </c>
      <c r="W44" s="83"/>
      <c r="X44" s="81">
        <f t="shared" si="55"/>
        <v>0</v>
      </c>
      <c r="Y44" s="81">
        <f t="shared" si="56"/>
        <v>0</v>
      </c>
      <c r="AE44" s="81">
        <v>44</v>
      </c>
      <c r="AI44" s="81">
        <v>41</v>
      </c>
      <c r="AJ44" s="81" t="str">
        <f t="shared" si="0"/>
        <v>Januari 22</v>
      </c>
      <c r="AK44" s="81" t="str">
        <f t="shared" si="53"/>
        <v>Januari</v>
      </c>
      <c r="AL44" s="81">
        <f t="shared" si="54"/>
        <v>22</v>
      </c>
      <c r="AM44" s="81" t="str">
        <f t="shared" si="17"/>
        <v>='Januari 22'!</v>
      </c>
      <c r="AN44" s="81" t="str">
        <f t="shared" si="7"/>
        <v>='Januari 22'!C27</v>
      </c>
      <c r="AO44" s="81" t="s">
        <v>1044</v>
      </c>
      <c r="AR44" s="81" t="s">
        <v>104</v>
      </c>
      <c r="AS44" s="83" t="str">
        <f t="shared" si="1"/>
        <v>='Januari 22'!C6</v>
      </c>
      <c r="AT44" s="83">
        <f t="shared" si="2"/>
        <v>0</v>
      </c>
      <c r="AV44" s="81" t="s">
        <v>405</v>
      </c>
      <c r="AW44" s="81" t="s">
        <v>1758</v>
      </c>
      <c r="AX44" s="81" t="s">
        <v>1759</v>
      </c>
      <c r="AY44" s="81" t="s">
        <v>1760</v>
      </c>
      <c r="AZ44" s="81" t="s">
        <v>1761</v>
      </c>
      <c r="BA44" s="81" t="s">
        <v>1762</v>
      </c>
      <c r="BB44" s="81" t="s">
        <v>1763</v>
      </c>
      <c r="BC44" s="81" t="s">
        <v>1764</v>
      </c>
      <c r="BD44" s="81" t="s">
        <v>1765</v>
      </c>
      <c r="BE44" s="81" t="s">
        <v>1766</v>
      </c>
      <c r="BF44" s="81" t="s">
        <v>1767</v>
      </c>
      <c r="BG44" s="81" t="s">
        <v>1768</v>
      </c>
      <c r="BH44" s="81" t="s">
        <v>4661</v>
      </c>
      <c r="BI44" s="81" t="s">
        <v>4965</v>
      </c>
      <c r="BJ44" s="81" t="s">
        <v>104</v>
      </c>
      <c r="BL44" s="81" t="s">
        <v>708</v>
      </c>
      <c r="BM44" s="81">
        <v>41</v>
      </c>
      <c r="BN44" s="81" t="str">
        <f t="shared" si="3"/>
        <v>='Januari 22'!C12</v>
      </c>
      <c r="BP44" s="81" t="str">
        <f t="shared" ca="1" si="18"/>
        <v/>
      </c>
      <c r="BR44" s="84">
        <f t="shared" si="8"/>
        <v>0</v>
      </c>
      <c r="BS44" s="84">
        <f t="shared" si="9"/>
        <v>0</v>
      </c>
      <c r="CA44" s="81" t="s">
        <v>2</v>
      </c>
      <c r="CB44" s="81">
        <f t="shared" si="19"/>
        <v>0</v>
      </c>
      <c r="CC44" s="81">
        <f t="shared" si="20"/>
        <v>0</v>
      </c>
      <c r="CD44" s="81" t="s">
        <v>16</v>
      </c>
      <c r="CE44" s="81">
        <f t="shared" si="21"/>
        <v>0</v>
      </c>
      <c r="CF44" s="81">
        <f t="shared" si="22"/>
        <v>0</v>
      </c>
      <c r="CG44" s="81" t="s">
        <v>5</v>
      </c>
      <c r="CH44" s="81">
        <f t="shared" si="23"/>
        <v>0</v>
      </c>
      <c r="CI44" s="81">
        <f t="shared" si="24"/>
        <v>0</v>
      </c>
      <c r="CJ44" s="81" t="s">
        <v>18</v>
      </c>
      <c r="CK44" s="81">
        <f t="shared" si="25"/>
        <v>0</v>
      </c>
      <c r="CL44" s="81">
        <f t="shared" si="26"/>
        <v>0</v>
      </c>
      <c r="CM44" s="81" t="s">
        <v>4</v>
      </c>
      <c r="CN44" s="81">
        <f t="shared" si="27"/>
        <v>0</v>
      </c>
      <c r="CO44" s="81">
        <f t="shared" si="28"/>
        <v>0</v>
      </c>
      <c r="CP44" s="81" t="s">
        <v>22</v>
      </c>
      <c r="CQ44" s="81">
        <f t="shared" si="29"/>
        <v>0</v>
      </c>
      <c r="CR44" s="81">
        <f t="shared" si="30"/>
        <v>0</v>
      </c>
      <c r="CS44" s="81" t="s">
        <v>21</v>
      </c>
      <c r="CT44" s="81">
        <f t="shared" si="31"/>
        <v>0</v>
      </c>
      <c r="CU44" s="81">
        <f t="shared" si="32"/>
        <v>0</v>
      </c>
      <c r="CV44" s="81" t="s">
        <v>998</v>
      </c>
      <c r="CW44" s="81">
        <f t="shared" si="33"/>
        <v>0</v>
      </c>
      <c r="CX44" s="81">
        <f t="shared" si="34"/>
        <v>0</v>
      </c>
      <c r="CY44" s="81" t="s">
        <v>19</v>
      </c>
      <c r="CZ44" s="81">
        <f t="shared" si="35"/>
        <v>0</v>
      </c>
      <c r="DA44" s="81">
        <f t="shared" si="36"/>
        <v>0</v>
      </c>
      <c r="DB44" s="81" t="s">
        <v>20</v>
      </c>
      <c r="DC44" s="81">
        <f t="shared" si="37"/>
        <v>0</v>
      </c>
      <c r="DD44" s="81">
        <f t="shared" si="38"/>
        <v>0</v>
      </c>
      <c r="DE44" s="81" t="s">
        <v>23</v>
      </c>
      <c r="DF44" s="81">
        <f t="shared" si="39"/>
        <v>0</v>
      </c>
      <c r="DG44" s="81">
        <f t="shared" si="40"/>
        <v>0</v>
      </c>
      <c r="DH44" s="81" t="s">
        <v>15</v>
      </c>
      <c r="DI44" s="81">
        <f t="shared" si="41"/>
        <v>0</v>
      </c>
      <c r="DJ44" s="81">
        <f t="shared" si="42"/>
        <v>0</v>
      </c>
      <c r="DK44" s="81" t="s">
        <v>5266</v>
      </c>
      <c r="DL44" s="81">
        <f t="shared" si="43"/>
        <v>0</v>
      </c>
      <c r="DM44" s="81">
        <f t="shared" si="44"/>
        <v>0</v>
      </c>
      <c r="DN44" s="81" t="s">
        <v>7</v>
      </c>
      <c r="DO44" s="81">
        <f t="shared" si="45"/>
        <v>0</v>
      </c>
      <c r="DP44" s="81">
        <f t="shared" si="46"/>
        <v>0</v>
      </c>
      <c r="DQ44" s="81" t="s">
        <v>1</v>
      </c>
      <c r="DR44" s="81">
        <f t="shared" si="47"/>
        <v>0</v>
      </c>
      <c r="DS44" s="81">
        <f t="shared" si="48"/>
        <v>0</v>
      </c>
    </row>
    <row r="45" spans="1:123" x14ac:dyDescent="0.3">
      <c r="G45" s="97"/>
      <c r="H45" s="97"/>
      <c r="I45" s="97"/>
      <c r="N45" s="81">
        <f>IF(Q46=0,IF(Q45=0,,"x"),)</f>
        <v>0</v>
      </c>
      <c r="O45" s="81">
        <f t="shared" si="49"/>
        <v>0</v>
      </c>
      <c r="P45" s="81">
        <f t="shared" si="13"/>
        <v>0</v>
      </c>
      <c r="Q45" s="81">
        <f t="shared" si="50"/>
        <v>0</v>
      </c>
      <c r="R45" s="81">
        <f>IF(W45="",,SUM($W$4:W45))</f>
        <v>0</v>
      </c>
      <c r="S45" s="81">
        <f t="shared" si="14"/>
        <v>0</v>
      </c>
      <c r="T45" s="81">
        <f t="shared" si="51"/>
        <v>0</v>
      </c>
      <c r="U45" s="81">
        <f t="shared" si="15"/>
        <v>0</v>
      </c>
      <c r="V45" s="81" t="str">
        <f t="shared" ca="1" si="16"/>
        <v/>
      </c>
      <c r="W45" s="83"/>
      <c r="X45" s="81">
        <f t="shared" si="55"/>
        <v>0</v>
      </c>
      <c r="Y45" s="81">
        <f t="shared" si="56"/>
        <v>0</v>
      </c>
      <c r="AE45" s="81">
        <v>45</v>
      </c>
      <c r="AI45" s="81">
        <v>42</v>
      </c>
      <c r="AJ45" s="81" t="str">
        <f t="shared" si="0"/>
        <v>Februari 22</v>
      </c>
      <c r="AK45" s="81" t="str">
        <f t="shared" si="53"/>
        <v>Februari</v>
      </c>
      <c r="AL45" s="81">
        <f t="shared" si="54"/>
        <v>22</v>
      </c>
      <c r="AM45" s="81" t="str">
        <f t="shared" si="17"/>
        <v>='Februari 22'!</v>
      </c>
      <c r="AN45" s="81" t="str">
        <f t="shared" si="7"/>
        <v>='Februari 22'!C27</v>
      </c>
      <c r="AO45" s="81" t="s">
        <v>1045</v>
      </c>
      <c r="AR45" s="81" t="s">
        <v>105</v>
      </c>
      <c r="AS45" s="83" t="str">
        <f t="shared" si="1"/>
        <v>='Februari 22'!C6</v>
      </c>
      <c r="AT45" s="83">
        <f t="shared" si="2"/>
        <v>0</v>
      </c>
      <c r="AV45" s="81" t="s">
        <v>406</v>
      </c>
      <c r="AW45" s="81" t="s">
        <v>1769</v>
      </c>
      <c r="AX45" s="81" t="s">
        <v>1770</v>
      </c>
      <c r="AY45" s="81" t="s">
        <v>1771</v>
      </c>
      <c r="AZ45" s="81" t="s">
        <v>1772</v>
      </c>
      <c r="BA45" s="81" t="s">
        <v>1773</v>
      </c>
      <c r="BB45" s="81" t="s">
        <v>1774</v>
      </c>
      <c r="BC45" s="81" t="s">
        <v>1775</v>
      </c>
      <c r="BD45" s="81" t="s">
        <v>1776</v>
      </c>
      <c r="BE45" s="81" t="s">
        <v>1777</v>
      </c>
      <c r="BF45" s="81" t="s">
        <v>1778</v>
      </c>
      <c r="BG45" s="81" t="s">
        <v>1779</v>
      </c>
      <c r="BH45" s="81" t="s">
        <v>4662</v>
      </c>
      <c r="BI45" s="81" t="s">
        <v>4966</v>
      </c>
      <c r="BJ45" s="81" t="s">
        <v>105</v>
      </c>
      <c r="BL45" s="81" t="s">
        <v>709</v>
      </c>
      <c r="BM45" s="81">
        <v>42</v>
      </c>
      <c r="BN45" s="81" t="str">
        <f t="shared" si="3"/>
        <v>='Februari 22'!C12</v>
      </c>
      <c r="BP45" s="81" t="str">
        <f t="shared" ca="1" si="18"/>
        <v/>
      </c>
      <c r="BR45" s="84">
        <f t="shared" si="8"/>
        <v>0</v>
      </c>
      <c r="BS45" s="84">
        <f t="shared" si="9"/>
        <v>0</v>
      </c>
      <c r="CA45" s="81" t="s">
        <v>2</v>
      </c>
      <c r="CB45" s="81">
        <f t="shared" si="19"/>
        <v>0</v>
      </c>
      <c r="CC45" s="81">
        <f t="shared" si="20"/>
        <v>0</v>
      </c>
      <c r="CD45" s="81" t="s">
        <v>16</v>
      </c>
      <c r="CE45" s="81">
        <f t="shared" si="21"/>
        <v>0</v>
      </c>
      <c r="CF45" s="81">
        <f t="shared" si="22"/>
        <v>0</v>
      </c>
      <c r="CG45" s="81" t="s">
        <v>5</v>
      </c>
      <c r="CH45" s="81">
        <f t="shared" si="23"/>
        <v>0</v>
      </c>
      <c r="CI45" s="81">
        <f t="shared" si="24"/>
        <v>0</v>
      </c>
      <c r="CJ45" s="81" t="s">
        <v>18</v>
      </c>
      <c r="CK45" s="81">
        <f t="shared" si="25"/>
        <v>0</v>
      </c>
      <c r="CL45" s="81">
        <f t="shared" si="26"/>
        <v>0</v>
      </c>
      <c r="CM45" s="81" t="s">
        <v>4</v>
      </c>
      <c r="CN45" s="81">
        <f t="shared" si="27"/>
        <v>0</v>
      </c>
      <c r="CO45" s="81">
        <f t="shared" si="28"/>
        <v>0</v>
      </c>
      <c r="CP45" s="81" t="s">
        <v>22</v>
      </c>
      <c r="CQ45" s="81">
        <f t="shared" si="29"/>
        <v>0</v>
      </c>
      <c r="CR45" s="81">
        <f t="shared" si="30"/>
        <v>0</v>
      </c>
      <c r="CS45" s="81" t="s">
        <v>21</v>
      </c>
      <c r="CT45" s="81">
        <f t="shared" si="31"/>
        <v>0</v>
      </c>
      <c r="CU45" s="81">
        <f t="shared" si="32"/>
        <v>0</v>
      </c>
      <c r="CV45" s="81" t="s">
        <v>998</v>
      </c>
      <c r="CW45" s="81">
        <f t="shared" si="33"/>
        <v>0</v>
      </c>
      <c r="CX45" s="81">
        <f t="shared" si="34"/>
        <v>0</v>
      </c>
      <c r="CY45" s="81" t="s">
        <v>19</v>
      </c>
      <c r="CZ45" s="81">
        <f t="shared" si="35"/>
        <v>0</v>
      </c>
      <c r="DA45" s="81">
        <f t="shared" si="36"/>
        <v>0</v>
      </c>
      <c r="DB45" s="81" t="s">
        <v>20</v>
      </c>
      <c r="DC45" s="81">
        <f t="shared" si="37"/>
        <v>0</v>
      </c>
      <c r="DD45" s="81">
        <f t="shared" si="38"/>
        <v>0</v>
      </c>
      <c r="DE45" s="81" t="s">
        <v>23</v>
      </c>
      <c r="DF45" s="81">
        <f t="shared" si="39"/>
        <v>0</v>
      </c>
      <c r="DG45" s="81">
        <f t="shared" si="40"/>
        <v>0</v>
      </c>
      <c r="DH45" s="81" t="s">
        <v>15</v>
      </c>
      <c r="DI45" s="81">
        <f t="shared" si="41"/>
        <v>0</v>
      </c>
      <c r="DJ45" s="81">
        <f t="shared" si="42"/>
        <v>0</v>
      </c>
      <c r="DK45" s="81" t="s">
        <v>5267</v>
      </c>
      <c r="DL45" s="81">
        <f t="shared" si="43"/>
        <v>0</v>
      </c>
      <c r="DM45" s="81">
        <f t="shared" si="44"/>
        <v>0</v>
      </c>
      <c r="DN45" s="81" t="s">
        <v>7</v>
      </c>
      <c r="DO45" s="81">
        <f t="shared" si="45"/>
        <v>0</v>
      </c>
      <c r="DP45" s="81">
        <f t="shared" si="46"/>
        <v>0</v>
      </c>
      <c r="DQ45" s="81" t="s">
        <v>1</v>
      </c>
      <c r="DR45" s="81">
        <f t="shared" si="47"/>
        <v>0</v>
      </c>
      <c r="DS45" s="81">
        <f t="shared" si="48"/>
        <v>0</v>
      </c>
    </row>
    <row r="46" spans="1:123" ht="15" thickBot="1" x14ac:dyDescent="0.35">
      <c r="D46" s="7"/>
      <c r="E46" s="7"/>
      <c r="G46" s="97"/>
      <c r="H46" s="97"/>
      <c r="I46" s="97"/>
      <c r="N46" s="81">
        <f>IF(Q47=0,IF(Q46=0,,"x"),)</f>
        <v>0</v>
      </c>
      <c r="O46" s="81">
        <f t="shared" si="49"/>
        <v>0</v>
      </c>
      <c r="P46" s="81">
        <f t="shared" si="13"/>
        <v>0</v>
      </c>
      <c r="Q46" s="81">
        <f t="shared" si="50"/>
        <v>0</v>
      </c>
      <c r="R46" s="81">
        <f>IF(W46="",,SUM($W$4:W46))</f>
        <v>0</v>
      </c>
      <c r="S46" s="81">
        <f t="shared" si="14"/>
        <v>0</v>
      </c>
      <c r="T46" s="81">
        <f t="shared" si="51"/>
        <v>0</v>
      </c>
      <c r="U46" s="81">
        <f t="shared" si="15"/>
        <v>0</v>
      </c>
      <c r="V46" s="81" t="str">
        <f t="shared" ca="1" si="16"/>
        <v/>
      </c>
      <c r="W46" s="83"/>
      <c r="X46" s="81">
        <f t="shared" si="55"/>
        <v>0</v>
      </c>
      <c r="Y46" s="81">
        <f t="shared" si="56"/>
        <v>0</v>
      </c>
      <c r="AE46" s="81">
        <v>46</v>
      </c>
      <c r="AI46" s="81">
        <v>43</v>
      </c>
      <c r="AJ46" s="81" t="str">
        <f t="shared" si="0"/>
        <v>Mars 22</v>
      </c>
      <c r="AK46" s="81" t="str">
        <f t="shared" si="53"/>
        <v>Mars</v>
      </c>
      <c r="AL46" s="81">
        <f t="shared" si="54"/>
        <v>22</v>
      </c>
      <c r="AM46" s="81" t="str">
        <f t="shared" si="17"/>
        <v>='Mars 22'!</v>
      </c>
      <c r="AN46" s="81" t="str">
        <f t="shared" si="7"/>
        <v>='Mars 22'!C27</v>
      </c>
      <c r="AO46" s="81" t="s">
        <v>1046</v>
      </c>
      <c r="AR46" s="81" t="s">
        <v>106</v>
      </c>
      <c r="AS46" s="83" t="str">
        <f t="shared" si="1"/>
        <v>='Mars 22'!C6</v>
      </c>
      <c r="AT46" s="83">
        <f t="shared" si="2"/>
        <v>0</v>
      </c>
      <c r="AV46" s="81" t="s">
        <v>407</v>
      </c>
      <c r="AW46" s="81" t="s">
        <v>1780</v>
      </c>
      <c r="AX46" s="81" t="s">
        <v>1781</v>
      </c>
      <c r="AY46" s="81" t="s">
        <v>1782</v>
      </c>
      <c r="AZ46" s="81" t="s">
        <v>1783</v>
      </c>
      <c r="BA46" s="81" t="s">
        <v>1784</v>
      </c>
      <c r="BB46" s="81" t="s">
        <v>1785</v>
      </c>
      <c r="BC46" s="81" t="s">
        <v>1786</v>
      </c>
      <c r="BD46" s="81" t="s">
        <v>1787</v>
      </c>
      <c r="BE46" s="81" t="s">
        <v>1788</v>
      </c>
      <c r="BF46" s="81" t="s">
        <v>1789</v>
      </c>
      <c r="BG46" s="81" t="s">
        <v>1790</v>
      </c>
      <c r="BH46" s="81" t="s">
        <v>4663</v>
      </c>
      <c r="BI46" s="81" t="s">
        <v>4967</v>
      </c>
      <c r="BJ46" s="81" t="s">
        <v>106</v>
      </c>
      <c r="BL46" s="81" t="s">
        <v>710</v>
      </c>
      <c r="BM46" s="81">
        <v>43</v>
      </c>
      <c r="BN46" s="81" t="str">
        <f t="shared" si="3"/>
        <v>='Mars 22'!C12</v>
      </c>
      <c r="BP46" s="81" t="str">
        <f t="shared" ca="1" si="18"/>
        <v/>
      </c>
      <c r="BR46" s="84">
        <f t="shared" si="8"/>
        <v>0</v>
      </c>
      <c r="BS46" s="84">
        <f t="shared" si="9"/>
        <v>0</v>
      </c>
      <c r="CA46" s="81" t="s">
        <v>2</v>
      </c>
      <c r="CB46" s="81">
        <f t="shared" si="19"/>
        <v>0</v>
      </c>
      <c r="CC46" s="81">
        <f t="shared" si="20"/>
        <v>0</v>
      </c>
      <c r="CD46" s="81" t="s">
        <v>16</v>
      </c>
      <c r="CE46" s="81">
        <f t="shared" si="21"/>
        <v>0</v>
      </c>
      <c r="CF46" s="81">
        <f t="shared" si="22"/>
        <v>0</v>
      </c>
      <c r="CG46" s="81" t="s">
        <v>5</v>
      </c>
      <c r="CH46" s="81">
        <f t="shared" si="23"/>
        <v>0</v>
      </c>
      <c r="CI46" s="81">
        <f t="shared" si="24"/>
        <v>0</v>
      </c>
      <c r="CJ46" s="81" t="s">
        <v>18</v>
      </c>
      <c r="CK46" s="81">
        <f t="shared" si="25"/>
        <v>0</v>
      </c>
      <c r="CL46" s="81">
        <f t="shared" si="26"/>
        <v>0</v>
      </c>
      <c r="CM46" s="81" t="s">
        <v>4</v>
      </c>
      <c r="CN46" s="81">
        <f t="shared" si="27"/>
        <v>0</v>
      </c>
      <c r="CO46" s="81">
        <f t="shared" si="28"/>
        <v>0</v>
      </c>
      <c r="CP46" s="81" t="s">
        <v>22</v>
      </c>
      <c r="CQ46" s="81">
        <f t="shared" si="29"/>
        <v>0</v>
      </c>
      <c r="CR46" s="81">
        <f t="shared" si="30"/>
        <v>0</v>
      </c>
      <c r="CS46" s="81" t="s">
        <v>21</v>
      </c>
      <c r="CT46" s="81">
        <f t="shared" si="31"/>
        <v>0</v>
      </c>
      <c r="CU46" s="81">
        <f t="shared" si="32"/>
        <v>0</v>
      </c>
      <c r="CV46" s="81" t="s">
        <v>998</v>
      </c>
      <c r="CW46" s="81">
        <f t="shared" si="33"/>
        <v>0</v>
      </c>
      <c r="CX46" s="81">
        <f t="shared" si="34"/>
        <v>0</v>
      </c>
      <c r="CY46" s="81" t="s">
        <v>19</v>
      </c>
      <c r="CZ46" s="81">
        <f t="shared" si="35"/>
        <v>0</v>
      </c>
      <c r="DA46" s="81">
        <f t="shared" si="36"/>
        <v>0</v>
      </c>
      <c r="DB46" s="81" t="s">
        <v>20</v>
      </c>
      <c r="DC46" s="81">
        <f t="shared" si="37"/>
        <v>0</v>
      </c>
      <c r="DD46" s="81">
        <f t="shared" si="38"/>
        <v>0</v>
      </c>
      <c r="DE46" s="81" t="s">
        <v>23</v>
      </c>
      <c r="DF46" s="81">
        <f t="shared" si="39"/>
        <v>0</v>
      </c>
      <c r="DG46" s="81">
        <f t="shared" si="40"/>
        <v>0</v>
      </c>
      <c r="DH46" s="81" t="s">
        <v>15</v>
      </c>
      <c r="DI46" s="81">
        <f t="shared" si="41"/>
        <v>0</v>
      </c>
      <c r="DJ46" s="81">
        <f t="shared" si="42"/>
        <v>0</v>
      </c>
      <c r="DK46" s="81" t="s">
        <v>5268</v>
      </c>
      <c r="DL46" s="81">
        <f t="shared" si="43"/>
        <v>0</v>
      </c>
      <c r="DM46" s="81">
        <f t="shared" si="44"/>
        <v>0</v>
      </c>
      <c r="DN46" s="81" t="s">
        <v>7</v>
      </c>
      <c r="DO46" s="81">
        <f t="shared" si="45"/>
        <v>0</v>
      </c>
      <c r="DP46" s="81">
        <f t="shared" si="46"/>
        <v>0</v>
      </c>
      <c r="DQ46" s="81" t="s">
        <v>1</v>
      </c>
      <c r="DR46" s="81">
        <f t="shared" si="47"/>
        <v>0</v>
      </c>
      <c r="DS46" s="81">
        <f t="shared" si="48"/>
        <v>0</v>
      </c>
    </row>
    <row r="47" spans="1:123" x14ac:dyDescent="0.3">
      <c r="B47" s="64"/>
      <c r="C47" s="65"/>
      <c r="D47" s="7"/>
      <c r="E47" s="7"/>
      <c r="G47" s="97"/>
      <c r="H47" s="97"/>
      <c r="I47" s="97"/>
      <c r="N47" s="81">
        <f>IF(Q48=0,IF(Q47=0,,"x"),)</f>
        <v>0</v>
      </c>
      <c r="O47" s="81">
        <f t="shared" si="49"/>
        <v>0</v>
      </c>
      <c r="P47" s="81">
        <f t="shared" si="13"/>
        <v>0</v>
      </c>
      <c r="Q47" s="81">
        <f t="shared" si="50"/>
        <v>0</v>
      </c>
      <c r="R47" s="81">
        <f>IF(W47="",,SUM($W$4:W47))</f>
        <v>0</v>
      </c>
      <c r="S47" s="81">
        <f t="shared" si="14"/>
        <v>0</v>
      </c>
      <c r="T47" s="81">
        <f t="shared" si="51"/>
        <v>0</v>
      </c>
      <c r="U47" s="81">
        <f t="shared" si="15"/>
        <v>0</v>
      </c>
      <c r="V47" s="81" t="str">
        <f t="shared" ca="1" si="16"/>
        <v/>
      </c>
      <c r="W47" s="83"/>
      <c r="X47" s="81">
        <f t="shared" si="55"/>
        <v>0</v>
      </c>
      <c r="Y47" s="81">
        <f t="shared" si="56"/>
        <v>0</v>
      </c>
      <c r="AE47" s="81">
        <v>47</v>
      </c>
      <c r="AI47" s="81">
        <v>44</v>
      </c>
      <c r="AJ47" s="81" t="str">
        <f t="shared" si="0"/>
        <v>April 22</v>
      </c>
      <c r="AK47" s="81" t="str">
        <f t="shared" si="53"/>
        <v>April</v>
      </c>
      <c r="AL47" s="81">
        <f t="shared" si="54"/>
        <v>22</v>
      </c>
      <c r="AM47" s="81" t="str">
        <f t="shared" si="17"/>
        <v>='April 22'!</v>
      </c>
      <c r="AN47" s="81" t="str">
        <f t="shared" si="7"/>
        <v>='April 22'!C27</v>
      </c>
      <c r="AO47" s="81" t="s">
        <v>1047</v>
      </c>
      <c r="AR47" s="81" t="s">
        <v>107</v>
      </c>
      <c r="AS47" s="83" t="str">
        <f t="shared" si="1"/>
        <v>='April 22'!C6</v>
      </c>
      <c r="AT47" s="83">
        <f t="shared" si="2"/>
        <v>0</v>
      </c>
      <c r="AV47" s="81" t="s">
        <v>408</v>
      </c>
      <c r="AW47" s="81" t="s">
        <v>1791</v>
      </c>
      <c r="AX47" s="81" t="s">
        <v>1792</v>
      </c>
      <c r="AY47" s="81" t="s">
        <v>1793</v>
      </c>
      <c r="AZ47" s="81" t="s">
        <v>1794</v>
      </c>
      <c r="BA47" s="81" t="s">
        <v>1795</v>
      </c>
      <c r="BB47" s="81" t="s">
        <v>1796</v>
      </c>
      <c r="BC47" s="81" t="s">
        <v>1797</v>
      </c>
      <c r="BD47" s="81" t="s">
        <v>1798</v>
      </c>
      <c r="BE47" s="81" t="s">
        <v>1799</v>
      </c>
      <c r="BF47" s="81" t="s">
        <v>1800</v>
      </c>
      <c r="BG47" s="81" t="s">
        <v>1801</v>
      </c>
      <c r="BH47" s="81" t="s">
        <v>4664</v>
      </c>
      <c r="BI47" s="81" t="s">
        <v>4968</v>
      </c>
      <c r="BJ47" s="81" t="s">
        <v>107</v>
      </c>
      <c r="BL47" s="81" t="s">
        <v>711</v>
      </c>
      <c r="BM47" s="81">
        <v>44</v>
      </c>
      <c r="BN47" s="81" t="str">
        <f t="shared" si="3"/>
        <v>='April 22'!C12</v>
      </c>
      <c r="BP47" s="81" t="str">
        <f t="shared" ca="1" si="18"/>
        <v/>
      </c>
      <c r="BR47" s="84">
        <f t="shared" si="8"/>
        <v>0</v>
      </c>
      <c r="BS47" s="84">
        <f t="shared" si="9"/>
        <v>0</v>
      </c>
      <c r="CA47" s="81" t="s">
        <v>2</v>
      </c>
      <c r="CB47" s="81">
        <f t="shared" si="19"/>
        <v>0</v>
      </c>
      <c r="CC47" s="81">
        <f t="shared" si="20"/>
        <v>0</v>
      </c>
      <c r="CD47" s="81" t="s">
        <v>16</v>
      </c>
      <c r="CE47" s="81">
        <f t="shared" si="21"/>
        <v>0</v>
      </c>
      <c r="CF47" s="81">
        <f t="shared" si="22"/>
        <v>0</v>
      </c>
      <c r="CG47" s="81" t="s">
        <v>5</v>
      </c>
      <c r="CH47" s="81">
        <f t="shared" si="23"/>
        <v>0</v>
      </c>
      <c r="CI47" s="81">
        <f t="shared" si="24"/>
        <v>0</v>
      </c>
      <c r="CJ47" s="81" t="s">
        <v>18</v>
      </c>
      <c r="CK47" s="81">
        <f t="shared" si="25"/>
        <v>0</v>
      </c>
      <c r="CL47" s="81">
        <f t="shared" si="26"/>
        <v>0</v>
      </c>
      <c r="CM47" s="81" t="s">
        <v>4</v>
      </c>
      <c r="CN47" s="81">
        <f t="shared" si="27"/>
        <v>0</v>
      </c>
      <c r="CO47" s="81">
        <f t="shared" si="28"/>
        <v>0</v>
      </c>
      <c r="CP47" s="81" t="s">
        <v>22</v>
      </c>
      <c r="CQ47" s="81">
        <f t="shared" si="29"/>
        <v>0</v>
      </c>
      <c r="CR47" s="81">
        <f t="shared" si="30"/>
        <v>0</v>
      </c>
      <c r="CS47" s="81" t="s">
        <v>21</v>
      </c>
      <c r="CT47" s="81">
        <f t="shared" si="31"/>
        <v>0</v>
      </c>
      <c r="CU47" s="81">
        <f t="shared" si="32"/>
        <v>0</v>
      </c>
      <c r="CV47" s="81" t="s">
        <v>998</v>
      </c>
      <c r="CW47" s="81">
        <f t="shared" si="33"/>
        <v>0</v>
      </c>
      <c r="CX47" s="81">
        <f t="shared" si="34"/>
        <v>0</v>
      </c>
      <c r="CY47" s="81" t="s">
        <v>19</v>
      </c>
      <c r="CZ47" s="81">
        <f t="shared" si="35"/>
        <v>0</v>
      </c>
      <c r="DA47" s="81">
        <f t="shared" si="36"/>
        <v>0</v>
      </c>
      <c r="DB47" s="81" t="s">
        <v>20</v>
      </c>
      <c r="DC47" s="81">
        <f t="shared" si="37"/>
        <v>0</v>
      </c>
      <c r="DD47" s="81">
        <f t="shared" si="38"/>
        <v>0</v>
      </c>
      <c r="DE47" s="81" t="s">
        <v>23</v>
      </c>
      <c r="DF47" s="81">
        <f t="shared" si="39"/>
        <v>0</v>
      </c>
      <c r="DG47" s="81">
        <f t="shared" si="40"/>
        <v>0</v>
      </c>
      <c r="DH47" s="81" t="s">
        <v>15</v>
      </c>
      <c r="DI47" s="81">
        <f t="shared" si="41"/>
        <v>0</v>
      </c>
      <c r="DJ47" s="81">
        <f t="shared" si="42"/>
        <v>0</v>
      </c>
      <c r="DK47" s="81" t="s">
        <v>5269</v>
      </c>
      <c r="DL47" s="81">
        <f t="shared" si="43"/>
        <v>0</v>
      </c>
      <c r="DM47" s="81">
        <f t="shared" si="44"/>
        <v>0</v>
      </c>
      <c r="DN47" s="81" t="s">
        <v>7</v>
      </c>
      <c r="DO47" s="81">
        <f t="shared" si="45"/>
        <v>0</v>
      </c>
      <c r="DP47" s="81">
        <f t="shared" si="46"/>
        <v>0</v>
      </c>
      <c r="DQ47" s="81" t="s">
        <v>1</v>
      </c>
      <c r="DR47" s="81">
        <f t="shared" si="47"/>
        <v>0</v>
      </c>
      <c r="DS47" s="81">
        <f t="shared" si="48"/>
        <v>0</v>
      </c>
    </row>
    <row r="48" spans="1:123" x14ac:dyDescent="0.3">
      <c r="B48" s="66"/>
      <c r="C48" s="67"/>
      <c r="D48" s="7"/>
      <c r="E48" s="7"/>
      <c r="N48" s="81">
        <f>IF(Q49=0,IF(Q48=0,,"x"),)</f>
        <v>0</v>
      </c>
      <c r="O48" s="81">
        <f t="shared" si="49"/>
        <v>0</v>
      </c>
      <c r="P48" s="81">
        <f t="shared" si="13"/>
        <v>0</v>
      </c>
      <c r="Q48" s="81">
        <f t="shared" si="50"/>
        <v>0</v>
      </c>
      <c r="R48" s="81">
        <f>IF(W48="",,SUM($W$4:W48))</f>
        <v>0</v>
      </c>
      <c r="S48" s="81">
        <f t="shared" si="14"/>
        <v>0</v>
      </c>
      <c r="T48" s="81">
        <f t="shared" si="51"/>
        <v>0</v>
      </c>
      <c r="U48" s="81">
        <f t="shared" si="15"/>
        <v>0</v>
      </c>
      <c r="V48" s="81" t="str">
        <f t="shared" ca="1" si="16"/>
        <v/>
      </c>
      <c r="W48" s="83"/>
      <c r="X48" s="81">
        <f t="shared" si="55"/>
        <v>0</v>
      </c>
      <c r="Y48" s="81">
        <f t="shared" si="56"/>
        <v>0</v>
      </c>
      <c r="AE48" s="81">
        <v>48</v>
      </c>
      <c r="AI48" s="81">
        <v>45</v>
      </c>
      <c r="AJ48" s="81" t="str">
        <f t="shared" si="0"/>
        <v>Maj 22</v>
      </c>
      <c r="AK48" s="81" t="str">
        <f t="shared" si="53"/>
        <v>Maj</v>
      </c>
      <c r="AL48" s="81">
        <f t="shared" si="54"/>
        <v>22</v>
      </c>
      <c r="AM48" s="81" t="str">
        <f t="shared" si="17"/>
        <v>='Maj 22'!</v>
      </c>
      <c r="AN48" s="81" t="str">
        <f t="shared" si="7"/>
        <v>='Maj 22'!C27</v>
      </c>
      <c r="AO48" s="81" t="s">
        <v>1048</v>
      </c>
      <c r="AR48" s="81" t="s">
        <v>108</v>
      </c>
      <c r="AS48" s="83" t="str">
        <f t="shared" si="1"/>
        <v>='Maj 22'!C6</v>
      </c>
      <c r="AT48" s="83">
        <f t="shared" si="2"/>
        <v>0</v>
      </c>
      <c r="AV48" s="81" t="s">
        <v>409</v>
      </c>
      <c r="AW48" s="81" t="s">
        <v>1802</v>
      </c>
      <c r="AX48" s="81" t="s">
        <v>1803</v>
      </c>
      <c r="AY48" s="81" t="s">
        <v>1804</v>
      </c>
      <c r="AZ48" s="81" t="s">
        <v>1805</v>
      </c>
      <c r="BA48" s="81" t="s">
        <v>1806</v>
      </c>
      <c r="BB48" s="81" t="s">
        <v>1807</v>
      </c>
      <c r="BC48" s="81" t="s">
        <v>1808</v>
      </c>
      <c r="BD48" s="81" t="s">
        <v>1809</v>
      </c>
      <c r="BE48" s="81" t="s">
        <v>1810</v>
      </c>
      <c r="BF48" s="81" t="s">
        <v>1811</v>
      </c>
      <c r="BG48" s="81" t="s">
        <v>1812</v>
      </c>
      <c r="BH48" s="81" t="s">
        <v>4665</v>
      </c>
      <c r="BI48" s="81" t="s">
        <v>4969</v>
      </c>
      <c r="BJ48" s="81" t="s">
        <v>108</v>
      </c>
      <c r="BL48" s="81" t="s">
        <v>712</v>
      </c>
      <c r="BM48" s="81">
        <v>45</v>
      </c>
      <c r="BN48" s="81" t="str">
        <f t="shared" si="3"/>
        <v>='Maj 22'!C12</v>
      </c>
      <c r="BP48" s="81" t="str">
        <f t="shared" ca="1" si="18"/>
        <v/>
      </c>
      <c r="BR48" s="84">
        <f t="shared" si="8"/>
        <v>0</v>
      </c>
      <c r="BS48" s="84">
        <f t="shared" si="9"/>
        <v>0</v>
      </c>
      <c r="CA48" s="81" t="s">
        <v>2</v>
      </c>
      <c r="CB48" s="81">
        <f t="shared" si="19"/>
        <v>0</v>
      </c>
      <c r="CC48" s="81">
        <f t="shared" si="20"/>
        <v>0</v>
      </c>
      <c r="CD48" s="81" t="s">
        <v>16</v>
      </c>
      <c r="CE48" s="81">
        <f t="shared" si="21"/>
        <v>0</v>
      </c>
      <c r="CF48" s="81">
        <f t="shared" si="22"/>
        <v>0</v>
      </c>
      <c r="CG48" s="81" t="s">
        <v>5</v>
      </c>
      <c r="CH48" s="81">
        <f t="shared" si="23"/>
        <v>0</v>
      </c>
      <c r="CI48" s="81">
        <f t="shared" si="24"/>
        <v>0</v>
      </c>
      <c r="CJ48" s="81" t="s">
        <v>18</v>
      </c>
      <c r="CK48" s="81">
        <f t="shared" si="25"/>
        <v>0</v>
      </c>
      <c r="CL48" s="81">
        <f t="shared" si="26"/>
        <v>0</v>
      </c>
      <c r="CM48" s="81" t="s">
        <v>4</v>
      </c>
      <c r="CN48" s="81">
        <f t="shared" si="27"/>
        <v>0</v>
      </c>
      <c r="CO48" s="81">
        <f t="shared" si="28"/>
        <v>0</v>
      </c>
      <c r="CP48" s="81" t="s">
        <v>22</v>
      </c>
      <c r="CQ48" s="81">
        <f t="shared" si="29"/>
        <v>0</v>
      </c>
      <c r="CR48" s="81">
        <f t="shared" si="30"/>
        <v>0</v>
      </c>
      <c r="CS48" s="81" t="s">
        <v>21</v>
      </c>
      <c r="CT48" s="81">
        <f t="shared" si="31"/>
        <v>0</v>
      </c>
      <c r="CU48" s="81">
        <f t="shared" si="32"/>
        <v>0</v>
      </c>
      <c r="CV48" s="81" t="s">
        <v>998</v>
      </c>
      <c r="CW48" s="81">
        <f t="shared" si="33"/>
        <v>0</v>
      </c>
      <c r="CX48" s="81">
        <f t="shared" si="34"/>
        <v>0</v>
      </c>
      <c r="CY48" s="81" t="s">
        <v>19</v>
      </c>
      <c r="CZ48" s="81">
        <f t="shared" si="35"/>
        <v>0</v>
      </c>
      <c r="DA48" s="81">
        <f t="shared" si="36"/>
        <v>0</v>
      </c>
      <c r="DB48" s="81" t="s">
        <v>20</v>
      </c>
      <c r="DC48" s="81">
        <f t="shared" si="37"/>
        <v>0</v>
      </c>
      <c r="DD48" s="81">
        <f t="shared" si="38"/>
        <v>0</v>
      </c>
      <c r="DE48" s="81" t="s">
        <v>23</v>
      </c>
      <c r="DF48" s="81">
        <f t="shared" si="39"/>
        <v>0</v>
      </c>
      <c r="DG48" s="81">
        <f t="shared" si="40"/>
        <v>0</v>
      </c>
      <c r="DH48" s="81" t="s">
        <v>15</v>
      </c>
      <c r="DI48" s="81">
        <f t="shared" si="41"/>
        <v>0</v>
      </c>
      <c r="DJ48" s="81">
        <f t="shared" si="42"/>
        <v>0</v>
      </c>
      <c r="DK48" s="81" t="s">
        <v>5270</v>
      </c>
      <c r="DL48" s="81">
        <f t="shared" si="43"/>
        <v>0</v>
      </c>
      <c r="DM48" s="81">
        <f t="shared" si="44"/>
        <v>0</v>
      </c>
      <c r="DN48" s="81" t="s">
        <v>7</v>
      </c>
      <c r="DO48" s="81">
        <f t="shared" si="45"/>
        <v>0</v>
      </c>
      <c r="DP48" s="81">
        <f t="shared" si="46"/>
        <v>0</v>
      </c>
      <c r="DQ48" s="81" t="s">
        <v>1</v>
      </c>
      <c r="DR48" s="81">
        <f t="shared" si="47"/>
        <v>0</v>
      </c>
      <c r="DS48" s="81">
        <f t="shared" si="48"/>
        <v>0</v>
      </c>
    </row>
    <row r="49" spans="2:123" ht="15" thickBot="1" x14ac:dyDescent="0.35">
      <c r="B49" s="68"/>
      <c r="C49" s="69"/>
      <c r="D49" s="7"/>
      <c r="E49" s="7"/>
      <c r="N49" s="81">
        <f>IF(Q50=0,IF(Q49=0,,"x"),)</f>
        <v>0</v>
      </c>
      <c r="O49" s="81">
        <f t="shared" si="49"/>
        <v>0</v>
      </c>
      <c r="P49" s="81">
        <f t="shared" si="13"/>
        <v>0</v>
      </c>
      <c r="Q49" s="81">
        <f t="shared" si="50"/>
        <v>0</v>
      </c>
      <c r="R49" s="81">
        <f>IF(W49="",,SUM($W$4:W49))</f>
        <v>0</v>
      </c>
      <c r="S49" s="81">
        <f t="shared" si="14"/>
        <v>0</v>
      </c>
      <c r="T49" s="81">
        <f t="shared" si="51"/>
        <v>0</v>
      </c>
      <c r="U49" s="81">
        <f t="shared" si="15"/>
        <v>0</v>
      </c>
      <c r="V49" s="81" t="str">
        <f t="shared" ca="1" si="16"/>
        <v/>
      </c>
      <c r="W49" s="83"/>
      <c r="X49" s="81">
        <f t="shared" si="55"/>
        <v>0</v>
      </c>
      <c r="Y49" s="81">
        <f t="shared" si="56"/>
        <v>0</v>
      </c>
      <c r="AE49" s="81">
        <v>49</v>
      </c>
      <c r="AI49" s="81">
        <v>46</v>
      </c>
      <c r="AJ49" s="81" t="str">
        <f t="shared" si="0"/>
        <v>Juni 22</v>
      </c>
      <c r="AK49" s="81" t="str">
        <f t="shared" si="53"/>
        <v>Juni</v>
      </c>
      <c r="AL49" s="81">
        <f t="shared" si="54"/>
        <v>22</v>
      </c>
      <c r="AM49" s="81" t="str">
        <f t="shared" si="17"/>
        <v>='Juni 22'!</v>
      </c>
      <c r="AN49" s="81" t="str">
        <f t="shared" si="7"/>
        <v>='Juni 22'!C27</v>
      </c>
      <c r="AO49" s="81" t="s">
        <v>1049</v>
      </c>
      <c r="AR49" s="81" t="s">
        <v>109</v>
      </c>
      <c r="AS49" s="83" t="str">
        <f t="shared" si="1"/>
        <v>='Juni 22'!C6</v>
      </c>
      <c r="AT49" s="83">
        <f t="shared" si="2"/>
        <v>0</v>
      </c>
      <c r="AV49" s="81" t="s">
        <v>410</v>
      </c>
      <c r="AW49" s="81" t="s">
        <v>1813</v>
      </c>
      <c r="AX49" s="81" t="s">
        <v>1814</v>
      </c>
      <c r="AY49" s="81" t="s">
        <v>1815</v>
      </c>
      <c r="AZ49" s="81" t="s">
        <v>1816</v>
      </c>
      <c r="BA49" s="81" t="s">
        <v>1817</v>
      </c>
      <c r="BB49" s="81" t="s">
        <v>1818</v>
      </c>
      <c r="BC49" s="81" t="s">
        <v>1819</v>
      </c>
      <c r="BD49" s="81" t="s">
        <v>1820</v>
      </c>
      <c r="BE49" s="81" t="s">
        <v>1821</v>
      </c>
      <c r="BF49" s="81" t="s">
        <v>1822</v>
      </c>
      <c r="BG49" s="81" t="s">
        <v>1823</v>
      </c>
      <c r="BH49" s="81" t="s">
        <v>4666</v>
      </c>
      <c r="BI49" s="81" t="s">
        <v>4970</v>
      </c>
      <c r="BJ49" s="81" t="s">
        <v>109</v>
      </c>
      <c r="BL49" s="81" t="s">
        <v>713</v>
      </c>
      <c r="BM49" s="81">
        <v>46</v>
      </c>
      <c r="BN49" s="81" t="str">
        <f t="shared" si="3"/>
        <v>='Juni 22'!C12</v>
      </c>
      <c r="BP49" s="81" t="str">
        <f t="shared" ca="1" si="18"/>
        <v/>
      </c>
      <c r="BR49" s="84">
        <f t="shared" si="8"/>
        <v>0</v>
      </c>
      <c r="BS49" s="84">
        <f t="shared" si="9"/>
        <v>0</v>
      </c>
      <c r="CA49" s="81" t="s">
        <v>2</v>
      </c>
      <c r="CB49" s="81">
        <f t="shared" si="19"/>
        <v>0</v>
      </c>
      <c r="CC49" s="81">
        <f t="shared" si="20"/>
        <v>0</v>
      </c>
      <c r="CD49" s="81" t="s">
        <v>16</v>
      </c>
      <c r="CE49" s="81">
        <f t="shared" si="21"/>
        <v>0</v>
      </c>
      <c r="CF49" s="81">
        <f t="shared" si="22"/>
        <v>0</v>
      </c>
      <c r="CG49" s="81" t="s">
        <v>5</v>
      </c>
      <c r="CH49" s="81">
        <f t="shared" si="23"/>
        <v>0</v>
      </c>
      <c r="CI49" s="81">
        <f t="shared" si="24"/>
        <v>0</v>
      </c>
      <c r="CJ49" s="81" t="s">
        <v>18</v>
      </c>
      <c r="CK49" s="81">
        <f t="shared" si="25"/>
        <v>0</v>
      </c>
      <c r="CL49" s="81">
        <f t="shared" si="26"/>
        <v>0</v>
      </c>
      <c r="CM49" s="81" t="s">
        <v>4</v>
      </c>
      <c r="CN49" s="81">
        <f t="shared" si="27"/>
        <v>0</v>
      </c>
      <c r="CO49" s="81">
        <f t="shared" si="28"/>
        <v>0</v>
      </c>
      <c r="CP49" s="81" t="s">
        <v>22</v>
      </c>
      <c r="CQ49" s="81">
        <f t="shared" si="29"/>
        <v>0</v>
      </c>
      <c r="CR49" s="81">
        <f t="shared" si="30"/>
        <v>0</v>
      </c>
      <c r="CS49" s="81" t="s">
        <v>21</v>
      </c>
      <c r="CT49" s="81">
        <f t="shared" si="31"/>
        <v>0</v>
      </c>
      <c r="CU49" s="81">
        <f t="shared" si="32"/>
        <v>0</v>
      </c>
      <c r="CV49" s="81" t="s">
        <v>998</v>
      </c>
      <c r="CW49" s="81">
        <f t="shared" si="33"/>
        <v>0</v>
      </c>
      <c r="CX49" s="81">
        <f t="shared" si="34"/>
        <v>0</v>
      </c>
      <c r="CY49" s="81" t="s">
        <v>19</v>
      </c>
      <c r="CZ49" s="81">
        <f t="shared" si="35"/>
        <v>0</v>
      </c>
      <c r="DA49" s="81">
        <f t="shared" si="36"/>
        <v>0</v>
      </c>
      <c r="DB49" s="81" t="s">
        <v>20</v>
      </c>
      <c r="DC49" s="81">
        <f t="shared" si="37"/>
        <v>0</v>
      </c>
      <c r="DD49" s="81">
        <f t="shared" si="38"/>
        <v>0</v>
      </c>
      <c r="DE49" s="81" t="s">
        <v>23</v>
      </c>
      <c r="DF49" s="81">
        <f t="shared" si="39"/>
        <v>0</v>
      </c>
      <c r="DG49" s="81">
        <f t="shared" si="40"/>
        <v>0</v>
      </c>
      <c r="DH49" s="81" t="s">
        <v>15</v>
      </c>
      <c r="DI49" s="81">
        <f t="shared" si="41"/>
        <v>0</v>
      </c>
      <c r="DJ49" s="81">
        <f t="shared" si="42"/>
        <v>0</v>
      </c>
      <c r="DK49" s="81" t="s">
        <v>5271</v>
      </c>
      <c r="DL49" s="81">
        <f t="shared" si="43"/>
        <v>0</v>
      </c>
      <c r="DM49" s="81">
        <f t="shared" si="44"/>
        <v>0</v>
      </c>
      <c r="DN49" s="81" t="s">
        <v>7</v>
      </c>
      <c r="DO49" s="81">
        <f t="shared" si="45"/>
        <v>0</v>
      </c>
      <c r="DP49" s="81">
        <f t="shared" si="46"/>
        <v>0</v>
      </c>
      <c r="DQ49" s="81" t="s">
        <v>1</v>
      </c>
      <c r="DR49" s="81">
        <f t="shared" si="47"/>
        <v>0</v>
      </c>
      <c r="DS49" s="81">
        <f t="shared" si="48"/>
        <v>0</v>
      </c>
    </row>
    <row r="50" spans="2:123" x14ac:dyDescent="0.3">
      <c r="B50" s="70" t="s">
        <v>5554</v>
      </c>
      <c r="C50" s="71"/>
      <c r="D50" s="7"/>
      <c r="E50" s="7"/>
      <c r="N50" s="81">
        <f>IF(Q51=0,IF(Q50=0,,"x"),)</f>
        <v>0</v>
      </c>
      <c r="O50" s="81">
        <f t="shared" si="49"/>
        <v>0</v>
      </c>
      <c r="P50" s="81">
        <f t="shared" si="13"/>
        <v>0</v>
      </c>
      <c r="Q50" s="81">
        <f t="shared" si="50"/>
        <v>0</v>
      </c>
      <c r="R50" s="81">
        <f>IF(W50="",,SUM($W$4:W50))</f>
        <v>0</v>
      </c>
      <c r="S50" s="81">
        <f t="shared" si="14"/>
        <v>0</v>
      </c>
      <c r="T50" s="81">
        <f t="shared" si="51"/>
        <v>0</v>
      </c>
      <c r="U50" s="81">
        <f t="shared" si="15"/>
        <v>0</v>
      </c>
      <c r="V50" s="81" t="str">
        <f t="shared" ca="1" si="16"/>
        <v/>
      </c>
      <c r="W50" s="83"/>
      <c r="X50" s="81">
        <f t="shared" si="55"/>
        <v>0</v>
      </c>
      <c r="Y50" s="81">
        <f t="shared" si="56"/>
        <v>0</v>
      </c>
      <c r="AE50" s="81">
        <v>50</v>
      </c>
      <c r="AI50" s="81">
        <v>47</v>
      </c>
      <c r="AJ50" s="81" t="str">
        <f t="shared" si="0"/>
        <v>Juli 22</v>
      </c>
      <c r="AK50" s="81" t="str">
        <f t="shared" si="53"/>
        <v>Juli</v>
      </c>
      <c r="AL50" s="81">
        <f t="shared" si="54"/>
        <v>22</v>
      </c>
      <c r="AM50" s="81" t="str">
        <f t="shared" si="17"/>
        <v>='Juli 22'!</v>
      </c>
      <c r="AN50" s="81" t="str">
        <f t="shared" si="7"/>
        <v>='Juli 22'!C27</v>
      </c>
      <c r="AO50" s="81" t="s">
        <v>1050</v>
      </c>
      <c r="AR50" s="81" t="s">
        <v>110</v>
      </c>
      <c r="AS50" s="83" t="str">
        <f t="shared" si="1"/>
        <v>='Juli 22'!C6</v>
      </c>
      <c r="AT50" s="83">
        <f t="shared" si="2"/>
        <v>0</v>
      </c>
      <c r="AV50" s="81" t="s">
        <v>411</v>
      </c>
      <c r="AW50" s="81" t="s">
        <v>1824</v>
      </c>
      <c r="AX50" s="81" t="s">
        <v>1825</v>
      </c>
      <c r="AY50" s="81" t="s">
        <v>1826</v>
      </c>
      <c r="AZ50" s="81" t="s">
        <v>1827</v>
      </c>
      <c r="BA50" s="81" t="s">
        <v>1828</v>
      </c>
      <c r="BB50" s="81" t="s">
        <v>1829</v>
      </c>
      <c r="BC50" s="81" t="s">
        <v>1830</v>
      </c>
      <c r="BD50" s="81" t="s">
        <v>1831</v>
      </c>
      <c r="BE50" s="81" t="s">
        <v>1832</v>
      </c>
      <c r="BF50" s="81" t="s">
        <v>1833</v>
      </c>
      <c r="BG50" s="81" t="s">
        <v>1834</v>
      </c>
      <c r="BH50" s="81" t="s">
        <v>4667</v>
      </c>
      <c r="BI50" s="81" t="s">
        <v>4971</v>
      </c>
      <c r="BJ50" s="81" t="s">
        <v>110</v>
      </c>
      <c r="BL50" s="81" t="s">
        <v>714</v>
      </c>
      <c r="BM50" s="81">
        <v>47</v>
      </c>
      <c r="BN50" s="81" t="str">
        <f t="shared" si="3"/>
        <v>='Juli 22'!C12</v>
      </c>
      <c r="BP50" s="81" t="str">
        <f t="shared" ca="1" si="18"/>
        <v/>
      </c>
      <c r="BR50" s="84">
        <f t="shared" si="8"/>
        <v>0</v>
      </c>
      <c r="BS50" s="84">
        <f t="shared" si="9"/>
        <v>0</v>
      </c>
      <c r="CA50" s="81" t="s">
        <v>2</v>
      </c>
      <c r="CB50" s="81">
        <f t="shared" si="19"/>
        <v>0</v>
      </c>
      <c r="CC50" s="81">
        <f t="shared" si="20"/>
        <v>0</v>
      </c>
      <c r="CD50" s="81" t="s">
        <v>16</v>
      </c>
      <c r="CE50" s="81">
        <f t="shared" si="21"/>
        <v>0</v>
      </c>
      <c r="CF50" s="81">
        <f t="shared" si="22"/>
        <v>0</v>
      </c>
      <c r="CG50" s="81" t="s">
        <v>5</v>
      </c>
      <c r="CH50" s="81">
        <f t="shared" si="23"/>
        <v>0</v>
      </c>
      <c r="CI50" s="81">
        <f t="shared" si="24"/>
        <v>0</v>
      </c>
      <c r="CJ50" s="81" t="s">
        <v>18</v>
      </c>
      <c r="CK50" s="81">
        <f t="shared" si="25"/>
        <v>0</v>
      </c>
      <c r="CL50" s="81">
        <f t="shared" si="26"/>
        <v>0</v>
      </c>
      <c r="CM50" s="81" t="s">
        <v>4</v>
      </c>
      <c r="CN50" s="81">
        <f t="shared" si="27"/>
        <v>0</v>
      </c>
      <c r="CO50" s="81">
        <f t="shared" si="28"/>
        <v>0</v>
      </c>
      <c r="CP50" s="81" t="s">
        <v>22</v>
      </c>
      <c r="CQ50" s="81">
        <f t="shared" si="29"/>
        <v>0</v>
      </c>
      <c r="CR50" s="81">
        <f t="shared" si="30"/>
        <v>0</v>
      </c>
      <c r="CS50" s="81" t="s">
        <v>21</v>
      </c>
      <c r="CT50" s="81">
        <f t="shared" si="31"/>
        <v>0</v>
      </c>
      <c r="CU50" s="81">
        <f t="shared" si="32"/>
        <v>0</v>
      </c>
      <c r="CV50" s="81" t="s">
        <v>998</v>
      </c>
      <c r="CW50" s="81">
        <f t="shared" si="33"/>
        <v>0</v>
      </c>
      <c r="CX50" s="81">
        <f t="shared" si="34"/>
        <v>0</v>
      </c>
      <c r="CY50" s="81" t="s">
        <v>19</v>
      </c>
      <c r="CZ50" s="81">
        <f t="shared" si="35"/>
        <v>0</v>
      </c>
      <c r="DA50" s="81">
        <f t="shared" si="36"/>
        <v>0</v>
      </c>
      <c r="DB50" s="81" t="s">
        <v>20</v>
      </c>
      <c r="DC50" s="81">
        <f t="shared" si="37"/>
        <v>0</v>
      </c>
      <c r="DD50" s="81">
        <f t="shared" si="38"/>
        <v>0</v>
      </c>
      <c r="DE50" s="81" t="s">
        <v>23</v>
      </c>
      <c r="DF50" s="81">
        <f t="shared" si="39"/>
        <v>0</v>
      </c>
      <c r="DG50" s="81">
        <f t="shared" si="40"/>
        <v>0</v>
      </c>
      <c r="DH50" s="81" t="s">
        <v>15</v>
      </c>
      <c r="DI50" s="81">
        <f t="shared" si="41"/>
        <v>0</v>
      </c>
      <c r="DJ50" s="81">
        <f t="shared" si="42"/>
        <v>0</v>
      </c>
      <c r="DK50" s="81" t="s">
        <v>5272</v>
      </c>
      <c r="DL50" s="81">
        <f t="shared" si="43"/>
        <v>0</v>
      </c>
      <c r="DM50" s="81">
        <f t="shared" si="44"/>
        <v>0</v>
      </c>
      <c r="DN50" s="81" t="s">
        <v>7</v>
      </c>
      <c r="DO50" s="81">
        <f t="shared" si="45"/>
        <v>0</v>
      </c>
      <c r="DP50" s="81">
        <f t="shared" si="46"/>
        <v>0</v>
      </c>
      <c r="DQ50" s="81" t="s">
        <v>1</v>
      </c>
      <c r="DR50" s="81">
        <f t="shared" si="47"/>
        <v>0</v>
      </c>
      <c r="DS50" s="81">
        <f t="shared" si="48"/>
        <v>0</v>
      </c>
    </row>
    <row r="51" spans="2:123" ht="15" thickBot="1" x14ac:dyDescent="0.35">
      <c r="B51" s="73" t="s">
        <v>1002</v>
      </c>
      <c r="C51" s="72"/>
      <c r="N51" s="81">
        <f>IF(Q52=0,IF(Q51=0,,"x"),)</f>
        <v>0</v>
      </c>
      <c r="O51" s="81">
        <f t="shared" si="49"/>
        <v>0</v>
      </c>
      <c r="P51" s="81">
        <f t="shared" si="13"/>
        <v>0</v>
      </c>
      <c r="Q51" s="81">
        <f t="shared" si="50"/>
        <v>0</v>
      </c>
      <c r="R51" s="81">
        <f>IF(W51="",,SUM($W$4:W51))</f>
        <v>0</v>
      </c>
      <c r="S51" s="81">
        <f t="shared" si="14"/>
        <v>0</v>
      </c>
      <c r="T51" s="81">
        <f t="shared" si="51"/>
        <v>0</v>
      </c>
      <c r="U51" s="81">
        <f t="shared" si="15"/>
        <v>0</v>
      </c>
      <c r="V51" s="81" t="str">
        <f t="shared" ca="1" si="16"/>
        <v/>
      </c>
      <c r="W51" s="83"/>
      <c r="X51" s="81">
        <f t="shared" si="55"/>
        <v>0</v>
      </c>
      <c r="Y51" s="81">
        <f t="shared" si="56"/>
        <v>0</v>
      </c>
      <c r="AE51" s="81">
        <v>51</v>
      </c>
      <c r="AI51" s="81">
        <v>48</v>
      </c>
      <c r="AJ51" s="81" t="str">
        <f t="shared" si="0"/>
        <v>Augusti 22</v>
      </c>
      <c r="AK51" s="81" t="str">
        <f t="shared" si="53"/>
        <v>Augusti</v>
      </c>
      <c r="AL51" s="81">
        <f t="shared" si="54"/>
        <v>22</v>
      </c>
      <c r="AM51" s="81" t="str">
        <f t="shared" si="17"/>
        <v>='Augusti 22'!</v>
      </c>
      <c r="AN51" s="81" t="str">
        <f t="shared" si="7"/>
        <v>='Augusti 22'!C27</v>
      </c>
      <c r="AO51" s="81" t="s">
        <v>1051</v>
      </c>
      <c r="AR51" s="81" t="s">
        <v>111</v>
      </c>
      <c r="AS51" s="83" t="str">
        <f t="shared" si="1"/>
        <v>='Augusti 22'!C6</v>
      </c>
      <c r="AT51" s="83">
        <f t="shared" si="2"/>
        <v>0</v>
      </c>
      <c r="AV51" s="81" t="s">
        <v>412</v>
      </c>
      <c r="AW51" s="81" t="s">
        <v>1835</v>
      </c>
      <c r="AX51" s="81" t="s">
        <v>1836</v>
      </c>
      <c r="AY51" s="81" t="s">
        <v>1837</v>
      </c>
      <c r="AZ51" s="81" t="s">
        <v>1838</v>
      </c>
      <c r="BA51" s="81" t="s">
        <v>1839</v>
      </c>
      <c r="BB51" s="81" t="s">
        <v>1840</v>
      </c>
      <c r="BC51" s="81" t="s">
        <v>1841</v>
      </c>
      <c r="BD51" s="81" t="s">
        <v>1842</v>
      </c>
      <c r="BE51" s="81" t="s">
        <v>1843</v>
      </c>
      <c r="BF51" s="81" t="s">
        <v>1844</v>
      </c>
      <c r="BG51" s="81" t="s">
        <v>1845</v>
      </c>
      <c r="BH51" s="81" t="s">
        <v>4668</v>
      </c>
      <c r="BI51" s="81" t="s">
        <v>4972</v>
      </c>
      <c r="BJ51" s="81" t="s">
        <v>111</v>
      </c>
      <c r="BL51" s="81" t="s">
        <v>715</v>
      </c>
      <c r="BM51" s="81">
        <v>48</v>
      </c>
      <c r="BN51" s="81" t="str">
        <f t="shared" si="3"/>
        <v>='Augusti 22'!C12</v>
      </c>
      <c r="BP51" s="81" t="str">
        <f t="shared" ca="1" si="18"/>
        <v/>
      </c>
      <c r="BR51" s="84">
        <f t="shared" si="8"/>
        <v>0</v>
      </c>
      <c r="BS51" s="84">
        <f t="shared" si="9"/>
        <v>0</v>
      </c>
      <c r="CA51" s="81" t="s">
        <v>2</v>
      </c>
      <c r="CB51" s="81">
        <f t="shared" si="19"/>
        <v>0</v>
      </c>
      <c r="CC51" s="81">
        <f t="shared" si="20"/>
        <v>0</v>
      </c>
      <c r="CD51" s="81" t="s">
        <v>16</v>
      </c>
      <c r="CE51" s="81">
        <f t="shared" si="21"/>
        <v>0</v>
      </c>
      <c r="CF51" s="81">
        <f t="shared" si="22"/>
        <v>0</v>
      </c>
      <c r="CG51" s="81" t="s">
        <v>5</v>
      </c>
      <c r="CH51" s="81">
        <f t="shared" si="23"/>
        <v>0</v>
      </c>
      <c r="CI51" s="81">
        <f t="shared" si="24"/>
        <v>0</v>
      </c>
      <c r="CJ51" s="81" t="s">
        <v>18</v>
      </c>
      <c r="CK51" s="81">
        <f t="shared" si="25"/>
        <v>0</v>
      </c>
      <c r="CL51" s="81">
        <f t="shared" si="26"/>
        <v>0</v>
      </c>
      <c r="CM51" s="81" t="s">
        <v>4</v>
      </c>
      <c r="CN51" s="81">
        <f t="shared" si="27"/>
        <v>0</v>
      </c>
      <c r="CO51" s="81">
        <f t="shared" si="28"/>
        <v>0</v>
      </c>
      <c r="CP51" s="81" t="s">
        <v>22</v>
      </c>
      <c r="CQ51" s="81">
        <f t="shared" si="29"/>
        <v>0</v>
      </c>
      <c r="CR51" s="81">
        <f t="shared" si="30"/>
        <v>0</v>
      </c>
      <c r="CS51" s="81" t="s">
        <v>21</v>
      </c>
      <c r="CT51" s="81">
        <f t="shared" si="31"/>
        <v>0</v>
      </c>
      <c r="CU51" s="81">
        <f t="shared" si="32"/>
        <v>0</v>
      </c>
      <c r="CV51" s="81" t="s">
        <v>998</v>
      </c>
      <c r="CW51" s="81">
        <f t="shared" si="33"/>
        <v>0</v>
      </c>
      <c r="CX51" s="81">
        <f t="shared" si="34"/>
        <v>0</v>
      </c>
      <c r="CY51" s="81" t="s">
        <v>19</v>
      </c>
      <c r="CZ51" s="81">
        <f t="shared" si="35"/>
        <v>0</v>
      </c>
      <c r="DA51" s="81">
        <f t="shared" si="36"/>
        <v>0</v>
      </c>
      <c r="DB51" s="81" t="s">
        <v>20</v>
      </c>
      <c r="DC51" s="81">
        <f t="shared" si="37"/>
        <v>0</v>
      </c>
      <c r="DD51" s="81">
        <f t="shared" si="38"/>
        <v>0</v>
      </c>
      <c r="DE51" s="81" t="s">
        <v>23</v>
      </c>
      <c r="DF51" s="81">
        <f t="shared" si="39"/>
        <v>0</v>
      </c>
      <c r="DG51" s="81">
        <f t="shared" si="40"/>
        <v>0</v>
      </c>
      <c r="DH51" s="81" t="s">
        <v>15</v>
      </c>
      <c r="DI51" s="81">
        <f t="shared" si="41"/>
        <v>0</v>
      </c>
      <c r="DJ51" s="81">
        <f t="shared" si="42"/>
        <v>0</v>
      </c>
      <c r="DK51" s="81" t="s">
        <v>5273</v>
      </c>
      <c r="DL51" s="81">
        <f t="shared" si="43"/>
        <v>0</v>
      </c>
      <c r="DM51" s="81">
        <f t="shared" si="44"/>
        <v>0</v>
      </c>
      <c r="DN51" s="81" t="s">
        <v>7</v>
      </c>
      <c r="DO51" s="81">
        <f t="shared" si="45"/>
        <v>0</v>
      </c>
      <c r="DP51" s="81">
        <f t="shared" si="46"/>
        <v>0</v>
      </c>
      <c r="DQ51" s="81" t="s">
        <v>1</v>
      </c>
      <c r="DR51" s="81">
        <f t="shared" si="47"/>
        <v>0</v>
      </c>
      <c r="DS51" s="81">
        <f t="shared" si="48"/>
        <v>0</v>
      </c>
    </row>
    <row r="52" spans="2:123" x14ac:dyDescent="0.3">
      <c r="N52" s="81">
        <f>IF(Q53=0,IF(Q52=0,,"x"),)</f>
        <v>0</v>
      </c>
      <c r="O52" s="81">
        <f t="shared" si="49"/>
        <v>0</v>
      </c>
      <c r="P52" s="81">
        <f t="shared" si="13"/>
        <v>0</v>
      </c>
      <c r="Q52" s="81">
        <f t="shared" si="50"/>
        <v>0</v>
      </c>
      <c r="R52" s="81">
        <f>IF(W52="",,SUM($W$4:W52))</f>
        <v>0</v>
      </c>
      <c r="S52" s="81">
        <f t="shared" si="14"/>
        <v>0</v>
      </c>
      <c r="T52" s="81">
        <f t="shared" si="51"/>
        <v>0</v>
      </c>
      <c r="U52" s="81">
        <f t="shared" si="15"/>
        <v>0</v>
      </c>
      <c r="V52" s="81" t="str">
        <f t="shared" ca="1" si="16"/>
        <v/>
      </c>
      <c r="W52" s="83"/>
      <c r="X52" s="81">
        <f t="shared" si="55"/>
        <v>0</v>
      </c>
      <c r="Y52" s="81">
        <f t="shared" si="56"/>
        <v>0</v>
      </c>
      <c r="AE52" s="81">
        <v>52</v>
      </c>
      <c r="AI52" s="81">
        <v>49</v>
      </c>
      <c r="AJ52" s="81" t="str">
        <f t="shared" si="0"/>
        <v>September 22</v>
      </c>
      <c r="AK52" s="81" t="str">
        <f t="shared" si="53"/>
        <v>September</v>
      </c>
      <c r="AL52" s="81">
        <f t="shared" si="54"/>
        <v>22</v>
      </c>
      <c r="AM52" s="81" t="str">
        <f t="shared" si="17"/>
        <v>='September 22'!</v>
      </c>
      <c r="AN52" s="81" t="str">
        <f t="shared" si="7"/>
        <v>='September 22'!C27</v>
      </c>
      <c r="AO52" s="81" t="s">
        <v>1052</v>
      </c>
      <c r="AR52" s="81" t="s">
        <v>112</v>
      </c>
      <c r="AS52" s="83" t="str">
        <f t="shared" si="1"/>
        <v>='September 22'!C6</v>
      </c>
      <c r="AT52" s="83">
        <f t="shared" si="2"/>
        <v>0</v>
      </c>
      <c r="AV52" s="81" t="s">
        <v>413</v>
      </c>
      <c r="AW52" s="81" t="s">
        <v>1846</v>
      </c>
      <c r="AX52" s="81" t="s">
        <v>1847</v>
      </c>
      <c r="AY52" s="81" t="s">
        <v>1848</v>
      </c>
      <c r="AZ52" s="81" t="s">
        <v>1849</v>
      </c>
      <c r="BA52" s="81" t="s">
        <v>1850</v>
      </c>
      <c r="BB52" s="81" t="s">
        <v>1851</v>
      </c>
      <c r="BC52" s="81" t="s">
        <v>1852</v>
      </c>
      <c r="BD52" s="81" t="s">
        <v>1853</v>
      </c>
      <c r="BE52" s="81" t="s">
        <v>1854</v>
      </c>
      <c r="BF52" s="81" t="s">
        <v>1855</v>
      </c>
      <c r="BG52" s="81" t="s">
        <v>1856</v>
      </c>
      <c r="BH52" s="81" t="s">
        <v>4669</v>
      </c>
      <c r="BI52" s="81" t="s">
        <v>4973</v>
      </c>
      <c r="BJ52" s="81" t="s">
        <v>112</v>
      </c>
      <c r="BL52" s="81" t="s">
        <v>716</v>
      </c>
      <c r="BM52" s="81">
        <v>49</v>
      </c>
      <c r="BN52" s="81" t="str">
        <f t="shared" si="3"/>
        <v>='September 22'!C12</v>
      </c>
      <c r="BP52" s="81" t="str">
        <f t="shared" ca="1" si="18"/>
        <v/>
      </c>
      <c r="BR52" s="84">
        <f t="shared" si="8"/>
        <v>0</v>
      </c>
      <c r="BS52" s="84">
        <f t="shared" si="9"/>
        <v>0</v>
      </c>
      <c r="CA52" s="81" t="s">
        <v>2</v>
      </c>
      <c r="CB52" s="81">
        <f t="shared" si="19"/>
        <v>0</v>
      </c>
      <c r="CC52" s="81">
        <f t="shared" si="20"/>
        <v>0</v>
      </c>
      <c r="CD52" s="81" t="s">
        <v>16</v>
      </c>
      <c r="CE52" s="81">
        <f t="shared" si="21"/>
        <v>0</v>
      </c>
      <c r="CF52" s="81">
        <f t="shared" si="22"/>
        <v>0</v>
      </c>
      <c r="CG52" s="81" t="s">
        <v>5</v>
      </c>
      <c r="CH52" s="81">
        <f t="shared" si="23"/>
        <v>0</v>
      </c>
      <c r="CI52" s="81">
        <f t="shared" si="24"/>
        <v>0</v>
      </c>
      <c r="CJ52" s="81" t="s">
        <v>18</v>
      </c>
      <c r="CK52" s="81">
        <f t="shared" si="25"/>
        <v>0</v>
      </c>
      <c r="CL52" s="81">
        <f t="shared" si="26"/>
        <v>0</v>
      </c>
      <c r="CM52" s="81" t="s">
        <v>4</v>
      </c>
      <c r="CN52" s="81">
        <f t="shared" si="27"/>
        <v>0</v>
      </c>
      <c r="CO52" s="81">
        <f t="shared" si="28"/>
        <v>0</v>
      </c>
      <c r="CP52" s="81" t="s">
        <v>22</v>
      </c>
      <c r="CQ52" s="81">
        <f t="shared" si="29"/>
        <v>0</v>
      </c>
      <c r="CR52" s="81">
        <f t="shared" si="30"/>
        <v>0</v>
      </c>
      <c r="CS52" s="81" t="s">
        <v>21</v>
      </c>
      <c r="CT52" s="81">
        <f t="shared" si="31"/>
        <v>0</v>
      </c>
      <c r="CU52" s="81">
        <f t="shared" si="32"/>
        <v>0</v>
      </c>
      <c r="CV52" s="81" t="s">
        <v>998</v>
      </c>
      <c r="CW52" s="81">
        <f t="shared" si="33"/>
        <v>0</v>
      </c>
      <c r="CX52" s="81">
        <f t="shared" si="34"/>
        <v>0</v>
      </c>
      <c r="CY52" s="81" t="s">
        <v>19</v>
      </c>
      <c r="CZ52" s="81">
        <f t="shared" si="35"/>
        <v>0</v>
      </c>
      <c r="DA52" s="81">
        <f t="shared" si="36"/>
        <v>0</v>
      </c>
      <c r="DB52" s="81" t="s">
        <v>20</v>
      </c>
      <c r="DC52" s="81">
        <f t="shared" si="37"/>
        <v>0</v>
      </c>
      <c r="DD52" s="81">
        <f t="shared" si="38"/>
        <v>0</v>
      </c>
      <c r="DE52" s="81" t="s">
        <v>23</v>
      </c>
      <c r="DF52" s="81">
        <f t="shared" si="39"/>
        <v>0</v>
      </c>
      <c r="DG52" s="81">
        <f t="shared" si="40"/>
        <v>0</v>
      </c>
      <c r="DH52" s="81" t="s">
        <v>15</v>
      </c>
      <c r="DI52" s="81">
        <f t="shared" si="41"/>
        <v>0</v>
      </c>
      <c r="DJ52" s="81">
        <f t="shared" si="42"/>
        <v>0</v>
      </c>
      <c r="DK52" s="81" t="s">
        <v>5274</v>
      </c>
      <c r="DL52" s="81">
        <f t="shared" si="43"/>
        <v>0</v>
      </c>
      <c r="DM52" s="81">
        <f t="shared" si="44"/>
        <v>0</v>
      </c>
      <c r="DN52" s="81" t="s">
        <v>7</v>
      </c>
      <c r="DO52" s="81">
        <f t="shared" si="45"/>
        <v>0</v>
      </c>
      <c r="DP52" s="81">
        <f t="shared" si="46"/>
        <v>0</v>
      </c>
      <c r="DQ52" s="81" t="s">
        <v>1</v>
      </c>
      <c r="DR52" s="81">
        <f t="shared" si="47"/>
        <v>0</v>
      </c>
      <c r="DS52" s="81">
        <f t="shared" si="48"/>
        <v>0</v>
      </c>
    </row>
    <row r="53" spans="2:123" x14ac:dyDescent="0.3">
      <c r="N53" s="81">
        <f>IF(Q54=0,IF(Q53=0,,"x"),)</f>
        <v>0</v>
      </c>
      <c r="O53" s="81">
        <f t="shared" si="49"/>
        <v>0</v>
      </c>
      <c r="P53" s="81">
        <f t="shared" si="13"/>
        <v>0</v>
      </c>
      <c r="Q53" s="81">
        <f t="shared" si="50"/>
        <v>0</v>
      </c>
      <c r="R53" s="81">
        <f>IF(W53="",,SUM($W$4:W53))</f>
        <v>0</v>
      </c>
      <c r="S53" s="81">
        <f t="shared" si="14"/>
        <v>0</v>
      </c>
      <c r="T53" s="81">
        <f t="shared" si="51"/>
        <v>0</v>
      </c>
      <c r="U53" s="81">
        <f t="shared" si="15"/>
        <v>0</v>
      </c>
      <c r="V53" s="81" t="str">
        <f t="shared" ca="1" si="16"/>
        <v/>
      </c>
      <c r="W53" s="83"/>
      <c r="X53" s="81">
        <f t="shared" si="55"/>
        <v>0</v>
      </c>
      <c r="Y53" s="81">
        <f t="shared" si="56"/>
        <v>0</v>
      </c>
      <c r="AE53" s="81">
        <v>53</v>
      </c>
      <c r="AI53" s="81">
        <v>50</v>
      </c>
      <c r="AJ53" s="81" t="str">
        <f t="shared" si="0"/>
        <v>Oktober 22</v>
      </c>
      <c r="AK53" s="81" t="str">
        <f t="shared" si="53"/>
        <v>Oktober</v>
      </c>
      <c r="AL53" s="81">
        <f t="shared" si="54"/>
        <v>22</v>
      </c>
      <c r="AM53" s="81" t="str">
        <f t="shared" si="17"/>
        <v>='Oktober 22'!</v>
      </c>
      <c r="AN53" s="81" t="str">
        <f t="shared" si="7"/>
        <v>='Oktober 22'!C27</v>
      </c>
      <c r="AO53" s="81" t="s">
        <v>1053</v>
      </c>
      <c r="AR53" s="81" t="s">
        <v>113</v>
      </c>
      <c r="AS53" s="83" t="str">
        <f t="shared" si="1"/>
        <v>='Oktober 22'!C6</v>
      </c>
      <c r="AT53" s="83">
        <f t="shared" si="2"/>
        <v>0</v>
      </c>
      <c r="AV53" s="81" t="s">
        <v>414</v>
      </c>
      <c r="AW53" s="81" t="s">
        <v>1857</v>
      </c>
      <c r="AX53" s="81" t="s">
        <v>1858</v>
      </c>
      <c r="AY53" s="81" t="s">
        <v>1859</v>
      </c>
      <c r="AZ53" s="81" t="s">
        <v>1860</v>
      </c>
      <c r="BA53" s="81" t="s">
        <v>1861</v>
      </c>
      <c r="BB53" s="81" t="s">
        <v>1862</v>
      </c>
      <c r="BC53" s="81" t="s">
        <v>1863</v>
      </c>
      <c r="BD53" s="81" t="s">
        <v>1864</v>
      </c>
      <c r="BE53" s="81" t="s">
        <v>1865</v>
      </c>
      <c r="BF53" s="81" t="s">
        <v>1866</v>
      </c>
      <c r="BG53" s="81" t="s">
        <v>1867</v>
      </c>
      <c r="BH53" s="81" t="s">
        <v>4670</v>
      </c>
      <c r="BI53" s="81" t="s">
        <v>4974</v>
      </c>
      <c r="BJ53" s="81" t="s">
        <v>113</v>
      </c>
      <c r="BL53" s="81" t="s">
        <v>717</v>
      </c>
      <c r="BM53" s="81">
        <v>50</v>
      </c>
      <c r="BN53" s="81" t="str">
        <f t="shared" si="3"/>
        <v>='Oktober 22'!C12</v>
      </c>
      <c r="BP53" s="81" t="str">
        <f t="shared" ca="1" si="18"/>
        <v/>
      </c>
      <c r="BR53" s="84">
        <f t="shared" si="8"/>
        <v>0</v>
      </c>
      <c r="BS53" s="84">
        <f t="shared" si="9"/>
        <v>0</v>
      </c>
      <c r="CA53" s="81" t="s">
        <v>2</v>
      </c>
      <c r="CB53" s="81">
        <f t="shared" si="19"/>
        <v>0</v>
      </c>
      <c r="CC53" s="81">
        <f t="shared" si="20"/>
        <v>0</v>
      </c>
      <c r="CD53" s="81" t="s">
        <v>16</v>
      </c>
      <c r="CE53" s="81">
        <f t="shared" si="21"/>
        <v>0</v>
      </c>
      <c r="CF53" s="81">
        <f t="shared" si="22"/>
        <v>0</v>
      </c>
      <c r="CG53" s="81" t="s">
        <v>5</v>
      </c>
      <c r="CH53" s="81">
        <f t="shared" si="23"/>
        <v>0</v>
      </c>
      <c r="CI53" s="81">
        <f t="shared" si="24"/>
        <v>0</v>
      </c>
      <c r="CJ53" s="81" t="s">
        <v>18</v>
      </c>
      <c r="CK53" s="81">
        <f t="shared" si="25"/>
        <v>0</v>
      </c>
      <c r="CL53" s="81">
        <f t="shared" si="26"/>
        <v>0</v>
      </c>
      <c r="CM53" s="81" t="s">
        <v>4</v>
      </c>
      <c r="CN53" s="81">
        <f t="shared" si="27"/>
        <v>0</v>
      </c>
      <c r="CO53" s="81">
        <f t="shared" si="28"/>
        <v>0</v>
      </c>
      <c r="CP53" s="81" t="s">
        <v>22</v>
      </c>
      <c r="CQ53" s="81">
        <f t="shared" si="29"/>
        <v>0</v>
      </c>
      <c r="CR53" s="81">
        <f t="shared" si="30"/>
        <v>0</v>
      </c>
      <c r="CS53" s="81" t="s">
        <v>21</v>
      </c>
      <c r="CT53" s="81">
        <f t="shared" si="31"/>
        <v>0</v>
      </c>
      <c r="CU53" s="81">
        <f t="shared" si="32"/>
        <v>0</v>
      </c>
      <c r="CV53" s="81" t="s">
        <v>998</v>
      </c>
      <c r="CW53" s="81">
        <f t="shared" si="33"/>
        <v>0</v>
      </c>
      <c r="CX53" s="81">
        <f t="shared" si="34"/>
        <v>0</v>
      </c>
      <c r="CY53" s="81" t="s">
        <v>19</v>
      </c>
      <c r="CZ53" s="81">
        <f t="shared" si="35"/>
        <v>0</v>
      </c>
      <c r="DA53" s="81">
        <f t="shared" si="36"/>
        <v>0</v>
      </c>
      <c r="DB53" s="81" t="s">
        <v>20</v>
      </c>
      <c r="DC53" s="81">
        <f t="shared" si="37"/>
        <v>0</v>
      </c>
      <c r="DD53" s="81">
        <f t="shared" si="38"/>
        <v>0</v>
      </c>
      <c r="DE53" s="81" t="s">
        <v>23</v>
      </c>
      <c r="DF53" s="81">
        <f t="shared" si="39"/>
        <v>0</v>
      </c>
      <c r="DG53" s="81">
        <f t="shared" si="40"/>
        <v>0</v>
      </c>
      <c r="DH53" s="81" t="s">
        <v>15</v>
      </c>
      <c r="DI53" s="81">
        <f t="shared" si="41"/>
        <v>0</v>
      </c>
      <c r="DJ53" s="81">
        <f t="shared" si="42"/>
        <v>0</v>
      </c>
      <c r="DK53" s="81" t="s">
        <v>5275</v>
      </c>
      <c r="DL53" s="81">
        <f t="shared" si="43"/>
        <v>0</v>
      </c>
      <c r="DM53" s="81">
        <f t="shared" si="44"/>
        <v>0</v>
      </c>
      <c r="DN53" s="81" t="s">
        <v>7</v>
      </c>
      <c r="DO53" s="81">
        <f t="shared" si="45"/>
        <v>0</v>
      </c>
      <c r="DP53" s="81">
        <f t="shared" si="46"/>
        <v>0</v>
      </c>
      <c r="DQ53" s="81" t="s">
        <v>1</v>
      </c>
      <c r="DR53" s="81">
        <f t="shared" si="47"/>
        <v>0</v>
      </c>
      <c r="DS53" s="81">
        <f t="shared" si="48"/>
        <v>0</v>
      </c>
    </row>
    <row r="54" spans="2:123" x14ac:dyDescent="0.3">
      <c r="N54" s="81">
        <f>IF(Q55=0,IF(Q54=0,,"x"),)</f>
        <v>0</v>
      </c>
      <c r="O54" s="81">
        <f t="shared" si="49"/>
        <v>0</v>
      </c>
      <c r="P54" s="81">
        <f t="shared" si="13"/>
        <v>0</v>
      </c>
      <c r="Q54" s="81">
        <f t="shared" si="50"/>
        <v>0</v>
      </c>
      <c r="R54" s="81">
        <f>IF(W54="",,SUM($W$4:W54))</f>
        <v>0</v>
      </c>
      <c r="S54" s="81">
        <f t="shared" si="14"/>
        <v>0</v>
      </c>
      <c r="T54" s="81">
        <f t="shared" si="51"/>
        <v>0</v>
      </c>
      <c r="U54" s="81">
        <f t="shared" si="15"/>
        <v>0</v>
      </c>
      <c r="V54" s="81" t="str">
        <f t="shared" ca="1" si="16"/>
        <v/>
      </c>
      <c r="X54" s="81">
        <f t="shared" si="55"/>
        <v>0</v>
      </c>
      <c r="Y54" s="81">
        <f t="shared" si="56"/>
        <v>0</v>
      </c>
      <c r="AE54" s="81">
        <v>54</v>
      </c>
      <c r="AI54" s="81">
        <v>51</v>
      </c>
      <c r="AJ54" s="81" t="str">
        <f t="shared" si="0"/>
        <v>November 22</v>
      </c>
      <c r="AK54" s="81" t="str">
        <f t="shared" si="53"/>
        <v>November</v>
      </c>
      <c r="AL54" s="81">
        <f t="shared" si="54"/>
        <v>22</v>
      </c>
      <c r="AM54" s="81" t="str">
        <f t="shared" si="17"/>
        <v>='November 22'!</v>
      </c>
      <c r="AN54" s="81" t="str">
        <f t="shared" si="7"/>
        <v>='November 22'!C27</v>
      </c>
      <c r="AO54" s="81" t="s">
        <v>1054</v>
      </c>
      <c r="AR54" s="81" t="s">
        <v>114</v>
      </c>
      <c r="AS54" s="83" t="str">
        <f t="shared" si="1"/>
        <v>='November 22'!C6</v>
      </c>
      <c r="AT54" s="83">
        <f t="shared" si="2"/>
        <v>0</v>
      </c>
      <c r="AV54" s="81" t="s">
        <v>415</v>
      </c>
      <c r="AW54" s="81" t="s">
        <v>1868</v>
      </c>
      <c r="AX54" s="81" t="s">
        <v>1869</v>
      </c>
      <c r="AY54" s="81" t="s">
        <v>1870</v>
      </c>
      <c r="AZ54" s="81" t="s">
        <v>1871</v>
      </c>
      <c r="BA54" s="81" t="s">
        <v>1872</v>
      </c>
      <c r="BB54" s="81" t="s">
        <v>1873</v>
      </c>
      <c r="BC54" s="81" t="s">
        <v>1874</v>
      </c>
      <c r="BD54" s="81" t="s">
        <v>1875</v>
      </c>
      <c r="BE54" s="81" t="s">
        <v>1876</v>
      </c>
      <c r="BF54" s="81" t="s">
        <v>1877</v>
      </c>
      <c r="BG54" s="81" t="s">
        <v>1878</v>
      </c>
      <c r="BH54" s="81" t="s">
        <v>4671</v>
      </c>
      <c r="BI54" s="81" t="s">
        <v>4975</v>
      </c>
      <c r="BJ54" s="81" t="s">
        <v>114</v>
      </c>
      <c r="BL54" s="81" t="s">
        <v>718</v>
      </c>
      <c r="BM54" s="81">
        <v>51</v>
      </c>
      <c r="BN54" s="81" t="str">
        <f t="shared" si="3"/>
        <v>='November 22'!C12</v>
      </c>
      <c r="BP54" s="81" t="str">
        <f t="shared" ca="1" si="18"/>
        <v/>
      </c>
      <c r="BR54" s="84">
        <f t="shared" si="8"/>
        <v>0</v>
      </c>
      <c r="BS54" s="84">
        <f t="shared" si="9"/>
        <v>0</v>
      </c>
      <c r="CA54" s="81" t="s">
        <v>2</v>
      </c>
      <c r="CB54" s="81">
        <f t="shared" si="19"/>
        <v>0</v>
      </c>
      <c r="CC54" s="81">
        <f t="shared" si="20"/>
        <v>0</v>
      </c>
      <c r="CD54" s="81" t="s">
        <v>16</v>
      </c>
      <c r="CE54" s="81">
        <f t="shared" si="21"/>
        <v>0</v>
      </c>
      <c r="CF54" s="81">
        <f t="shared" si="22"/>
        <v>0</v>
      </c>
      <c r="CG54" s="81" t="s">
        <v>5</v>
      </c>
      <c r="CH54" s="81">
        <f t="shared" si="23"/>
        <v>0</v>
      </c>
      <c r="CI54" s="81">
        <f t="shared" si="24"/>
        <v>0</v>
      </c>
      <c r="CJ54" s="81" t="s">
        <v>18</v>
      </c>
      <c r="CK54" s="81">
        <f t="shared" si="25"/>
        <v>0</v>
      </c>
      <c r="CL54" s="81">
        <f t="shared" si="26"/>
        <v>0</v>
      </c>
      <c r="CM54" s="81" t="s">
        <v>4</v>
      </c>
      <c r="CN54" s="81">
        <f t="shared" si="27"/>
        <v>0</v>
      </c>
      <c r="CO54" s="81">
        <f t="shared" si="28"/>
        <v>0</v>
      </c>
      <c r="CP54" s="81" t="s">
        <v>22</v>
      </c>
      <c r="CQ54" s="81">
        <f t="shared" si="29"/>
        <v>0</v>
      </c>
      <c r="CR54" s="81">
        <f t="shared" si="30"/>
        <v>0</v>
      </c>
      <c r="CS54" s="81" t="s">
        <v>21</v>
      </c>
      <c r="CT54" s="81">
        <f t="shared" si="31"/>
        <v>0</v>
      </c>
      <c r="CU54" s="81">
        <f t="shared" si="32"/>
        <v>0</v>
      </c>
      <c r="CV54" s="81" t="s">
        <v>998</v>
      </c>
      <c r="CW54" s="81">
        <f t="shared" si="33"/>
        <v>0</v>
      </c>
      <c r="CX54" s="81">
        <f t="shared" si="34"/>
        <v>0</v>
      </c>
      <c r="CY54" s="81" t="s">
        <v>19</v>
      </c>
      <c r="CZ54" s="81">
        <f t="shared" si="35"/>
        <v>0</v>
      </c>
      <c r="DA54" s="81">
        <f t="shared" si="36"/>
        <v>0</v>
      </c>
      <c r="DB54" s="81" t="s">
        <v>20</v>
      </c>
      <c r="DC54" s="81">
        <f t="shared" si="37"/>
        <v>0</v>
      </c>
      <c r="DD54" s="81">
        <f t="shared" si="38"/>
        <v>0</v>
      </c>
      <c r="DE54" s="81" t="s">
        <v>23</v>
      </c>
      <c r="DF54" s="81">
        <f t="shared" si="39"/>
        <v>0</v>
      </c>
      <c r="DG54" s="81">
        <f t="shared" si="40"/>
        <v>0</v>
      </c>
      <c r="DH54" s="81" t="s">
        <v>15</v>
      </c>
      <c r="DI54" s="81">
        <f t="shared" si="41"/>
        <v>0</v>
      </c>
      <c r="DJ54" s="81">
        <f t="shared" si="42"/>
        <v>0</v>
      </c>
      <c r="DK54" s="81" t="s">
        <v>5276</v>
      </c>
      <c r="DL54" s="81">
        <f t="shared" si="43"/>
        <v>0</v>
      </c>
      <c r="DM54" s="81">
        <f t="shared" si="44"/>
        <v>0</v>
      </c>
      <c r="DN54" s="81" t="s">
        <v>7</v>
      </c>
      <c r="DO54" s="81">
        <f t="shared" si="45"/>
        <v>0</v>
      </c>
      <c r="DP54" s="81">
        <f t="shared" si="46"/>
        <v>0</v>
      </c>
      <c r="DQ54" s="81" t="s">
        <v>1</v>
      </c>
      <c r="DR54" s="81">
        <f t="shared" si="47"/>
        <v>0</v>
      </c>
      <c r="DS54" s="81">
        <f t="shared" si="48"/>
        <v>0</v>
      </c>
    </row>
    <row r="55" spans="2:123" x14ac:dyDescent="0.3">
      <c r="N55" s="81">
        <f>IF(Q56=0,IF(Q55=0,,"x"),)</f>
        <v>0</v>
      </c>
      <c r="O55" s="81">
        <f t="shared" si="49"/>
        <v>0</v>
      </c>
      <c r="P55" s="81">
        <f t="shared" si="13"/>
        <v>0</v>
      </c>
      <c r="Q55" s="81">
        <f t="shared" si="50"/>
        <v>0</v>
      </c>
      <c r="R55" s="81">
        <f>IF(W55="",,SUM($W$4:W55))</f>
        <v>0</v>
      </c>
      <c r="S55" s="81">
        <f t="shared" si="14"/>
        <v>0</v>
      </c>
      <c r="T55" s="81">
        <f t="shared" si="51"/>
        <v>0</v>
      </c>
      <c r="U55" s="81">
        <f t="shared" si="15"/>
        <v>0</v>
      </c>
      <c r="V55" s="81" t="str">
        <f t="shared" ca="1" si="16"/>
        <v/>
      </c>
      <c r="X55" s="81">
        <f t="shared" si="55"/>
        <v>0</v>
      </c>
      <c r="Y55" s="81">
        <f t="shared" si="56"/>
        <v>0</v>
      </c>
      <c r="AE55" s="81">
        <v>55</v>
      </c>
      <c r="AI55" s="81">
        <v>52</v>
      </c>
      <c r="AJ55" s="81" t="str">
        <f t="shared" si="0"/>
        <v>December 22</v>
      </c>
      <c r="AK55" s="81" t="str">
        <f t="shared" si="53"/>
        <v>December</v>
      </c>
      <c r="AL55" s="81">
        <f t="shared" si="54"/>
        <v>22</v>
      </c>
      <c r="AM55" s="81" t="str">
        <f t="shared" si="17"/>
        <v>='December 22'!</v>
      </c>
      <c r="AN55" s="81" t="str">
        <f t="shared" si="7"/>
        <v>='December 22'!C27</v>
      </c>
      <c r="AO55" s="81" t="s">
        <v>1055</v>
      </c>
      <c r="AR55" s="81" t="s">
        <v>115</v>
      </c>
      <c r="AS55" s="83" t="str">
        <f t="shared" si="1"/>
        <v>='December 22'!C6</v>
      </c>
      <c r="AT55" s="83">
        <f t="shared" si="2"/>
        <v>0</v>
      </c>
      <c r="AV55" s="81" t="s">
        <v>416</v>
      </c>
      <c r="AW55" s="81" t="s">
        <v>1879</v>
      </c>
      <c r="AX55" s="81" t="s">
        <v>1880</v>
      </c>
      <c r="AY55" s="81" t="s">
        <v>1881</v>
      </c>
      <c r="AZ55" s="81" t="s">
        <v>1882</v>
      </c>
      <c r="BA55" s="81" t="s">
        <v>1883</v>
      </c>
      <c r="BB55" s="81" t="s">
        <v>1884</v>
      </c>
      <c r="BC55" s="81" t="s">
        <v>1885</v>
      </c>
      <c r="BD55" s="81" t="s">
        <v>1886</v>
      </c>
      <c r="BE55" s="81" t="s">
        <v>1887</v>
      </c>
      <c r="BF55" s="81" t="s">
        <v>1888</v>
      </c>
      <c r="BG55" s="81" t="s">
        <v>1889</v>
      </c>
      <c r="BH55" s="81" t="s">
        <v>4672</v>
      </c>
      <c r="BI55" s="81" t="s">
        <v>4976</v>
      </c>
      <c r="BJ55" s="81" t="s">
        <v>115</v>
      </c>
      <c r="BL55" s="81" t="s">
        <v>719</v>
      </c>
      <c r="BM55" s="81">
        <v>52</v>
      </c>
      <c r="BN55" s="81" t="str">
        <f t="shared" si="3"/>
        <v>='December 22'!C12</v>
      </c>
      <c r="BP55" s="81" t="str">
        <f t="shared" ca="1" si="18"/>
        <v/>
      </c>
      <c r="BR55" s="84">
        <f t="shared" si="8"/>
        <v>0</v>
      </c>
      <c r="BS55" s="84">
        <f t="shared" si="9"/>
        <v>0</v>
      </c>
      <c r="CA55" s="81" t="s">
        <v>2</v>
      </c>
      <c r="CB55" s="81">
        <f t="shared" si="19"/>
        <v>0</v>
      </c>
      <c r="CC55" s="81">
        <f t="shared" si="20"/>
        <v>0</v>
      </c>
      <c r="CD55" s="81" t="s">
        <v>16</v>
      </c>
      <c r="CE55" s="81">
        <f t="shared" si="21"/>
        <v>0</v>
      </c>
      <c r="CF55" s="81">
        <f t="shared" si="22"/>
        <v>0</v>
      </c>
      <c r="CG55" s="81" t="s">
        <v>5</v>
      </c>
      <c r="CH55" s="81">
        <f t="shared" si="23"/>
        <v>0</v>
      </c>
      <c r="CI55" s="81">
        <f t="shared" si="24"/>
        <v>0</v>
      </c>
      <c r="CJ55" s="81" t="s">
        <v>18</v>
      </c>
      <c r="CK55" s="81">
        <f t="shared" si="25"/>
        <v>0</v>
      </c>
      <c r="CL55" s="81">
        <f t="shared" si="26"/>
        <v>0</v>
      </c>
      <c r="CM55" s="81" t="s">
        <v>4</v>
      </c>
      <c r="CN55" s="81">
        <f t="shared" si="27"/>
        <v>0</v>
      </c>
      <c r="CO55" s="81">
        <f t="shared" si="28"/>
        <v>0</v>
      </c>
      <c r="CP55" s="81" t="s">
        <v>22</v>
      </c>
      <c r="CQ55" s="81">
        <f t="shared" si="29"/>
        <v>0</v>
      </c>
      <c r="CR55" s="81">
        <f t="shared" si="30"/>
        <v>0</v>
      </c>
      <c r="CS55" s="81" t="s">
        <v>21</v>
      </c>
      <c r="CT55" s="81">
        <f t="shared" si="31"/>
        <v>0</v>
      </c>
      <c r="CU55" s="81">
        <f t="shared" si="32"/>
        <v>0</v>
      </c>
      <c r="CV55" s="81" t="s">
        <v>998</v>
      </c>
      <c r="CW55" s="81">
        <f t="shared" si="33"/>
        <v>0</v>
      </c>
      <c r="CX55" s="81">
        <f t="shared" si="34"/>
        <v>0</v>
      </c>
      <c r="CY55" s="81" t="s">
        <v>19</v>
      </c>
      <c r="CZ55" s="81">
        <f t="shared" si="35"/>
        <v>0</v>
      </c>
      <c r="DA55" s="81">
        <f t="shared" si="36"/>
        <v>0</v>
      </c>
      <c r="DB55" s="81" t="s">
        <v>20</v>
      </c>
      <c r="DC55" s="81">
        <f t="shared" si="37"/>
        <v>0</v>
      </c>
      <c r="DD55" s="81">
        <f t="shared" si="38"/>
        <v>0</v>
      </c>
      <c r="DE55" s="81" t="s">
        <v>23</v>
      </c>
      <c r="DF55" s="81">
        <f t="shared" si="39"/>
        <v>0</v>
      </c>
      <c r="DG55" s="81">
        <f t="shared" si="40"/>
        <v>0</v>
      </c>
      <c r="DH55" s="81" t="s">
        <v>15</v>
      </c>
      <c r="DI55" s="81">
        <f t="shared" si="41"/>
        <v>0</v>
      </c>
      <c r="DJ55" s="81">
        <f t="shared" si="42"/>
        <v>0</v>
      </c>
      <c r="DK55" s="81" t="s">
        <v>5277</v>
      </c>
      <c r="DL55" s="81">
        <f t="shared" si="43"/>
        <v>0</v>
      </c>
      <c r="DM55" s="81">
        <f t="shared" si="44"/>
        <v>0</v>
      </c>
      <c r="DN55" s="81" t="s">
        <v>7</v>
      </c>
      <c r="DO55" s="81">
        <f t="shared" si="45"/>
        <v>0</v>
      </c>
      <c r="DP55" s="81">
        <f t="shared" si="46"/>
        <v>0</v>
      </c>
      <c r="DQ55" s="81" t="s">
        <v>1</v>
      </c>
      <c r="DR55" s="81">
        <f t="shared" si="47"/>
        <v>0</v>
      </c>
      <c r="DS55" s="81">
        <f t="shared" si="48"/>
        <v>0</v>
      </c>
    </row>
    <row r="56" spans="2:123" x14ac:dyDescent="0.3">
      <c r="N56" s="81">
        <f>IF(Q57=0,IF(Q56=0,,"x"),)</f>
        <v>0</v>
      </c>
      <c r="O56" s="81">
        <f t="shared" si="49"/>
        <v>0</v>
      </c>
      <c r="P56" s="81">
        <f t="shared" si="13"/>
        <v>0</v>
      </c>
      <c r="Q56" s="81">
        <f t="shared" si="50"/>
        <v>0</v>
      </c>
      <c r="R56" s="81">
        <f>IF(W56="",,SUM($W$4:W56))</f>
        <v>0</v>
      </c>
      <c r="S56" s="81">
        <f t="shared" si="14"/>
        <v>0</v>
      </c>
      <c r="T56" s="81">
        <f t="shared" si="51"/>
        <v>0</v>
      </c>
      <c r="U56" s="81">
        <f t="shared" si="15"/>
        <v>0</v>
      </c>
      <c r="V56" s="81" t="str">
        <f t="shared" ca="1" si="16"/>
        <v/>
      </c>
      <c r="X56" s="81">
        <f t="shared" si="55"/>
        <v>0</v>
      </c>
      <c r="Y56" s="81">
        <f t="shared" si="56"/>
        <v>0</v>
      </c>
      <c r="AE56" s="81">
        <v>56</v>
      </c>
      <c r="AI56" s="81">
        <v>53</v>
      </c>
      <c r="AJ56" s="81" t="str">
        <f t="shared" si="0"/>
        <v>Januari 23</v>
      </c>
      <c r="AK56" s="81" t="str">
        <f t="shared" si="53"/>
        <v>Januari</v>
      </c>
      <c r="AL56" s="81">
        <f t="shared" si="54"/>
        <v>23</v>
      </c>
      <c r="AM56" s="81" t="str">
        <f t="shared" si="17"/>
        <v>='Januari 23'!</v>
      </c>
      <c r="AN56" s="81" t="str">
        <f t="shared" si="7"/>
        <v>='Januari 23'!C27</v>
      </c>
      <c r="AO56" s="81" t="s">
        <v>1056</v>
      </c>
      <c r="AR56" s="81" t="s">
        <v>116</v>
      </c>
      <c r="AS56" s="83" t="str">
        <f t="shared" si="1"/>
        <v>='Januari 23'!C6</v>
      </c>
      <c r="AT56" s="83">
        <f t="shared" si="2"/>
        <v>0</v>
      </c>
      <c r="AV56" s="81" t="s">
        <v>417</v>
      </c>
      <c r="AW56" s="81" t="s">
        <v>1890</v>
      </c>
      <c r="AX56" s="81" t="s">
        <v>1891</v>
      </c>
      <c r="AY56" s="81" t="s">
        <v>1892</v>
      </c>
      <c r="AZ56" s="81" t="s">
        <v>1893</v>
      </c>
      <c r="BA56" s="81" t="s">
        <v>1894</v>
      </c>
      <c r="BB56" s="81" t="s">
        <v>1895</v>
      </c>
      <c r="BC56" s="81" t="s">
        <v>1896</v>
      </c>
      <c r="BD56" s="81" t="s">
        <v>1897</v>
      </c>
      <c r="BE56" s="81" t="s">
        <v>1898</v>
      </c>
      <c r="BF56" s="81" t="s">
        <v>1899</v>
      </c>
      <c r="BG56" s="81" t="s">
        <v>1900</v>
      </c>
      <c r="BH56" s="81" t="s">
        <v>4673</v>
      </c>
      <c r="BI56" s="81" t="s">
        <v>4977</v>
      </c>
      <c r="BJ56" s="81" t="s">
        <v>116</v>
      </c>
      <c r="BL56" s="81" t="s">
        <v>720</v>
      </c>
      <c r="BM56" s="81">
        <v>53</v>
      </c>
      <c r="BN56" s="81" t="str">
        <f t="shared" si="3"/>
        <v>='Januari 23'!C12</v>
      </c>
      <c r="BP56" s="81" t="str">
        <f t="shared" ca="1" si="18"/>
        <v/>
      </c>
      <c r="BR56" s="84">
        <f t="shared" si="8"/>
        <v>0</v>
      </c>
      <c r="BS56" s="84">
        <f t="shared" si="9"/>
        <v>0</v>
      </c>
      <c r="CA56" s="81" t="s">
        <v>2</v>
      </c>
      <c r="CB56" s="81">
        <f t="shared" si="19"/>
        <v>0</v>
      </c>
      <c r="CC56" s="81">
        <f t="shared" si="20"/>
        <v>0</v>
      </c>
      <c r="CD56" s="81" t="s">
        <v>16</v>
      </c>
      <c r="CE56" s="81">
        <f t="shared" si="21"/>
        <v>0</v>
      </c>
      <c r="CF56" s="81">
        <f t="shared" si="22"/>
        <v>0</v>
      </c>
      <c r="CG56" s="81" t="s">
        <v>5</v>
      </c>
      <c r="CH56" s="81">
        <f t="shared" si="23"/>
        <v>0</v>
      </c>
      <c r="CI56" s="81">
        <f t="shared" si="24"/>
        <v>0</v>
      </c>
      <c r="CJ56" s="81" t="s">
        <v>18</v>
      </c>
      <c r="CK56" s="81">
        <f t="shared" si="25"/>
        <v>0</v>
      </c>
      <c r="CL56" s="81">
        <f t="shared" si="26"/>
        <v>0</v>
      </c>
      <c r="CM56" s="81" t="s">
        <v>4</v>
      </c>
      <c r="CN56" s="81">
        <f t="shared" si="27"/>
        <v>0</v>
      </c>
      <c r="CO56" s="81">
        <f t="shared" si="28"/>
        <v>0</v>
      </c>
      <c r="CP56" s="81" t="s">
        <v>22</v>
      </c>
      <c r="CQ56" s="81">
        <f t="shared" si="29"/>
        <v>0</v>
      </c>
      <c r="CR56" s="81">
        <f t="shared" si="30"/>
        <v>0</v>
      </c>
      <c r="CS56" s="81" t="s">
        <v>21</v>
      </c>
      <c r="CT56" s="81">
        <f t="shared" si="31"/>
        <v>0</v>
      </c>
      <c r="CU56" s="81">
        <f t="shared" si="32"/>
        <v>0</v>
      </c>
      <c r="CV56" s="81" t="s">
        <v>998</v>
      </c>
      <c r="CW56" s="81">
        <f t="shared" si="33"/>
        <v>0</v>
      </c>
      <c r="CX56" s="81">
        <f t="shared" si="34"/>
        <v>0</v>
      </c>
      <c r="CY56" s="81" t="s">
        <v>19</v>
      </c>
      <c r="CZ56" s="81">
        <f t="shared" si="35"/>
        <v>0</v>
      </c>
      <c r="DA56" s="81">
        <f t="shared" si="36"/>
        <v>0</v>
      </c>
      <c r="DB56" s="81" t="s">
        <v>20</v>
      </c>
      <c r="DC56" s="81">
        <f t="shared" si="37"/>
        <v>0</v>
      </c>
      <c r="DD56" s="81">
        <f t="shared" si="38"/>
        <v>0</v>
      </c>
      <c r="DE56" s="81" t="s">
        <v>23</v>
      </c>
      <c r="DF56" s="81">
        <f t="shared" si="39"/>
        <v>0</v>
      </c>
      <c r="DG56" s="81">
        <f t="shared" si="40"/>
        <v>0</v>
      </c>
      <c r="DH56" s="81" t="s">
        <v>15</v>
      </c>
      <c r="DI56" s="81">
        <f t="shared" si="41"/>
        <v>0</v>
      </c>
      <c r="DJ56" s="81">
        <f t="shared" si="42"/>
        <v>0</v>
      </c>
      <c r="DK56" s="81" t="s">
        <v>5278</v>
      </c>
      <c r="DL56" s="81">
        <f t="shared" si="43"/>
        <v>0</v>
      </c>
      <c r="DM56" s="81">
        <f t="shared" si="44"/>
        <v>0</v>
      </c>
      <c r="DN56" s="81" t="s">
        <v>7</v>
      </c>
      <c r="DO56" s="81">
        <f t="shared" si="45"/>
        <v>0</v>
      </c>
      <c r="DP56" s="81">
        <f t="shared" si="46"/>
        <v>0</v>
      </c>
      <c r="DQ56" s="81" t="s">
        <v>1</v>
      </c>
      <c r="DR56" s="81">
        <f t="shared" si="47"/>
        <v>0</v>
      </c>
      <c r="DS56" s="81">
        <f t="shared" si="48"/>
        <v>0</v>
      </c>
    </row>
    <row r="57" spans="2:123" x14ac:dyDescent="0.3">
      <c r="N57" s="81">
        <f>IF(Q58=0,IF(Q57=0,,"x"),)</f>
        <v>0</v>
      </c>
      <c r="O57" s="81">
        <f t="shared" si="49"/>
        <v>0</v>
      </c>
      <c r="P57" s="81">
        <f t="shared" si="13"/>
        <v>0</v>
      </c>
      <c r="Q57" s="81">
        <f t="shared" si="50"/>
        <v>0</v>
      </c>
      <c r="R57" s="81">
        <f>IF(W57="",,SUM($W$4:W57))</f>
        <v>0</v>
      </c>
      <c r="S57" s="81">
        <f t="shared" si="14"/>
        <v>0</v>
      </c>
      <c r="T57" s="81">
        <f t="shared" si="51"/>
        <v>0</v>
      </c>
      <c r="U57" s="81">
        <f t="shared" si="15"/>
        <v>0</v>
      </c>
      <c r="V57" s="81" t="str">
        <f t="shared" ca="1" si="16"/>
        <v/>
      </c>
      <c r="X57" s="81">
        <f t="shared" si="55"/>
        <v>0</v>
      </c>
      <c r="Y57" s="81">
        <f t="shared" si="56"/>
        <v>0</v>
      </c>
      <c r="AE57" s="81">
        <v>57</v>
      </c>
      <c r="AI57" s="81">
        <v>54</v>
      </c>
      <c r="AJ57" s="81" t="str">
        <f t="shared" si="0"/>
        <v>Februari 23</v>
      </c>
      <c r="AK57" s="81" t="str">
        <f t="shared" si="53"/>
        <v>Februari</v>
      </c>
      <c r="AL57" s="81">
        <f t="shared" si="54"/>
        <v>23</v>
      </c>
      <c r="AM57" s="81" t="str">
        <f t="shared" si="17"/>
        <v>='Februari 23'!</v>
      </c>
      <c r="AN57" s="81" t="str">
        <f t="shared" si="7"/>
        <v>='Februari 23'!C27</v>
      </c>
      <c r="AO57" s="81" t="s">
        <v>1057</v>
      </c>
      <c r="AR57" s="81" t="s">
        <v>117</v>
      </c>
      <c r="AS57" s="83" t="str">
        <f t="shared" si="1"/>
        <v>='Februari 23'!C6</v>
      </c>
      <c r="AT57" s="83">
        <f t="shared" si="2"/>
        <v>0</v>
      </c>
      <c r="AV57" s="81" t="s">
        <v>418</v>
      </c>
      <c r="AW57" s="81" t="s">
        <v>1901</v>
      </c>
      <c r="AX57" s="81" t="s">
        <v>1902</v>
      </c>
      <c r="AY57" s="81" t="s">
        <v>1903</v>
      </c>
      <c r="AZ57" s="81" t="s">
        <v>1904</v>
      </c>
      <c r="BA57" s="81" t="s">
        <v>1905</v>
      </c>
      <c r="BB57" s="81" t="s">
        <v>1906</v>
      </c>
      <c r="BC57" s="81" t="s">
        <v>1907</v>
      </c>
      <c r="BD57" s="81" t="s">
        <v>1908</v>
      </c>
      <c r="BE57" s="81" t="s">
        <v>1909</v>
      </c>
      <c r="BF57" s="81" t="s">
        <v>1910</v>
      </c>
      <c r="BG57" s="81" t="s">
        <v>1911</v>
      </c>
      <c r="BH57" s="81" t="s">
        <v>4674</v>
      </c>
      <c r="BI57" s="81" t="s">
        <v>4978</v>
      </c>
      <c r="BJ57" s="81" t="s">
        <v>117</v>
      </c>
      <c r="BL57" s="81" t="s">
        <v>721</v>
      </c>
      <c r="BM57" s="81">
        <v>54</v>
      </c>
      <c r="BN57" s="81" t="str">
        <f t="shared" si="3"/>
        <v>='Februari 23'!C12</v>
      </c>
      <c r="BP57" s="81" t="str">
        <f t="shared" ca="1" si="18"/>
        <v/>
      </c>
      <c r="BR57" s="84">
        <f t="shared" si="8"/>
        <v>0</v>
      </c>
      <c r="BS57" s="84">
        <f t="shared" si="9"/>
        <v>0</v>
      </c>
      <c r="CA57" s="81" t="s">
        <v>2</v>
      </c>
      <c r="CB57" s="81">
        <f t="shared" si="19"/>
        <v>0</v>
      </c>
      <c r="CC57" s="81">
        <f t="shared" si="20"/>
        <v>0</v>
      </c>
      <c r="CD57" s="81" t="s">
        <v>16</v>
      </c>
      <c r="CE57" s="81">
        <f t="shared" si="21"/>
        <v>0</v>
      </c>
      <c r="CF57" s="81">
        <f t="shared" si="22"/>
        <v>0</v>
      </c>
      <c r="CG57" s="81" t="s">
        <v>5</v>
      </c>
      <c r="CH57" s="81">
        <f t="shared" si="23"/>
        <v>0</v>
      </c>
      <c r="CI57" s="81">
        <f t="shared" si="24"/>
        <v>0</v>
      </c>
      <c r="CJ57" s="81" t="s">
        <v>18</v>
      </c>
      <c r="CK57" s="81">
        <f t="shared" si="25"/>
        <v>0</v>
      </c>
      <c r="CL57" s="81">
        <f t="shared" si="26"/>
        <v>0</v>
      </c>
      <c r="CM57" s="81" t="s">
        <v>4</v>
      </c>
      <c r="CN57" s="81">
        <f t="shared" si="27"/>
        <v>0</v>
      </c>
      <c r="CO57" s="81">
        <f t="shared" si="28"/>
        <v>0</v>
      </c>
      <c r="CP57" s="81" t="s">
        <v>22</v>
      </c>
      <c r="CQ57" s="81">
        <f t="shared" si="29"/>
        <v>0</v>
      </c>
      <c r="CR57" s="81">
        <f t="shared" si="30"/>
        <v>0</v>
      </c>
      <c r="CS57" s="81" t="s">
        <v>21</v>
      </c>
      <c r="CT57" s="81">
        <f t="shared" si="31"/>
        <v>0</v>
      </c>
      <c r="CU57" s="81">
        <f t="shared" si="32"/>
        <v>0</v>
      </c>
      <c r="CV57" s="81" t="s">
        <v>998</v>
      </c>
      <c r="CW57" s="81">
        <f t="shared" si="33"/>
        <v>0</v>
      </c>
      <c r="CX57" s="81">
        <f t="shared" si="34"/>
        <v>0</v>
      </c>
      <c r="CY57" s="81" t="s">
        <v>19</v>
      </c>
      <c r="CZ57" s="81">
        <f t="shared" si="35"/>
        <v>0</v>
      </c>
      <c r="DA57" s="81">
        <f t="shared" si="36"/>
        <v>0</v>
      </c>
      <c r="DB57" s="81" t="s">
        <v>20</v>
      </c>
      <c r="DC57" s="81">
        <f t="shared" si="37"/>
        <v>0</v>
      </c>
      <c r="DD57" s="81">
        <f t="shared" si="38"/>
        <v>0</v>
      </c>
      <c r="DE57" s="81" t="s">
        <v>23</v>
      </c>
      <c r="DF57" s="81">
        <f t="shared" si="39"/>
        <v>0</v>
      </c>
      <c r="DG57" s="81">
        <f t="shared" si="40"/>
        <v>0</v>
      </c>
      <c r="DH57" s="81" t="s">
        <v>15</v>
      </c>
      <c r="DI57" s="81">
        <f t="shared" si="41"/>
        <v>0</v>
      </c>
      <c r="DJ57" s="81">
        <f t="shared" si="42"/>
        <v>0</v>
      </c>
      <c r="DK57" s="81" t="s">
        <v>5279</v>
      </c>
      <c r="DL57" s="81">
        <f t="shared" si="43"/>
        <v>0</v>
      </c>
      <c r="DM57" s="81">
        <f t="shared" si="44"/>
        <v>0</v>
      </c>
      <c r="DN57" s="81" t="s">
        <v>7</v>
      </c>
      <c r="DO57" s="81">
        <f t="shared" si="45"/>
        <v>0</v>
      </c>
      <c r="DP57" s="81">
        <f t="shared" si="46"/>
        <v>0</v>
      </c>
      <c r="DQ57" s="81" t="s">
        <v>1</v>
      </c>
      <c r="DR57" s="81">
        <f t="shared" si="47"/>
        <v>0</v>
      </c>
      <c r="DS57" s="81">
        <f t="shared" si="48"/>
        <v>0</v>
      </c>
    </row>
    <row r="58" spans="2:123" x14ac:dyDescent="0.3">
      <c r="N58" s="81">
        <f>IF(Q59=0,IF(Q58=0,,"x"),)</f>
        <v>0</v>
      </c>
      <c r="O58" s="81">
        <f t="shared" si="49"/>
        <v>0</v>
      </c>
      <c r="P58" s="81">
        <f t="shared" si="13"/>
        <v>0</v>
      </c>
      <c r="Q58" s="81">
        <f t="shared" si="50"/>
        <v>0</v>
      </c>
      <c r="R58" s="81">
        <f>IF(W58="",,SUM($W$4:W58))</f>
        <v>0</v>
      </c>
      <c r="S58" s="81">
        <f t="shared" si="14"/>
        <v>0</v>
      </c>
      <c r="T58" s="81">
        <f t="shared" si="51"/>
        <v>0</v>
      </c>
      <c r="U58" s="81">
        <f t="shared" si="15"/>
        <v>0</v>
      </c>
      <c r="V58" s="81" t="str">
        <f t="shared" ca="1" si="16"/>
        <v/>
      </c>
      <c r="X58" s="81">
        <f t="shared" si="55"/>
        <v>0</v>
      </c>
      <c r="Y58" s="81">
        <f t="shared" si="56"/>
        <v>0</v>
      </c>
      <c r="AE58" s="81">
        <v>58</v>
      </c>
      <c r="AI58" s="81">
        <v>55</v>
      </c>
      <c r="AJ58" s="81" t="str">
        <f t="shared" si="0"/>
        <v>Mars 23</v>
      </c>
      <c r="AK58" s="81" t="str">
        <f t="shared" si="53"/>
        <v>Mars</v>
      </c>
      <c r="AL58" s="81">
        <f t="shared" si="54"/>
        <v>23</v>
      </c>
      <c r="AM58" s="81" t="str">
        <f t="shared" si="17"/>
        <v>='Mars 23'!</v>
      </c>
      <c r="AN58" s="81" t="str">
        <f t="shared" si="7"/>
        <v>='Mars 23'!C27</v>
      </c>
      <c r="AO58" s="81" t="s">
        <v>1058</v>
      </c>
      <c r="AR58" s="81" t="s">
        <v>118</v>
      </c>
      <c r="AS58" s="83" t="str">
        <f t="shared" si="1"/>
        <v>='Mars 23'!C6</v>
      </c>
      <c r="AT58" s="83">
        <f t="shared" si="2"/>
        <v>0</v>
      </c>
      <c r="AV58" s="81" t="s">
        <v>419</v>
      </c>
      <c r="AW58" s="81" t="s">
        <v>1912</v>
      </c>
      <c r="AX58" s="81" t="s">
        <v>1913</v>
      </c>
      <c r="AY58" s="81" t="s">
        <v>1914</v>
      </c>
      <c r="AZ58" s="81" t="s">
        <v>1915</v>
      </c>
      <c r="BA58" s="81" t="s">
        <v>1916</v>
      </c>
      <c r="BB58" s="81" t="s">
        <v>1917</v>
      </c>
      <c r="BC58" s="81" t="s">
        <v>1918</v>
      </c>
      <c r="BD58" s="81" t="s">
        <v>1919</v>
      </c>
      <c r="BE58" s="81" t="s">
        <v>1920</v>
      </c>
      <c r="BF58" s="81" t="s">
        <v>1921</v>
      </c>
      <c r="BG58" s="81" t="s">
        <v>1922</v>
      </c>
      <c r="BH58" s="81" t="s">
        <v>4675</v>
      </c>
      <c r="BI58" s="81" t="s">
        <v>4979</v>
      </c>
      <c r="BJ58" s="81" t="s">
        <v>118</v>
      </c>
      <c r="BL58" s="81" t="s">
        <v>722</v>
      </c>
      <c r="BM58" s="81">
        <v>55</v>
      </c>
      <c r="BN58" s="81" t="str">
        <f t="shared" si="3"/>
        <v>='Mars 23'!C12</v>
      </c>
      <c r="BP58" s="81" t="str">
        <f t="shared" ca="1" si="18"/>
        <v/>
      </c>
      <c r="BR58" s="84">
        <f t="shared" si="8"/>
        <v>0</v>
      </c>
      <c r="BS58" s="84">
        <f t="shared" si="9"/>
        <v>0</v>
      </c>
      <c r="CA58" s="81" t="s">
        <v>2</v>
      </c>
      <c r="CB58" s="81">
        <f t="shared" si="19"/>
        <v>0</v>
      </c>
      <c r="CC58" s="81">
        <f t="shared" si="20"/>
        <v>0</v>
      </c>
      <c r="CD58" s="81" t="s">
        <v>16</v>
      </c>
      <c r="CE58" s="81">
        <f t="shared" si="21"/>
        <v>0</v>
      </c>
      <c r="CF58" s="81">
        <f t="shared" si="22"/>
        <v>0</v>
      </c>
      <c r="CG58" s="81" t="s">
        <v>5</v>
      </c>
      <c r="CH58" s="81">
        <f t="shared" si="23"/>
        <v>0</v>
      </c>
      <c r="CI58" s="81">
        <f t="shared" si="24"/>
        <v>0</v>
      </c>
      <c r="CJ58" s="81" t="s">
        <v>18</v>
      </c>
      <c r="CK58" s="81">
        <f t="shared" si="25"/>
        <v>0</v>
      </c>
      <c r="CL58" s="81">
        <f t="shared" si="26"/>
        <v>0</v>
      </c>
      <c r="CM58" s="81" t="s">
        <v>4</v>
      </c>
      <c r="CN58" s="81">
        <f t="shared" si="27"/>
        <v>0</v>
      </c>
      <c r="CO58" s="81">
        <f t="shared" si="28"/>
        <v>0</v>
      </c>
      <c r="CP58" s="81" t="s">
        <v>22</v>
      </c>
      <c r="CQ58" s="81">
        <f t="shared" si="29"/>
        <v>0</v>
      </c>
      <c r="CR58" s="81">
        <f t="shared" si="30"/>
        <v>0</v>
      </c>
      <c r="CS58" s="81" t="s">
        <v>21</v>
      </c>
      <c r="CT58" s="81">
        <f t="shared" si="31"/>
        <v>0</v>
      </c>
      <c r="CU58" s="81">
        <f t="shared" si="32"/>
        <v>0</v>
      </c>
      <c r="CV58" s="81" t="s">
        <v>998</v>
      </c>
      <c r="CW58" s="81">
        <f t="shared" si="33"/>
        <v>0</v>
      </c>
      <c r="CX58" s="81">
        <f t="shared" si="34"/>
        <v>0</v>
      </c>
      <c r="CY58" s="81" t="s">
        <v>19</v>
      </c>
      <c r="CZ58" s="81">
        <f t="shared" si="35"/>
        <v>0</v>
      </c>
      <c r="DA58" s="81">
        <f t="shared" si="36"/>
        <v>0</v>
      </c>
      <c r="DB58" s="81" t="s">
        <v>20</v>
      </c>
      <c r="DC58" s="81">
        <f t="shared" si="37"/>
        <v>0</v>
      </c>
      <c r="DD58" s="81">
        <f t="shared" si="38"/>
        <v>0</v>
      </c>
      <c r="DE58" s="81" t="s">
        <v>23</v>
      </c>
      <c r="DF58" s="81">
        <f t="shared" si="39"/>
        <v>0</v>
      </c>
      <c r="DG58" s="81">
        <f t="shared" si="40"/>
        <v>0</v>
      </c>
      <c r="DH58" s="81" t="s">
        <v>15</v>
      </c>
      <c r="DI58" s="81">
        <f t="shared" si="41"/>
        <v>0</v>
      </c>
      <c r="DJ58" s="81">
        <f t="shared" si="42"/>
        <v>0</v>
      </c>
      <c r="DK58" s="81" t="s">
        <v>5280</v>
      </c>
      <c r="DL58" s="81">
        <f t="shared" si="43"/>
        <v>0</v>
      </c>
      <c r="DM58" s="81">
        <f t="shared" si="44"/>
        <v>0</v>
      </c>
      <c r="DN58" s="81" t="s">
        <v>7</v>
      </c>
      <c r="DO58" s="81">
        <f t="shared" si="45"/>
        <v>0</v>
      </c>
      <c r="DP58" s="81">
        <f t="shared" si="46"/>
        <v>0</v>
      </c>
      <c r="DQ58" s="81" t="s">
        <v>1</v>
      </c>
      <c r="DR58" s="81">
        <f t="shared" si="47"/>
        <v>0</v>
      </c>
      <c r="DS58" s="81">
        <f t="shared" si="48"/>
        <v>0</v>
      </c>
    </row>
    <row r="59" spans="2:123" x14ac:dyDescent="0.3">
      <c r="N59" s="81">
        <f>IF(Q60=0,IF(Q59=0,,"x"),)</f>
        <v>0</v>
      </c>
      <c r="O59" s="81">
        <f t="shared" si="49"/>
        <v>0</v>
      </c>
      <c r="P59" s="81">
        <f t="shared" si="13"/>
        <v>0</v>
      </c>
      <c r="Q59" s="81">
        <f t="shared" si="50"/>
        <v>0</v>
      </c>
      <c r="R59" s="81">
        <f>IF(W59="",,SUM($W$4:W59))</f>
        <v>0</v>
      </c>
      <c r="S59" s="81">
        <f t="shared" si="14"/>
        <v>0</v>
      </c>
      <c r="T59" s="81">
        <f t="shared" si="51"/>
        <v>0</v>
      </c>
      <c r="U59" s="81">
        <f t="shared" si="15"/>
        <v>0</v>
      </c>
      <c r="V59" s="81" t="str">
        <f t="shared" ca="1" si="16"/>
        <v/>
      </c>
      <c r="X59" s="81">
        <f t="shared" si="55"/>
        <v>0</v>
      </c>
      <c r="Y59" s="81">
        <f t="shared" si="56"/>
        <v>0</v>
      </c>
      <c r="AE59" s="81">
        <v>59</v>
      </c>
      <c r="AI59" s="81">
        <v>56</v>
      </c>
      <c r="AJ59" s="81" t="str">
        <f t="shared" si="0"/>
        <v>April 23</v>
      </c>
      <c r="AK59" s="81" t="str">
        <f t="shared" si="53"/>
        <v>April</v>
      </c>
      <c r="AL59" s="81">
        <f t="shared" si="54"/>
        <v>23</v>
      </c>
      <c r="AM59" s="81" t="str">
        <f t="shared" si="17"/>
        <v>='April 23'!</v>
      </c>
      <c r="AN59" s="81" t="str">
        <f t="shared" si="7"/>
        <v>='April 23'!C27</v>
      </c>
      <c r="AO59" s="81" t="s">
        <v>1059</v>
      </c>
      <c r="AR59" s="81" t="s">
        <v>119</v>
      </c>
      <c r="AS59" s="83" t="str">
        <f t="shared" si="1"/>
        <v>='April 23'!C6</v>
      </c>
      <c r="AT59" s="83">
        <f t="shared" si="2"/>
        <v>0</v>
      </c>
      <c r="AV59" s="81" t="s">
        <v>420</v>
      </c>
      <c r="AW59" s="81" t="s">
        <v>1923</v>
      </c>
      <c r="AX59" s="81" t="s">
        <v>1924</v>
      </c>
      <c r="AY59" s="81" t="s">
        <v>1925</v>
      </c>
      <c r="AZ59" s="81" t="s">
        <v>1926</v>
      </c>
      <c r="BA59" s="81" t="s">
        <v>1927</v>
      </c>
      <c r="BB59" s="81" t="s">
        <v>1928</v>
      </c>
      <c r="BC59" s="81" t="s">
        <v>1929</v>
      </c>
      <c r="BD59" s="81" t="s">
        <v>1930</v>
      </c>
      <c r="BE59" s="81" t="s">
        <v>1931</v>
      </c>
      <c r="BF59" s="81" t="s">
        <v>1932</v>
      </c>
      <c r="BG59" s="81" t="s">
        <v>1933</v>
      </c>
      <c r="BH59" s="81" t="s">
        <v>4676</v>
      </c>
      <c r="BI59" s="81" t="s">
        <v>4980</v>
      </c>
      <c r="BJ59" s="81" t="s">
        <v>119</v>
      </c>
      <c r="BL59" s="81" t="s">
        <v>723</v>
      </c>
      <c r="BM59" s="81">
        <v>56</v>
      </c>
      <c r="BN59" s="81" t="str">
        <f t="shared" si="3"/>
        <v>='April 23'!C12</v>
      </c>
      <c r="BP59" s="81" t="str">
        <f t="shared" ca="1" si="18"/>
        <v/>
      </c>
      <c r="BR59" s="84">
        <f t="shared" si="8"/>
        <v>0</v>
      </c>
      <c r="BS59" s="84">
        <f t="shared" si="9"/>
        <v>0</v>
      </c>
      <c r="CA59" s="81" t="s">
        <v>2</v>
      </c>
      <c r="CB59" s="81">
        <f t="shared" si="19"/>
        <v>0</v>
      </c>
      <c r="CC59" s="81">
        <f t="shared" si="20"/>
        <v>0</v>
      </c>
      <c r="CD59" s="81" t="s">
        <v>16</v>
      </c>
      <c r="CE59" s="81">
        <f t="shared" si="21"/>
        <v>0</v>
      </c>
      <c r="CF59" s="81">
        <f t="shared" si="22"/>
        <v>0</v>
      </c>
      <c r="CG59" s="81" t="s">
        <v>5</v>
      </c>
      <c r="CH59" s="81">
        <f t="shared" si="23"/>
        <v>0</v>
      </c>
      <c r="CI59" s="81">
        <f t="shared" si="24"/>
        <v>0</v>
      </c>
      <c r="CJ59" s="81" t="s">
        <v>18</v>
      </c>
      <c r="CK59" s="81">
        <f t="shared" si="25"/>
        <v>0</v>
      </c>
      <c r="CL59" s="81">
        <f t="shared" si="26"/>
        <v>0</v>
      </c>
      <c r="CM59" s="81" t="s">
        <v>4</v>
      </c>
      <c r="CN59" s="81">
        <f t="shared" si="27"/>
        <v>0</v>
      </c>
      <c r="CO59" s="81">
        <f t="shared" si="28"/>
        <v>0</v>
      </c>
      <c r="CP59" s="81" t="s">
        <v>22</v>
      </c>
      <c r="CQ59" s="81">
        <f t="shared" si="29"/>
        <v>0</v>
      </c>
      <c r="CR59" s="81">
        <f t="shared" si="30"/>
        <v>0</v>
      </c>
      <c r="CS59" s="81" t="s">
        <v>21</v>
      </c>
      <c r="CT59" s="81">
        <f t="shared" si="31"/>
        <v>0</v>
      </c>
      <c r="CU59" s="81">
        <f t="shared" si="32"/>
        <v>0</v>
      </c>
      <c r="CV59" s="81" t="s">
        <v>998</v>
      </c>
      <c r="CW59" s="81">
        <f t="shared" si="33"/>
        <v>0</v>
      </c>
      <c r="CX59" s="81">
        <f t="shared" si="34"/>
        <v>0</v>
      </c>
      <c r="CY59" s="81" t="s">
        <v>19</v>
      </c>
      <c r="CZ59" s="81">
        <f t="shared" si="35"/>
        <v>0</v>
      </c>
      <c r="DA59" s="81">
        <f t="shared" si="36"/>
        <v>0</v>
      </c>
      <c r="DB59" s="81" t="s">
        <v>20</v>
      </c>
      <c r="DC59" s="81">
        <f t="shared" si="37"/>
        <v>0</v>
      </c>
      <c r="DD59" s="81">
        <f t="shared" si="38"/>
        <v>0</v>
      </c>
      <c r="DE59" s="81" t="s">
        <v>23</v>
      </c>
      <c r="DF59" s="81">
        <f t="shared" si="39"/>
        <v>0</v>
      </c>
      <c r="DG59" s="81">
        <f t="shared" si="40"/>
        <v>0</v>
      </c>
      <c r="DH59" s="81" t="s">
        <v>15</v>
      </c>
      <c r="DI59" s="81">
        <f t="shared" si="41"/>
        <v>0</v>
      </c>
      <c r="DJ59" s="81">
        <f t="shared" si="42"/>
        <v>0</v>
      </c>
      <c r="DK59" s="81" t="s">
        <v>5281</v>
      </c>
      <c r="DL59" s="81">
        <f t="shared" si="43"/>
        <v>0</v>
      </c>
      <c r="DM59" s="81">
        <f t="shared" si="44"/>
        <v>0</v>
      </c>
      <c r="DN59" s="81" t="s">
        <v>7</v>
      </c>
      <c r="DO59" s="81">
        <f t="shared" si="45"/>
        <v>0</v>
      </c>
      <c r="DP59" s="81">
        <f t="shared" si="46"/>
        <v>0</v>
      </c>
      <c r="DQ59" s="81" t="s">
        <v>1</v>
      </c>
      <c r="DR59" s="81">
        <f t="shared" si="47"/>
        <v>0</v>
      </c>
      <c r="DS59" s="81">
        <f t="shared" si="48"/>
        <v>0</v>
      </c>
    </row>
    <row r="60" spans="2:123" x14ac:dyDescent="0.3">
      <c r="N60" s="81">
        <f>IF(Q61=0,IF(Q60=0,,"x"),)</f>
        <v>0</v>
      </c>
      <c r="O60" s="81">
        <f t="shared" si="49"/>
        <v>0</v>
      </c>
      <c r="P60" s="81">
        <f t="shared" si="13"/>
        <v>0</v>
      </c>
      <c r="Q60" s="81">
        <f t="shared" si="50"/>
        <v>0</v>
      </c>
      <c r="R60" s="81">
        <f>IF(W60="",,SUM($W$4:W60))</f>
        <v>0</v>
      </c>
      <c r="S60" s="81">
        <f t="shared" si="14"/>
        <v>0</v>
      </c>
      <c r="T60" s="81">
        <f t="shared" si="51"/>
        <v>0</v>
      </c>
      <c r="U60" s="81">
        <f t="shared" si="15"/>
        <v>0</v>
      </c>
      <c r="V60" s="81" t="str">
        <f t="shared" ca="1" si="16"/>
        <v/>
      </c>
      <c r="X60" s="81">
        <f t="shared" si="55"/>
        <v>0</v>
      </c>
      <c r="Y60" s="81">
        <f t="shared" si="56"/>
        <v>0</v>
      </c>
      <c r="AE60" s="81">
        <v>60</v>
      </c>
      <c r="AI60" s="81">
        <v>57</v>
      </c>
      <c r="AJ60" s="81" t="str">
        <f t="shared" si="0"/>
        <v>Maj 23</v>
      </c>
      <c r="AK60" s="81" t="str">
        <f t="shared" si="53"/>
        <v>Maj</v>
      </c>
      <c r="AL60" s="81">
        <f t="shared" si="54"/>
        <v>23</v>
      </c>
      <c r="AM60" s="81" t="str">
        <f t="shared" si="17"/>
        <v>='Maj 23'!</v>
      </c>
      <c r="AN60" s="81" t="str">
        <f t="shared" si="7"/>
        <v>='Maj 23'!C27</v>
      </c>
      <c r="AO60" s="81" t="s">
        <v>1060</v>
      </c>
      <c r="AR60" s="81" t="s">
        <v>120</v>
      </c>
      <c r="AS60" s="83" t="str">
        <f t="shared" si="1"/>
        <v>='Maj 23'!C6</v>
      </c>
      <c r="AT60" s="83">
        <f t="shared" si="2"/>
        <v>0</v>
      </c>
      <c r="AV60" s="81" t="s">
        <v>421</v>
      </c>
      <c r="AW60" s="81" t="s">
        <v>1934</v>
      </c>
      <c r="AX60" s="81" t="s">
        <v>1935</v>
      </c>
      <c r="AY60" s="81" t="s">
        <v>1936</v>
      </c>
      <c r="AZ60" s="81" t="s">
        <v>1937</v>
      </c>
      <c r="BA60" s="81" t="s">
        <v>1938</v>
      </c>
      <c r="BB60" s="81" t="s">
        <v>1939</v>
      </c>
      <c r="BC60" s="81" t="s">
        <v>1940</v>
      </c>
      <c r="BD60" s="81" t="s">
        <v>1941</v>
      </c>
      <c r="BE60" s="81" t="s">
        <v>1942</v>
      </c>
      <c r="BF60" s="81" t="s">
        <v>1943</v>
      </c>
      <c r="BG60" s="81" t="s">
        <v>1944</v>
      </c>
      <c r="BH60" s="81" t="s">
        <v>4677</v>
      </c>
      <c r="BI60" s="81" t="s">
        <v>4981</v>
      </c>
      <c r="BJ60" s="81" t="s">
        <v>120</v>
      </c>
      <c r="BL60" s="81" t="s">
        <v>724</v>
      </c>
      <c r="BM60" s="81">
        <v>57</v>
      </c>
      <c r="BN60" s="81" t="str">
        <f t="shared" si="3"/>
        <v>='Maj 23'!C12</v>
      </c>
      <c r="BP60" s="81" t="str">
        <f t="shared" ca="1" si="18"/>
        <v/>
      </c>
      <c r="BR60" s="84">
        <f t="shared" si="8"/>
        <v>0</v>
      </c>
      <c r="BS60" s="84">
        <f t="shared" si="9"/>
        <v>0</v>
      </c>
      <c r="CA60" s="81" t="s">
        <v>2</v>
      </c>
      <c r="CB60" s="81">
        <f t="shared" si="19"/>
        <v>0</v>
      </c>
      <c r="CC60" s="81">
        <f t="shared" si="20"/>
        <v>0</v>
      </c>
      <c r="CD60" s="81" t="s">
        <v>16</v>
      </c>
      <c r="CE60" s="81">
        <f t="shared" si="21"/>
        <v>0</v>
      </c>
      <c r="CF60" s="81">
        <f t="shared" si="22"/>
        <v>0</v>
      </c>
      <c r="CG60" s="81" t="s">
        <v>5</v>
      </c>
      <c r="CH60" s="81">
        <f t="shared" si="23"/>
        <v>0</v>
      </c>
      <c r="CI60" s="81">
        <f t="shared" si="24"/>
        <v>0</v>
      </c>
      <c r="CJ60" s="81" t="s">
        <v>18</v>
      </c>
      <c r="CK60" s="81">
        <f t="shared" si="25"/>
        <v>0</v>
      </c>
      <c r="CL60" s="81">
        <f t="shared" si="26"/>
        <v>0</v>
      </c>
      <c r="CM60" s="81" t="s">
        <v>4</v>
      </c>
      <c r="CN60" s="81">
        <f t="shared" si="27"/>
        <v>0</v>
      </c>
      <c r="CO60" s="81">
        <f t="shared" si="28"/>
        <v>0</v>
      </c>
      <c r="CP60" s="81" t="s">
        <v>22</v>
      </c>
      <c r="CQ60" s="81">
        <f t="shared" si="29"/>
        <v>0</v>
      </c>
      <c r="CR60" s="81">
        <f t="shared" si="30"/>
        <v>0</v>
      </c>
      <c r="CS60" s="81" t="s">
        <v>21</v>
      </c>
      <c r="CT60" s="81">
        <f t="shared" si="31"/>
        <v>0</v>
      </c>
      <c r="CU60" s="81">
        <f t="shared" si="32"/>
        <v>0</v>
      </c>
      <c r="CV60" s="81" t="s">
        <v>998</v>
      </c>
      <c r="CW60" s="81">
        <f t="shared" si="33"/>
        <v>0</v>
      </c>
      <c r="CX60" s="81">
        <f t="shared" si="34"/>
        <v>0</v>
      </c>
      <c r="CY60" s="81" t="s">
        <v>19</v>
      </c>
      <c r="CZ60" s="81">
        <f t="shared" si="35"/>
        <v>0</v>
      </c>
      <c r="DA60" s="81">
        <f t="shared" si="36"/>
        <v>0</v>
      </c>
      <c r="DB60" s="81" t="s">
        <v>20</v>
      </c>
      <c r="DC60" s="81">
        <f t="shared" si="37"/>
        <v>0</v>
      </c>
      <c r="DD60" s="81">
        <f t="shared" si="38"/>
        <v>0</v>
      </c>
      <c r="DE60" s="81" t="s">
        <v>23</v>
      </c>
      <c r="DF60" s="81">
        <f t="shared" si="39"/>
        <v>0</v>
      </c>
      <c r="DG60" s="81">
        <f t="shared" si="40"/>
        <v>0</v>
      </c>
      <c r="DH60" s="81" t="s">
        <v>15</v>
      </c>
      <c r="DI60" s="81">
        <f t="shared" si="41"/>
        <v>0</v>
      </c>
      <c r="DJ60" s="81">
        <f t="shared" si="42"/>
        <v>0</v>
      </c>
      <c r="DK60" s="81" t="s">
        <v>5282</v>
      </c>
      <c r="DL60" s="81">
        <f t="shared" si="43"/>
        <v>0</v>
      </c>
      <c r="DM60" s="81">
        <f t="shared" si="44"/>
        <v>0</v>
      </c>
      <c r="DN60" s="81" t="s">
        <v>7</v>
      </c>
      <c r="DO60" s="81">
        <f t="shared" si="45"/>
        <v>0</v>
      </c>
      <c r="DP60" s="81">
        <f t="shared" si="46"/>
        <v>0</v>
      </c>
      <c r="DQ60" s="81" t="s">
        <v>1</v>
      </c>
      <c r="DR60" s="81">
        <f t="shared" si="47"/>
        <v>0</v>
      </c>
      <c r="DS60" s="81">
        <f t="shared" si="48"/>
        <v>0</v>
      </c>
    </row>
    <row r="61" spans="2:123" x14ac:dyDescent="0.3">
      <c r="N61" s="81">
        <f>IF(Q62=0,IF(Q61=0,,"x"),)</f>
        <v>0</v>
      </c>
      <c r="O61" s="81">
        <f t="shared" si="49"/>
        <v>0</v>
      </c>
      <c r="P61" s="81">
        <f t="shared" si="13"/>
        <v>0</v>
      </c>
      <c r="Q61" s="81">
        <f t="shared" si="50"/>
        <v>0</v>
      </c>
      <c r="R61" s="81">
        <f>IF(W61="",,SUM($W$4:W61))</f>
        <v>0</v>
      </c>
      <c r="S61" s="81">
        <f t="shared" si="14"/>
        <v>0</v>
      </c>
      <c r="T61" s="81">
        <f t="shared" si="51"/>
        <v>0</v>
      </c>
      <c r="U61" s="81">
        <f t="shared" si="15"/>
        <v>0</v>
      </c>
      <c r="V61" s="81" t="str">
        <f t="shared" ca="1" si="16"/>
        <v/>
      </c>
      <c r="X61" s="81">
        <f t="shared" si="55"/>
        <v>0</v>
      </c>
      <c r="Y61" s="81">
        <f t="shared" si="56"/>
        <v>0</v>
      </c>
      <c r="AE61" s="81">
        <v>61</v>
      </c>
      <c r="AI61" s="81">
        <v>58</v>
      </c>
      <c r="AJ61" s="81" t="str">
        <f t="shared" si="0"/>
        <v>Juni 23</v>
      </c>
      <c r="AK61" s="81" t="str">
        <f t="shared" si="53"/>
        <v>Juni</v>
      </c>
      <c r="AL61" s="81">
        <f t="shared" si="54"/>
        <v>23</v>
      </c>
      <c r="AM61" s="81" t="str">
        <f t="shared" si="17"/>
        <v>='Juni 23'!</v>
      </c>
      <c r="AN61" s="81" t="str">
        <f t="shared" si="7"/>
        <v>='Juni 23'!C27</v>
      </c>
      <c r="AO61" s="81" t="s">
        <v>1061</v>
      </c>
      <c r="AR61" s="81" t="s">
        <v>121</v>
      </c>
      <c r="AS61" s="83" t="str">
        <f t="shared" si="1"/>
        <v>='Juni 23'!C6</v>
      </c>
      <c r="AT61" s="83">
        <f t="shared" si="2"/>
        <v>0</v>
      </c>
      <c r="AV61" s="81" t="s">
        <v>422</v>
      </c>
      <c r="AW61" s="81" t="s">
        <v>1945</v>
      </c>
      <c r="AX61" s="81" t="s">
        <v>1946</v>
      </c>
      <c r="AY61" s="81" t="s">
        <v>1947</v>
      </c>
      <c r="AZ61" s="81" t="s">
        <v>1948</v>
      </c>
      <c r="BA61" s="81" t="s">
        <v>1949</v>
      </c>
      <c r="BB61" s="81" t="s">
        <v>1950</v>
      </c>
      <c r="BC61" s="81" t="s">
        <v>1951</v>
      </c>
      <c r="BD61" s="81" t="s">
        <v>1952</v>
      </c>
      <c r="BE61" s="81" t="s">
        <v>1953</v>
      </c>
      <c r="BF61" s="81" t="s">
        <v>1954</v>
      </c>
      <c r="BG61" s="81" t="s">
        <v>1955</v>
      </c>
      <c r="BH61" s="81" t="s">
        <v>4678</v>
      </c>
      <c r="BI61" s="81" t="s">
        <v>4982</v>
      </c>
      <c r="BJ61" s="81" t="s">
        <v>121</v>
      </c>
      <c r="BL61" s="81" t="s">
        <v>725</v>
      </c>
      <c r="BM61" s="81">
        <v>58</v>
      </c>
      <c r="BN61" s="81" t="str">
        <f t="shared" si="3"/>
        <v>='Juni 23'!C12</v>
      </c>
      <c r="BP61" s="81" t="str">
        <f t="shared" ca="1" si="18"/>
        <v/>
      </c>
      <c r="BR61" s="84">
        <f t="shared" si="8"/>
        <v>0</v>
      </c>
      <c r="BS61" s="84">
        <f t="shared" si="9"/>
        <v>0</v>
      </c>
      <c r="CA61" s="81" t="s">
        <v>2</v>
      </c>
      <c r="CB61" s="81">
        <f t="shared" si="19"/>
        <v>0</v>
      </c>
      <c r="CC61" s="81">
        <f t="shared" si="20"/>
        <v>0</v>
      </c>
      <c r="CD61" s="81" t="s">
        <v>16</v>
      </c>
      <c r="CE61" s="81">
        <f t="shared" si="21"/>
        <v>0</v>
      </c>
      <c r="CF61" s="81">
        <f t="shared" si="22"/>
        <v>0</v>
      </c>
      <c r="CG61" s="81" t="s">
        <v>5</v>
      </c>
      <c r="CH61" s="81">
        <f t="shared" si="23"/>
        <v>0</v>
      </c>
      <c r="CI61" s="81">
        <f t="shared" si="24"/>
        <v>0</v>
      </c>
      <c r="CJ61" s="81" t="s">
        <v>18</v>
      </c>
      <c r="CK61" s="81">
        <f t="shared" si="25"/>
        <v>0</v>
      </c>
      <c r="CL61" s="81">
        <f t="shared" si="26"/>
        <v>0</v>
      </c>
      <c r="CM61" s="81" t="s">
        <v>4</v>
      </c>
      <c r="CN61" s="81">
        <f t="shared" si="27"/>
        <v>0</v>
      </c>
      <c r="CO61" s="81">
        <f t="shared" si="28"/>
        <v>0</v>
      </c>
      <c r="CP61" s="81" t="s">
        <v>22</v>
      </c>
      <c r="CQ61" s="81">
        <f t="shared" si="29"/>
        <v>0</v>
      </c>
      <c r="CR61" s="81">
        <f t="shared" si="30"/>
        <v>0</v>
      </c>
      <c r="CS61" s="81" t="s">
        <v>21</v>
      </c>
      <c r="CT61" s="81">
        <f t="shared" si="31"/>
        <v>0</v>
      </c>
      <c r="CU61" s="81">
        <f t="shared" si="32"/>
        <v>0</v>
      </c>
      <c r="CV61" s="81" t="s">
        <v>998</v>
      </c>
      <c r="CW61" s="81">
        <f t="shared" si="33"/>
        <v>0</v>
      </c>
      <c r="CX61" s="81">
        <f t="shared" si="34"/>
        <v>0</v>
      </c>
      <c r="CY61" s="81" t="s">
        <v>19</v>
      </c>
      <c r="CZ61" s="81">
        <f t="shared" si="35"/>
        <v>0</v>
      </c>
      <c r="DA61" s="81">
        <f t="shared" si="36"/>
        <v>0</v>
      </c>
      <c r="DB61" s="81" t="s">
        <v>20</v>
      </c>
      <c r="DC61" s="81">
        <f t="shared" si="37"/>
        <v>0</v>
      </c>
      <c r="DD61" s="81">
        <f t="shared" si="38"/>
        <v>0</v>
      </c>
      <c r="DE61" s="81" t="s">
        <v>23</v>
      </c>
      <c r="DF61" s="81">
        <f t="shared" si="39"/>
        <v>0</v>
      </c>
      <c r="DG61" s="81">
        <f t="shared" si="40"/>
        <v>0</v>
      </c>
      <c r="DH61" s="81" t="s">
        <v>15</v>
      </c>
      <c r="DI61" s="81">
        <f t="shared" si="41"/>
        <v>0</v>
      </c>
      <c r="DJ61" s="81">
        <f t="shared" si="42"/>
        <v>0</v>
      </c>
      <c r="DK61" s="81" t="s">
        <v>5283</v>
      </c>
      <c r="DL61" s="81">
        <f t="shared" si="43"/>
        <v>0</v>
      </c>
      <c r="DM61" s="81">
        <f t="shared" si="44"/>
        <v>0</v>
      </c>
      <c r="DN61" s="81" t="s">
        <v>7</v>
      </c>
      <c r="DO61" s="81">
        <f t="shared" si="45"/>
        <v>0</v>
      </c>
      <c r="DP61" s="81">
        <f t="shared" si="46"/>
        <v>0</v>
      </c>
      <c r="DQ61" s="81" t="s">
        <v>1</v>
      </c>
      <c r="DR61" s="81">
        <f t="shared" si="47"/>
        <v>0</v>
      </c>
      <c r="DS61" s="81">
        <f t="shared" si="48"/>
        <v>0</v>
      </c>
    </row>
    <row r="62" spans="2:123" x14ac:dyDescent="0.3">
      <c r="N62" s="81">
        <f>IF(Q63=0,IF(Q62=0,,"x"),)</f>
        <v>0</v>
      </c>
      <c r="O62" s="81">
        <f t="shared" si="49"/>
        <v>0</v>
      </c>
      <c r="P62" s="81">
        <f t="shared" si="13"/>
        <v>0</v>
      </c>
      <c r="Q62" s="81">
        <f t="shared" si="50"/>
        <v>0</v>
      </c>
      <c r="R62" s="81">
        <f>IF(W62="",,SUM($W$4:W62))</f>
        <v>0</v>
      </c>
      <c r="S62" s="81">
        <f t="shared" si="14"/>
        <v>0</v>
      </c>
      <c r="T62" s="81">
        <f t="shared" si="51"/>
        <v>0</v>
      </c>
      <c r="U62" s="81">
        <f t="shared" si="15"/>
        <v>0</v>
      </c>
      <c r="V62" s="81" t="str">
        <f t="shared" ca="1" si="16"/>
        <v/>
      </c>
      <c r="X62" s="81">
        <f t="shared" si="55"/>
        <v>0</v>
      </c>
      <c r="Y62" s="81">
        <f t="shared" si="56"/>
        <v>0</v>
      </c>
      <c r="AE62" s="81">
        <v>62</v>
      </c>
      <c r="AI62" s="81">
        <v>59</v>
      </c>
      <c r="AJ62" s="81" t="str">
        <f t="shared" si="0"/>
        <v>Juli 23</v>
      </c>
      <c r="AK62" s="81" t="str">
        <f t="shared" si="53"/>
        <v>Juli</v>
      </c>
      <c r="AL62" s="81">
        <f t="shared" si="54"/>
        <v>23</v>
      </c>
      <c r="AM62" s="81" t="str">
        <f t="shared" si="17"/>
        <v>='Juli 23'!</v>
      </c>
      <c r="AN62" s="81" t="str">
        <f t="shared" si="7"/>
        <v>='Juli 23'!C27</v>
      </c>
      <c r="AO62" s="81" t="s">
        <v>1062</v>
      </c>
      <c r="AR62" s="81" t="s">
        <v>122</v>
      </c>
      <c r="AS62" s="83" t="str">
        <f t="shared" si="1"/>
        <v>='Juli 23'!C6</v>
      </c>
      <c r="AT62" s="83">
        <f t="shared" si="2"/>
        <v>0</v>
      </c>
      <c r="AV62" s="81" t="s">
        <v>423</v>
      </c>
      <c r="AW62" s="81" t="s">
        <v>1956</v>
      </c>
      <c r="AX62" s="81" t="s">
        <v>1957</v>
      </c>
      <c r="AY62" s="81" t="s">
        <v>1958</v>
      </c>
      <c r="AZ62" s="81" t="s">
        <v>1959</v>
      </c>
      <c r="BA62" s="81" t="s">
        <v>1960</v>
      </c>
      <c r="BB62" s="81" t="s">
        <v>1961</v>
      </c>
      <c r="BC62" s="81" t="s">
        <v>1962</v>
      </c>
      <c r="BD62" s="81" t="s">
        <v>1963</v>
      </c>
      <c r="BE62" s="81" t="s">
        <v>1964</v>
      </c>
      <c r="BF62" s="81" t="s">
        <v>1965</v>
      </c>
      <c r="BG62" s="81" t="s">
        <v>1966</v>
      </c>
      <c r="BH62" s="81" t="s">
        <v>4679</v>
      </c>
      <c r="BI62" s="81" t="s">
        <v>4983</v>
      </c>
      <c r="BJ62" s="81" t="s">
        <v>122</v>
      </c>
      <c r="BL62" s="81" t="s">
        <v>726</v>
      </c>
      <c r="BM62" s="81">
        <v>59</v>
      </c>
      <c r="BN62" s="81" t="str">
        <f t="shared" si="3"/>
        <v>='Juli 23'!C12</v>
      </c>
      <c r="BP62" s="81" t="str">
        <f t="shared" ca="1" si="18"/>
        <v/>
      </c>
      <c r="BR62" s="84">
        <f t="shared" si="8"/>
        <v>0</v>
      </c>
      <c r="BS62" s="84">
        <f t="shared" si="9"/>
        <v>0</v>
      </c>
      <c r="CA62" s="81" t="s">
        <v>2</v>
      </c>
      <c r="CB62" s="81">
        <f t="shared" si="19"/>
        <v>0</v>
      </c>
      <c r="CC62" s="81">
        <f t="shared" si="20"/>
        <v>0</v>
      </c>
      <c r="CD62" s="81" t="s">
        <v>16</v>
      </c>
      <c r="CE62" s="81">
        <f t="shared" si="21"/>
        <v>0</v>
      </c>
      <c r="CF62" s="81">
        <f t="shared" si="22"/>
        <v>0</v>
      </c>
      <c r="CG62" s="81" t="s">
        <v>5</v>
      </c>
      <c r="CH62" s="81">
        <f t="shared" si="23"/>
        <v>0</v>
      </c>
      <c r="CI62" s="81">
        <f t="shared" si="24"/>
        <v>0</v>
      </c>
      <c r="CJ62" s="81" t="s">
        <v>18</v>
      </c>
      <c r="CK62" s="81">
        <f t="shared" si="25"/>
        <v>0</v>
      </c>
      <c r="CL62" s="81">
        <f t="shared" si="26"/>
        <v>0</v>
      </c>
      <c r="CM62" s="81" t="s">
        <v>4</v>
      </c>
      <c r="CN62" s="81">
        <f t="shared" si="27"/>
        <v>0</v>
      </c>
      <c r="CO62" s="81">
        <f t="shared" si="28"/>
        <v>0</v>
      </c>
      <c r="CP62" s="81" t="s">
        <v>22</v>
      </c>
      <c r="CQ62" s="81">
        <f t="shared" si="29"/>
        <v>0</v>
      </c>
      <c r="CR62" s="81">
        <f t="shared" si="30"/>
        <v>0</v>
      </c>
      <c r="CS62" s="81" t="s">
        <v>21</v>
      </c>
      <c r="CT62" s="81">
        <f t="shared" si="31"/>
        <v>0</v>
      </c>
      <c r="CU62" s="81">
        <f t="shared" si="32"/>
        <v>0</v>
      </c>
      <c r="CV62" s="81" t="s">
        <v>998</v>
      </c>
      <c r="CW62" s="81">
        <f t="shared" si="33"/>
        <v>0</v>
      </c>
      <c r="CX62" s="81">
        <f t="shared" si="34"/>
        <v>0</v>
      </c>
      <c r="CY62" s="81" t="s">
        <v>19</v>
      </c>
      <c r="CZ62" s="81">
        <f t="shared" si="35"/>
        <v>0</v>
      </c>
      <c r="DA62" s="81">
        <f t="shared" si="36"/>
        <v>0</v>
      </c>
      <c r="DB62" s="81" t="s">
        <v>20</v>
      </c>
      <c r="DC62" s="81">
        <f t="shared" si="37"/>
        <v>0</v>
      </c>
      <c r="DD62" s="81">
        <f t="shared" si="38"/>
        <v>0</v>
      </c>
      <c r="DE62" s="81" t="s">
        <v>23</v>
      </c>
      <c r="DF62" s="81">
        <f t="shared" si="39"/>
        <v>0</v>
      </c>
      <c r="DG62" s="81">
        <f t="shared" si="40"/>
        <v>0</v>
      </c>
      <c r="DH62" s="81" t="s">
        <v>15</v>
      </c>
      <c r="DI62" s="81">
        <f t="shared" si="41"/>
        <v>0</v>
      </c>
      <c r="DJ62" s="81">
        <f t="shared" si="42"/>
        <v>0</v>
      </c>
      <c r="DK62" s="81" t="s">
        <v>5284</v>
      </c>
      <c r="DL62" s="81">
        <f t="shared" si="43"/>
        <v>0</v>
      </c>
      <c r="DM62" s="81">
        <f t="shared" si="44"/>
        <v>0</v>
      </c>
      <c r="DN62" s="81" t="s">
        <v>7</v>
      </c>
      <c r="DO62" s="81">
        <f t="shared" si="45"/>
        <v>0</v>
      </c>
      <c r="DP62" s="81">
        <f t="shared" si="46"/>
        <v>0</v>
      </c>
      <c r="DQ62" s="81" t="s">
        <v>1</v>
      </c>
      <c r="DR62" s="81">
        <f t="shared" si="47"/>
        <v>0</v>
      </c>
      <c r="DS62" s="81">
        <f t="shared" si="48"/>
        <v>0</v>
      </c>
    </row>
    <row r="63" spans="2:123" x14ac:dyDescent="0.3">
      <c r="N63" s="81">
        <f>IF(Q64=0,IF(Q63=0,,"x"),)</f>
        <v>0</v>
      </c>
      <c r="O63" s="81">
        <f t="shared" si="49"/>
        <v>0</v>
      </c>
      <c r="P63" s="81">
        <f t="shared" si="13"/>
        <v>0</v>
      </c>
      <c r="Q63" s="81">
        <f t="shared" si="50"/>
        <v>0</v>
      </c>
      <c r="R63" s="81">
        <f>IF(W63="",,SUM($W$4:W63))</f>
        <v>0</v>
      </c>
      <c r="S63" s="81">
        <f t="shared" si="14"/>
        <v>0</v>
      </c>
      <c r="T63" s="81">
        <f t="shared" si="51"/>
        <v>0</v>
      </c>
      <c r="U63" s="81">
        <f t="shared" si="15"/>
        <v>0</v>
      </c>
      <c r="V63" s="81" t="str">
        <f t="shared" ca="1" si="16"/>
        <v/>
      </c>
      <c r="X63" s="81">
        <f t="shared" si="55"/>
        <v>0</v>
      </c>
      <c r="Y63" s="81">
        <f t="shared" si="56"/>
        <v>0</v>
      </c>
      <c r="AE63" s="81">
        <v>63</v>
      </c>
      <c r="AI63" s="81">
        <v>60</v>
      </c>
      <c r="AJ63" s="81" t="str">
        <f t="shared" si="0"/>
        <v>Augusti 23</v>
      </c>
      <c r="AK63" s="81" t="str">
        <f t="shared" si="53"/>
        <v>Augusti</v>
      </c>
      <c r="AL63" s="81">
        <f t="shared" si="54"/>
        <v>23</v>
      </c>
      <c r="AM63" s="81" t="str">
        <f t="shared" si="17"/>
        <v>='Augusti 23'!</v>
      </c>
      <c r="AN63" s="81" t="str">
        <f t="shared" si="7"/>
        <v>='Augusti 23'!C27</v>
      </c>
      <c r="AO63" s="81" t="s">
        <v>1063</v>
      </c>
      <c r="AR63" s="81" t="s">
        <v>123</v>
      </c>
      <c r="AS63" s="83" t="str">
        <f t="shared" si="1"/>
        <v>='Augusti 23'!C6</v>
      </c>
      <c r="AT63" s="83">
        <f t="shared" si="2"/>
        <v>0</v>
      </c>
      <c r="AV63" s="81" t="s">
        <v>424</v>
      </c>
      <c r="AW63" s="81" t="s">
        <v>1967</v>
      </c>
      <c r="AX63" s="81" t="s">
        <v>1968</v>
      </c>
      <c r="AY63" s="81" t="s">
        <v>1969</v>
      </c>
      <c r="AZ63" s="81" t="s">
        <v>1970</v>
      </c>
      <c r="BA63" s="81" t="s">
        <v>1971</v>
      </c>
      <c r="BB63" s="81" t="s">
        <v>1972</v>
      </c>
      <c r="BC63" s="81" t="s">
        <v>1973</v>
      </c>
      <c r="BD63" s="81" t="s">
        <v>1974</v>
      </c>
      <c r="BE63" s="81" t="s">
        <v>1975</v>
      </c>
      <c r="BF63" s="81" t="s">
        <v>1976</v>
      </c>
      <c r="BG63" s="81" t="s">
        <v>1977</v>
      </c>
      <c r="BH63" s="81" t="s">
        <v>4680</v>
      </c>
      <c r="BI63" s="81" t="s">
        <v>4984</v>
      </c>
      <c r="BJ63" s="81" t="s">
        <v>123</v>
      </c>
      <c r="BL63" s="81" t="s">
        <v>727</v>
      </c>
      <c r="BM63" s="81">
        <v>60</v>
      </c>
      <c r="BN63" s="81" t="str">
        <f t="shared" si="3"/>
        <v>='Augusti 23'!C12</v>
      </c>
      <c r="BP63" s="81" t="str">
        <f t="shared" ca="1" si="18"/>
        <v/>
      </c>
      <c r="BR63" s="84">
        <f t="shared" si="8"/>
        <v>0</v>
      </c>
      <c r="BS63" s="84">
        <f t="shared" si="9"/>
        <v>0</v>
      </c>
      <c r="CA63" s="81" t="s">
        <v>2</v>
      </c>
      <c r="CB63" s="81">
        <f t="shared" si="19"/>
        <v>0</v>
      </c>
      <c r="CC63" s="81">
        <f t="shared" si="20"/>
        <v>0</v>
      </c>
      <c r="CD63" s="81" t="s">
        <v>16</v>
      </c>
      <c r="CE63" s="81">
        <f t="shared" si="21"/>
        <v>0</v>
      </c>
      <c r="CF63" s="81">
        <f t="shared" si="22"/>
        <v>0</v>
      </c>
      <c r="CG63" s="81" t="s">
        <v>5</v>
      </c>
      <c r="CH63" s="81">
        <f t="shared" si="23"/>
        <v>0</v>
      </c>
      <c r="CI63" s="81">
        <f t="shared" si="24"/>
        <v>0</v>
      </c>
      <c r="CJ63" s="81" t="s">
        <v>18</v>
      </c>
      <c r="CK63" s="81">
        <f t="shared" si="25"/>
        <v>0</v>
      </c>
      <c r="CL63" s="81">
        <f t="shared" si="26"/>
        <v>0</v>
      </c>
      <c r="CM63" s="81" t="s">
        <v>4</v>
      </c>
      <c r="CN63" s="81">
        <f t="shared" si="27"/>
        <v>0</v>
      </c>
      <c r="CO63" s="81">
        <f t="shared" si="28"/>
        <v>0</v>
      </c>
      <c r="CP63" s="81" t="s">
        <v>22</v>
      </c>
      <c r="CQ63" s="81">
        <f t="shared" si="29"/>
        <v>0</v>
      </c>
      <c r="CR63" s="81">
        <f t="shared" si="30"/>
        <v>0</v>
      </c>
      <c r="CS63" s="81" t="s">
        <v>21</v>
      </c>
      <c r="CT63" s="81">
        <f t="shared" si="31"/>
        <v>0</v>
      </c>
      <c r="CU63" s="81">
        <f t="shared" si="32"/>
        <v>0</v>
      </c>
      <c r="CV63" s="81" t="s">
        <v>998</v>
      </c>
      <c r="CW63" s="81">
        <f t="shared" si="33"/>
        <v>0</v>
      </c>
      <c r="CX63" s="81">
        <f t="shared" si="34"/>
        <v>0</v>
      </c>
      <c r="CY63" s="81" t="s">
        <v>19</v>
      </c>
      <c r="CZ63" s="81">
        <f t="shared" si="35"/>
        <v>0</v>
      </c>
      <c r="DA63" s="81">
        <f t="shared" si="36"/>
        <v>0</v>
      </c>
      <c r="DB63" s="81" t="s">
        <v>20</v>
      </c>
      <c r="DC63" s="81">
        <f t="shared" si="37"/>
        <v>0</v>
      </c>
      <c r="DD63" s="81">
        <f t="shared" si="38"/>
        <v>0</v>
      </c>
      <c r="DE63" s="81" t="s">
        <v>23</v>
      </c>
      <c r="DF63" s="81">
        <f t="shared" si="39"/>
        <v>0</v>
      </c>
      <c r="DG63" s="81">
        <f t="shared" si="40"/>
        <v>0</v>
      </c>
      <c r="DH63" s="81" t="s">
        <v>15</v>
      </c>
      <c r="DI63" s="81">
        <f t="shared" si="41"/>
        <v>0</v>
      </c>
      <c r="DJ63" s="81">
        <f t="shared" si="42"/>
        <v>0</v>
      </c>
      <c r="DK63" s="81" t="s">
        <v>5285</v>
      </c>
      <c r="DL63" s="81">
        <f t="shared" si="43"/>
        <v>0</v>
      </c>
      <c r="DM63" s="81">
        <f t="shared" si="44"/>
        <v>0</v>
      </c>
      <c r="DN63" s="81" t="s">
        <v>7</v>
      </c>
      <c r="DO63" s="81">
        <f t="shared" si="45"/>
        <v>0</v>
      </c>
      <c r="DP63" s="81">
        <f t="shared" si="46"/>
        <v>0</v>
      </c>
      <c r="DQ63" s="81" t="s">
        <v>1</v>
      </c>
      <c r="DR63" s="81">
        <f t="shared" si="47"/>
        <v>0</v>
      </c>
      <c r="DS63" s="81">
        <f t="shared" si="48"/>
        <v>0</v>
      </c>
    </row>
    <row r="64" spans="2:123" x14ac:dyDescent="0.3">
      <c r="N64" s="81">
        <f>IF(Q65=0,IF(Q64=0,,"x"),)</f>
        <v>0</v>
      </c>
      <c r="O64" s="81">
        <f t="shared" si="49"/>
        <v>0</v>
      </c>
      <c r="P64" s="81">
        <f t="shared" si="13"/>
        <v>0</v>
      </c>
      <c r="Q64" s="81">
        <f t="shared" si="50"/>
        <v>0</v>
      </c>
      <c r="R64" s="81">
        <f>IF(W64="",,SUM($W$4:W64))</f>
        <v>0</v>
      </c>
      <c r="S64" s="81">
        <f t="shared" si="14"/>
        <v>0</v>
      </c>
      <c r="T64" s="81">
        <f t="shared" si="51"/>
        <v>0</v>
      </c>
      <c r="U64" s="81">
        <f t="shared" si="15"/>
        <v>0</v>
      </c>
      <c r="V64" s="81" t="str">
        <f t="shared" ca="1" si="16"/>
        <v/>
      </c>
      <c r="X64" s="81">
        <f t="shared" si="55"/>
        <v>0</v>
      </c>
      <c r="Y64" s="81">
        <f t="shared" si="56"/>
        <v>0</v>
      </c>
      <c r="AE64" s="81">
        <v>64</v>
      </c>
      <c r="AI64" s="81">
        <v>61</v>
      </c>
      <c r="AJ64" s="81" t="str">
        <f t="shared" si="0"/>
        <v>September 23</v>
      </c>
      <c r="AK64" s="81" t="str">
        <f t="shared" si="53"/>
        <v>September</v>
      </c>
      <c r="AL64" s="81">
        <f t="shared" si="54"/>
        <v>23</v>
      </c>
      <c r="AM64" s="81" t="str">
        <f t="shared" si="17"/>
        <v>='September 23'!</v>
      </c>
      <c r="AN64" s="81" t="str">
        <f t="shared" si="7"/>
        <v>='September 23'!C27</v>
      </c>
      <c r="AO64" s="81" t="s">
        <v>1064</v>
      </c>
      <c r="AR64" s="81" t="s">
        <v>124</v>
      </c>
      <c r="AS64" s="83" t="str">
        <f t="shared" si="1"/>
        <v>='September 23'!C6</v>
      </c>
      <c r="AT64" s="83">
        <f t="shared" si="2"/>
        <v>0</v>
      </c>
      <c r="AV64" s="81" t="s">
        <v>425</v>
      </c>
      <c r="AW64" s="81" t="s">
        <v>1978</v>
      </c>
      <c r="AX64" s="81" t="s">
        <v>1979</v>
      </c>
      <c r="AY64" s="81" t="s">
        <v>1980</v>
      </c>
      <c r="AZ64" s="81" t="s">
        <v>1981</v>
      </c>
      <c r="BA64" s="81" t="s">
        <v>1982</v>
      </c>
      <c r="BB64" s="81" t="s">
        <v>1983</v>
      </c>
      <c r="BC64" s="81" t="s">
        <v>1984</v>
      </c>
      <c r="BD64" s="81" t="s">
        <v>1985</v>
      </c>
      <c r="BE64" s="81" t="s">
        <v>1986</v>
      </c>
      <c r="BF64" s="81" t="s">
        <v>1987</v>
      </c>
      <c r="BG64" s="81" t="s">
        <v>1988</v>
      </c>
      <c r="BH64" s="81" t="s">
        <v>4681</v>
      </c>
      <c r="BI64" s="81" t="s">
        <v>4985</v>
      </c>
      <c r="BJ64" s="81" t="s">
        <v>124</v>
      </c>
      <c r="BL64" s="81" t="s">
        <v>728</v>
      </c>
      <c r="BM64" s="81">
        <v>61</v>
      </c>
      <c r="BN64" s="81" t="str">
        <f t="shared" si="3"/>
        <v>='September 23'!C12</v>
      </c>
      <c r="BP64" s="81" t="str">
        <f t="shared" ca="1" si="18"/>
        <v/>
      </c>
      <c r="BR64" s="84">
        <f t="shared" si="8"/>
        <v>0</v>
      </c>
      <c r="BS64" s="84">
        <f t="shared" si="9"/>
        <v>0</v>
      </c>
      <c r="CA64" s="81" t="s">
        <v>2</v>
      </c>
      <c r="CB64" s="81">
        <f t="shared" si="19"/>
        <v>0</v>
      </c>
      <c r="CC64" s="81">
        <f t="shared" si="20"/>
        <v>0</v>
      </c>
      <c r="CD64" s="81" t="s">
        <v>16</v>
      </c>
      <c r="CE64" s="81">
        <f t="shared" si="21"/>
        <v>0</v>
      </c>
      <c r="CF64" s="81">
        <f t="shared" si="22"/>
        <v>0</v>
      </c>
      <c r="CG64" s="81" t="s">
        <v>5</v>
      </c>
      <c r="CH64" s="81">
        <f t="shared" si="23"/>
        <v>0</v>
      </c>
      <c r="CI64" s="81">
        <f t="shared" si="24"/>
        <v>0</v>
      </c>
      <c r="CJ64" s="81" t="s">
        <v>18</v>
      </c>
      <c r="CK64" s="81">
        <f t="shared" si="25"/>
        <v>0</v>
      </c>
      <c r="CL64" s="81">
        <f t="shared" si="26"/>
        <v>0</v>
      </c>
      <c r="CM64" s="81" t="s">
        <v>4</v>
      </c>
      <c r="CN64" s="81">
        <f t="shared" si="27"/>
        <v>0</v>
      </c>
      <c r="CO64" s="81">
        <f t="shared" si="28"/>
        <v>0</v>
      </c>
      <c r="CP64" s="81" t="s">
        <v>22</v>
      </c>
      <c r="CQ64" s="81">
        <f t="shared" si="29"/>
        <v>0</v>
      </c>
      <c r="CR64" s="81">
        <f t="shared" si="30"/>
        <v>0</v>
      </c>
      <c r="CS64" s="81" t="s">
        <v>21</v>
      </c>
      <c r="CT64" s="81">
        <f t="shared" si="31"/>
        <v>0</v>
      </c>
      <c r="CU64" s="81">
        <f t="shared" si="32"/>
        <v>0</v>
      </c>
      <c r="CV64" s="81" t="s">
        <v>998</v>
      </c>
      <c r="CW64" s="81">
        <f t="shared" si="33"/>
        <v>0</v>
      </c>
      <c r="CX64" s="81">
        <f t="shared" si="34"/>
        <v>0</v>
      </c>
      <c r="CY64" s="81" t="s">
        <v>19</v>
      </c>
      <c r="CZ64" s="81">
        <f t="shared" si="35"/>
        <v>0</v>
      </c>
      <c r="DA64" s="81">
        <f t="shared" si="36"/>
        <v>0</v>
      </c>
      <c r="DB64" s="81" t="s">
        <v>20</v>
      </c>
      <c r="DC64" s="81">
        <f t="shared" si="37"/>
        <v>0</v>
      </c>
      <c r="DD64" s="81">
        <f t="shared" si="38"/>
        <v>0</v>
      </c>
      <c r="DE64" s="81" t="s">
        <v>23</v>
      </c>
      <c r="DF64" s="81">
        <f t="shared" si="39"/>
        <v>0</v>
      </c>
      <c r="DG64" s="81">
        <f t="shared" si="40"/>
        <v>0</v>
      </c>
      <c r="DH64" s="81" t="s">
        <v>15</v>
      </c>
      <c r="DI64" s="81">
        <f t="shared" si="41"/>
        <v>0</v>
      </c>
      <c r="DJ64" s="81">
        <f t="shared" si="42"/>
        <v>0</v>
      </c>
      <c r="DK64" s="81" t="s">
        <v>5286</v>
      </c>
      <c r="DL64" s="81">
        <f t="shared" si="43"/>
        <v>0</v>
      </c>
      <c r="DM64" s="81">
        <f t="shared" si="44"/>
        <v>0</v>
      </c>
      <c r="DN64" s="81" t="s">
        <v>7</v>
      </c>
      <c r="DO64" s="81">
        <f t="shared" si="45"/>
        <v>0</v>
      </c>
      <c r="DP64" s="81">
        <f t="shared" si="46"/>
        <v>0</v>
      </c>
      <c r="DQ64" s="81" t="s">
        <v>1</v>
      </c>
      <c r="DR64" s="81">
        <f t="shared" si="47"/>
        <v>0</v>
      </c>
      <c r="DS64" s="81">
        <f t="shared" si="48"/>
        <v>0</v>
      </c>
    </row>
    <row r="65" spans="14:123" x14ac:dyDescent="0.3">
      <c r="N65" s="81">
        <f>IF(Q66=0,IF(Q65=0,,"x"),)</f>
        <v>0</v>
      </c>
      <c r="O65" s="81">
        <f t="shared" si="49"/>
        <v>0</v>
      </c>
      <c r="P65" s="81">
        <f t="shared" si="13"/>
        <v>0</v>
      </c>
      <c r="Q65" s="81">
        <f t="shared" si="50"/>
        <v>0</v>
      </c>
      <c r="R65" s="81">
        <f>IF(W65="",,SUM($W$4:W65))</f>
        <v>0</v>
      </c>
      <c r="S65" s="81">
        <f t="shared" si="14"/>
        <v>0</v>
      </c>
      <c r="T65" s="81">
        <f t="shared" si="51"/>
        <v>0</v>
      </c>
      <c r="U65" s="81">
        <f t="shared" si="15"/>
        <v>0</v>
      </c>
      <c r="V65" s="81" t="str">
        <f t="shared" ca="1" si="16"/>
        <v/>
      </c>
      <c r="X65" s="81">
        <f t="shared" si="55"/>
        <v>0</v>
      </c>
      <c r="Y65" s="81">
        <f t="shared" si="56"/>
        <v>0</v>
      </c>
      <c r="AE65" s="81">
        <v>65</v>
      </c>
      <c r="AI65" s="81">
        <v>62</v>
      </c>
      <c r="AJ65" s="81" t="str">
        <f t="shared" si="0"/>
        <v>Oktober 23</v>
      </c>
      <c r="AK65" s="81" t="str">
        <f t="shared" si="53"/>
        <v>Oktober</v>
      </c>
      <c r="AL65" s="81">
        <f t="shared" si="54"/>
        <v>23</v>
      </c>
      <c r="AM65" s="81" t="str">
        <f t="shared" si="17"/>
        <v>='Oktober 23'!</v>
      </c>
      <c r="AN65" s="81" t="str">
        <f t="shared" si="7"/>
        <v>='Oktober 23'!C27</v>
      </c>
      <c r="AO65" s="81" t="s">
        <v>1065</v>
      </c>
      <c r="AR65" s="81" t="s">
        <v>125</v>
      </c>
      <c r="AS65" s="83" t="str">
        <f t="shared" si="1"/>
        <v>='Oktober 23'!C6</v>
      </c>
      <c r="AT65" s="83">
        <f t="shared" si="2"/>
        <v>0</v>
      </c>
      <c r="AV65" s="81" t="s">
        <v>426</v>
      </c>
      <c r="AW65" s="81" t="s">
        <v>1989</v>
      </c>
      <c r="AX65" s="81" t="s">
        <v>1990</v>
      </c>
      <c r="AY65" s="81" t="s">
        <v>1991</v>
      </c>
      <c r="AZ65" s="81" t="s">
        <v>1992</v>
      </c>
      <c r="BA65" s="81" t="s">
        <v>1993</v>
      </c>
      <c r="BB65" s="81" t="s">
        <v>1994</v>
      </c>
      <c r="BC65" s="81" t="s">
        <v>1995</v>
      </c>
      <c r="BD65" s="81" t="s">
        <v>1996</v>
      </c>
      <c r="BE65" s="81" t="s">
        <v>1997</v>
      </c>
      <c r="BF65" s="81" t="s">
        <v>1998</v>
      </c>
      <c r="BG65" s="81" t="s">
        <v>1999</v>
      </c>
      <c r="BH65" s="81" t="s">
        <v>4682</v>
      </c>
      <c r="BI65" s="81" t="s">
        <v>4986</v>
      </c>
      <c r="BJ65" s="81" t="s">
        <v>125</v>
      </c>
      <c r="BL65" s="81" t="s">
        <v>729</v>
      </c>
      <c r="BM65" s="81">
        <v>62</v>
      </c>
      <c r="BN65" s="81" t="str">
        <f t="shared" si="3"/>
        <v>='Oktober 23'!C12</v>
      </c>
      <c r="BP65" s="81" t="str">
        <f t="shared" ca="1" si="18"/>
        <v/>
      </c>
      <c r="BR65" s="84">
        <f t="shared" si="8"/>
        <v>0</v>
      </c>
      <c r="BS65" s="84">
        <f t="shared" si="9"/>
        <v>0</v>
      </c>
      <c r="CA65" s="81" t="s">
        <v>2</v>
      </c>
      <c r="CB65" s="81">
        <f t="shared" si="19"/>
        <v>0</v>
      </c>
      <c r="CC65" s="81">
        <f t="shared" si="20"/>
        <v>0</v>
      </c>
      <c r="CD65" s="81" t="s">
        <v>16</v>
      </c>
      <c r="CE65" s="81">
        <f t="shared" si="21"/>
        <v>0</v>
      </c>
      <c r="CF65" s="81">
        <f t="shared" si="22"/>
        <v>0</v>
      </c>
      <c r="CG65" s="81" t="s">
        <v>5</v>
      </c>
      <c r="CH65" s="81">
        <f t="shared" si="23"/>
        <v>0</v>
      </c>
      <c r="CI65" s="81">
        <f t="shared" si="24"/>
        <v>0</v>
      </c>
      <c r="CJ65" s="81" t="s">
        <v>18</v>
      </c>
      <c r="CK65" s="81">
        <f t="shared" si="25"/>
        <v>0</v>
      </c>
      <c r="CL65" s="81">
        <f t="shared" si="26"/>
        <v>0</v>
      </c>
      <c r="CM65" s="81" t="s">
        <v>4</v>
      </c>
      <c r="CN65" s="81">
        <f t="shared" si="27"/>
        <v>0</v>
      </c>
      <c r="CO65" s="81">
        <f t="shared" si="28"/>
        <v>0</v>
      </c>
      <c r="CP65" s="81" t="s">
        <v>22</v>
      </c>
      <c r="CQ65" s="81">
        <f t="shared" si="29"/>
        <v>0</v>
      </c>
      <c r="CR65" s="81">
        <f t="shared" si="30"/>
        <v>0</v>
      </c>
      <c r="CS65" s="81" t="s">
        <v>21</v>
      </c>
      <c r="CT65" s="81">
        <f t="shared" si="31"/>
        <v>0</v>
      </c>
      <c r="CU65" s="81">
        <f t="shared" si="32"/>
        <v>0</v>
      </c>
      <c r="CV65" s="81" t="s">
        <v>998</v>
      </c>
      <c r="CW65" s="81">
        <f t="shared" si="33"/>
        <v>0</v>
      </c>
      <c r="CX65" s="81">
        <f t="shared" si="34"/>
        <v>0</v>
      </c>
      <c r="CY65" s="81" t="s">
        <v>19</v>
      </c>
      <c r="CZ65" s="81">
        <f t="shared" si="35"/>
        <v>0</v>
      </c>
      <c r="DA65" s="81">
        <f t="shared" si="36"/>
        <v>0</v>
      </c>
      <c r="DB65" s="81" t="s">
        <v>20</v>
      </c>
      <c r="DC65" s="81">
        <f t="shared" si="37"/>
        <v>0</v>
      </c>
      <c r="DD65" s="81">
        <f t="shared" si="38"/>
        <v>0</v>
      </c>
      <c r="DE65" s="81" t="s">
        <v>23</v>
      </c>
      <c r="DF65" s="81">
        <f t="shared" si="39"/>
        <v>0</v>
      </c>
      <c r="DG65" s="81">
        <f t="shared" si="40"/>
        <v>0</v>
      </c>
      <c r="DH65" s="81" t="s">
        <v>15</v>
      </c>
      <c r="DI65" s="81">
        <f t="shared" si="41"/>
        <v>0</v>
      </c>
      <c r="DJ65" s="81">
        <f t="shared" si="42"/>
        <v>0</v>
      </c>
      <c r="DK65" s="81" t="s">
        <v>5287</v>
      </c>
      <c r="DL65" s="81">
        <f t="shared" si="43"/>
        <v>0</v>
      </c>
      <c r="DM65" s="81">
        <f t="shared" si="44"/>
        <v>0</v>
      </c>
      <c r="DN65" s="81" t="s">
        <v>7</v>
      </c>
      <c r="DO65" s="81">
        <f t="shared" si="45"/>
        <v>0</v>
      </c>
      <c r="DP65" s="81">
        <f t="shared" si="46"/>
        <v>0</v>
      </c>
      <c r="DQ65" s="81" t="s">
        <v>1</v>
      </c>
      <c r="DR65" s="81">
        <f t="shared" si="47"/>
        <v>0</v>
      </c>
      <c r="DS65" s="81">
        <f t="shared" si="48"/>
        <v>0</v>
      </c>
    </row>
    <row r="66" spans="14:123" x14ac:dyDescent="0.3">
      <c r="N66" s="81">
        <f>IF(Q67=0,IF(Q66=0,,"x"),)</f>
        <v>0</v>
      </c>
      <c r="O66" s="81">
        <f t="shared" si="49"/>
        <v>0</v>
      </c>
      <c r="P66" s="81">
        <f t="shared" si="13"/>
        <v>0</v>
      </c>
      <c r="Q66" s="81">
        <f t="shared" si="50"/>
        <v>0</v>
      </c>
      <c r="R66" s="81">
        <f>IF(W66="",,SUM($W$4:W66))</f>
        <v>0</v>
      </c>
      <c r="S66" s="81">
        <f t="shared" si="14"/>
        <v>0</v>
      </c>
      <c r="T66" s="81">
        <f t="shared" si="51"/>
        <v>0</v>
      </c>
      <c r="U66" s="81">
        <f t="shared" si="15"/>
        <v>0</v>
      </c>
      <c r="V66" s="81" t="str">
        <f t="shared" ca="1" si="16"/>
        <v/>
      </c>
      <c r="X66" s="81">
        <f t="shared" si="55"/>
        <v>0</v>
      </c>
      <c r="Y66" s="81">
        <f t="shared" si="56"/>
        <v>0</v>
      </c>
      <c r="AE66" s="81">
        <v>66</v>
      </c>
      <c r="AI66" s="81">
        <v>63</v>
      </c>
      <c r="AJ66" s="81" t="str">
        <f t="shared" si="0"/>
        <v>November 23</v>
      </c>
      <c r="AK66" s="81" t="str">
        <f t="shared" si="53"/>
        <v>November</v>
      </c>
      <c r="AL66" s="81">
        <f t="shared" si="54"/>
        <v>23</v>
      </c>
      <c r="AM66" s="81" t="str">
        <f t="shared" si="17"/>
        <v>='November 23'!</v>
      </c>
      <c r="AN66" s="81" t="str">
        <f t="shared" si="7"/>
        <v>='November 23'!C27</v>
      </c>
      <c r="AO66" s="81" t="s">
        <v>1066</v>
      </c>
      <c r="AR66" s="81" t="s">
        <v>126</v>
      </c>
      <c r="AS66" s="83" t="str">
        <f t="shared" si="1"/>
        <v>='November 23'!C6</v>
      </c>
      <c r="AT66" s="83">
        <f t="shared" si="2"/>
        <v>0</v>
      </c>
      <c r="AV66" s="81" t="s">
        <v>427</v>
      </c>
      <c r="AW66" s="81" t="s">
        <v>2000</v>
      </c>
      <c r="AX66" s="81" t="s">
        <v>2001</v>
      </c>
      <c r="AY66" s="81" t="s">
        <v>2002</v>
      </c>
      <c r="AZ66" s="81" t="s">
        <v>2003</v>
      </c>
      <c r="BA66" s="81" t="s">
        <v>2004</v>
      </c>
      <c r="BB66" s="81" t="s">
        <v>2005</v>
      </c>
      <c r="BC66" s="81" t="s">
        <v>2006</v>
      </c>
      <c r="BD66" s="81" t="s">
        <v>2007</v>
      </c>
      <c r="BE66" s="81" t="s">
        <v>2008</v>
      </c>
      <c r="BF66" s="81" t="s">
        <v>2009</v>
      </c>
      <c r="BG66" s="81" t="s">
        <v>2010</v>
      </c>
      <c r="BH66" s="81" t="s">
        <v>4683</v>
      </c>
      <c r="BI66" s="81" t="s">
        <v>4987</v>
      </c>
      <c r="BJ66" s="81" t="s">
        <v>126</v>
      </c>
      <c r="BL66" s="81" t="s">
        <v>730</v>
      </c>
      <c r="BM66" s="81">
        <v>63</v>
      </c>
      <c r="BN66" s="81" t="str">
        <f t="shared" si="3"/>
        <v>='November 23'!C12</v>
      </c>
      <c r="BP66" s="81" t="str">
        <f t="shared" ca="1" si="18"/>
        <v/>
      </c>
      <c r="BR66" s="84">
        <f t="shared" si="8"/>
        <v>0</v>
      </c>
      <c r="BS66" s="84">
        <f t="shared" si="9"/>
        <v>0</v>
      </c>
      <c r="CA66" s="81" t="s">
        <v>2</v>
      </c>
      <c r="CB66" s="81">
        <f t="shared" si="19"/>
        <v>0</v>
      </c>
      <c r="CC66" s="81">
        <f t="shared" si="20"/>
        <v>0</v>
      </c>
      <c r="CD66" s="81" t="s">
        <v>16</v>
      </c>
      <c r="CE66" s="81">
        <f t="shared" si="21"/>
        <v>0</v>
      </c>
      <c r="CF66" s="81">
        <f t="shared" si="22"/>
        <v>0</v>
      </c>
      <c r="CG66" s="81" t="s">
        <v>5</v>
      </c>
      <c r="CH66" s="81">
        <f t="shared" si="23"/>
        <v>0</v>
      </c>
      <c r="CI66" s="81">
        <f t="shared" si="24"/>
        <v>0</v>
      </c>
      <c r="CJ66" s="81" t="s">
        <v>18</v>
      </c>
      <c r="CK66" s="81">
        <f t="shared" si="25"/>
        <v>0</v>
      </c>
      <c r="CL66" s="81">
        <f t="shared" si="26"/>
        <v>0</v>
      </c>
      <c r="CM66" s="81" t="s">
        <v>4</v>
      </c>
      <c r="CN66" s="81">
        <f t="shared" si="27"/>
        <v>0</v>
      </c>
      <c r="CO66" s="81">
        <f t="shared" si="28"/>
        <v>0</v>
      </c>
      <c r="CP66" s="81" t="s">
        <v>22</v>
      </c>
      <c r="CQ66" s="81">
        <f t="shared" si="29"/>
        <v>0</v>
      </c>
      <c r="CR66" s="81">
        <f t="shared" si="30"/>
        <v>0</v>
      </c>
      <c r="CS66" s="81" t="s">
        <v>21</v>
      </c>
      <c r="CT66" s="81">
        <f t="shared" si="31"/>
        <v>0</v>
      </c>
      <c r="CU66" s="81">
        <f t="shared" si="32"/>
        <v>0</v>
      </c>
      <c r="CV66" s="81" t="s">
        <v>998</v>
      </c>
      <c r="CW66" s="81">
        <f t="shared" si="33"/>
        <v>0</v>
      </c>
      <c r="CX66" s="81">
        <f t="shared" si="34"/>
        <v>0</v>
      </c>
      <c r="CY66" s="81" t="s">
        <v>19</v>
      </c>
      <c r="CZ66" s="81">
        <f t="shared" si="35"/>
        <v>0</v>
      </c>
      <c r="DA66" s="81">
        <f t="shared" si="36"/>
        <v>0</v>
      </c>
      <c r="DB66" s="81" t="s">
        <v>20</v>
      </c>
      <c r="DC66" s="81">
        <f t="shared" si="37"/>
        <v>0</v>
      </c>
      <c r="DD66" s="81">
        <f t="shared" si="38"/>
        <v>0</v>
      </c>
      <c r="DE66" s="81" t="s">
        <v>23</v>
      </c>
      <c r="DF66" s="81">
        <f t="shared" si="39"/>
        <v>0</v>
      </c>
      <c r="DG66" s="81">
        <f t="shared" si="40"/>
        <v>0</v>
      </c>
      <c r="DH66" s="81" t="s">
        <v>15</v>
      </c>
      <c r="DI66" s="81">
        <f t="shared" si="41"/>
        <v>0</v>
      </c>
      <c r="DJ66" s="81">
        <f t="shared" si="42"/>
        <v>0</v>
      </c>
      <c r="DK66" s="81" t="s">
        <v>5288</v>
      </c>
      <c r="DL66" s="81">
        <f t="shared" si="43"/>
        <v>0</v>
      </c>
      <c r="DM66" s="81">
        <f t="shared" si="44"/>
        <v>0</v>
      </c>
      <c r="DN66" s="81" t="s">
        <v>7</v>
      </c>
      <c r="DO66" s="81">
        <f t="shared" si="45"/>
        <v>0</v>
      </c>
      <c r="DP66" s="81">
        <f t="shared" si="46"/>
        <v>0</v>
      </c>
      <c r="DQ66" s="81" t="s">
        <v>1</v>
      </c>
      <c r="DR66" s="81">
        <f t="shared" si="47"/>
        <v>0</v>
      </c>
      <c r="DS66" s="81">
        <f t="shared" si="48"/>
        <v>0</v>
      </c>
    </row>
    <row r="67" spans="14:123" x14ac:dyDescent="0.3">
      <c r="N67" s="81">
        <f>IF(Q68=0,IF(Q67=0,,"x"),)</f>
        <v>0</v>
      </c>
      <c r="O67" s="81">
        <f t="shared" si="49"/>
        <v>0</v>
      </c>
      <c r="P67" s="81">
        <f t="shared" si="13"/>
        <v>0</v>
      </c>
      <c r="Q67" s="81">
        <f t="shared" si="50"/>
        <v>0</v>
      </c>
      <c r="R67" s="81">
        <f>IF(W67="",,SUM($W$4:W67))</f>
        <v>0</v>
      </c>
      <c r="S67" s="81">
        <f t="shared" si="14"/>
        <v>0</v>
      </c>
      <c r="T67" s="81">
        <f t="shared" si="51"/>
        <v>0</v>
      </c>
      <c r="U67" s="81">
        <f t="shared" si="15"/>
        <v>0</v>
      </c>
      <c r="V67" s="81" t="str">
        <f t="shared" ca="1" si="16"/>
        <v/>
      </c>
      <c r="X67" s="81">
        <f t="shared" si="55"/>
        <v>0</v>
      </c>
      <c r="Y67" s="81">
        <f t="shared" si="56"/>
        <v>0</v>
      </c>
      <c r="AE67" s="81">
        <v>67</v>
      </c>
      <c r="AI67" s="81">
        <v>64</v>
      </c>
      <c r="AJ67" s="81" t="str">
        <f t="shared" ref="AJ67:AJ130" si="57">AK67&amp;" "&amp;AL67</f>
        <v>December 23</v>
      </c>
      <c r="AK67" s="81" t="str">
        <f t="shared" si="53"/>
        <v>December</v>
      </c>
      <c r="AL67" s="81">
        <f t="shared" si="54"/>
        <v>23</v>
      </c>
      <c r="AM67" s="81" t="str">
        <f t="shared" si="17"/>
        <v>='December 23'!</v>
      </c>
      <c r="AN67" s="81" t="str">
        <f t="shared" si="7"/>
        <v>='December 23'!C27</v>
      </c>
      <c r="AO67" s="81" t="s">
        <v>1067</v>
      </c>
      <c r="AR67" s="81" t="s">
        <v>127</v>
      </c>
      <c r="AS67" s="83" t="str">
        <f t="shared" ref="AS67:AS130" si="58">IF(AR67&gt;$B$12*(1+$C$12),AR67,0)</f>
        <v>='December 23'!C6</v>
      </c>
      <c r="AT67" s="83">
        <f t="shared" ref="AT67:AT130" si="59">IF(AR67&lt;$B$12*(1-$C$12),AR67,0)</f>
        <v>0</v>
      </c>
      <c r="AV67" s="81" t="s">
        <v>428</v>
      </c>
      <c r="AW67" s="81" t="s">
        <v>2011</v>
      </c>
      <c r="AX67" s="81" t="s">
        <v>2012</v>
      </c>
      <c r="AY67" s="81" t="s">
        <v>2013</v>
      </c>
      <c r="AZ67" s="81" t="s">
        <v>2014</v>
      </c>
      <c r="BA67" s="81" t="s">
        <v>2015</v>
      </c>
      <c r="BB67" s="81" t="s">
        <v>2016</v>
      </c>
      <c r="BC67" s="81" t="s">
        <v>2017</v>
      </c>
      <c r="BD67" s="81" t="s">
        <v>2018</v>
      </c>
      <c r="BE67" s="81" t="s">
        <v>2019</v>
      </c>
      <c r="BF67" s="81" t="s">
        <v>2020</v>
      </c>
      <c r="BG67" s="81" t="s">
        <v>2021</v>
      </c>
      <c r="BH67" s="81" t="s">
        <v>4684</v>
      </c>
      <c r="BI67" s="81" t="s">
        <v>4988</v>
      </c>
      <c r="BJ67" s="81" t="s">
        <v>127</v>
      </c>
      <c r="BL67" s="81" t="s">
        <v>731</v>
      </c>
      <c r="BM67" s="81">
        <v>64</v>
      </c>
      <c r="BN67" s="81" t="str">
        <f t="shared" ref="BN67:BN130" si="60">IF($A$5=$A$18,AV67,IF($A$5=$A$19,AW67,IF($A$5=$A$20,AX67,IF($A$5=$A$21,AY67,IF($A$5=$A$22,AZ67,IF($A$5=$A$23,BA67,IF($A$5=$A$24,BB67,IF($A$5=$A$25,BC67,IF($A$5=$A$26,BD67,IF($A$5=$A$27,BE67,IF($A$5=$A$28,BF67,IF($A$5=$A$29,BG67,IF($A$5=$A$30,BH67,IF($A$5=$A$12,BJ67,IF($A$5=$A$31,BI67,"")))))))))))))))</f>
        <v>='December 23'!C12</v>
      </c>
      <c r="BP67" s="81" t="str">
        <f t="shared" ca="1" si="18"/>
        <v/>
      </c>
      <c r="BR67" s="84">
        <f t="shared" si="8"/>
        <v>0</v>
      </c>
      <c r="BS67" s="84">
        <f t="shared" si="9"/>
        <v>0</v>
      </c>
      <c r="CA67" s="81" t="s">
        <v>2</v>
      </c>
      <c r="CB67" s="81">
        <f t="shared" si="19"/>
        <v>0</v>
      </c>
      <c r="CC67" s="81">
        <f t="shared" si="20"/>
        <v>0</v>
      </c>
      <c r="CD67" s="81" t="s">
        <v>16</v>
      </c>
      <c r="CE67" s="81">
        <f t="shared" si="21"/>
        <v>0</v>
      </c>
      <c r="CF67" s="81">
        <f t="shared" si="22"/>
        <v>0</v>
      </c>
      <c r="CG67" s="81" t="s">
        <v>5</v>
      </c>
      <c r="CH67" s="81">
        <f t="shared" si="23"/>
        <v>0</v>
      </c>
      <c r="CI67" s="81">
        <f t="shared" si="24"/>
        <v>0</v>
      </c>
      <c r="CJ67" s="81" t="s">
        <v>18</v>
      </c>
      <c r="CK67" s="81">
        <f t="shared" si="25"/>
        <v>0</v>
      </c>
      <c r="CL67" s="81">
        <f t="shared" si="26"/>
        <v>0</v>
      </c>
      <c r="CM67" s="81" t="s">
        <v>4</v>
      </c>
      <c r="CN67" s="81">
        <f t="shared" si="27"/>
        <v>0</v>
      </c>
      <c r="CO67" s="81">
        <f t="shared" si="28"/>
        <v>0</v>
      </c>
      <c r="CP67" s="81" t="s">
        <v>22</v>
      </c>
      <c r="CQ67" s="81">
        <f t="shared" si="29"/>
        <v>0</v>
      </c>
      <c r="CR67" s="81">
        <f t="shared" si="30"/>
        <v>0</v>
      </c>
      <c r="CS67" s="81" t="s">
        <v>21</v>
      </c>
      <c r="CT67" s="81">
        <f t="shared" si="31"/>
        <v>0</v>
      </c>
      <c r="CU67" s="81">
        <f t="shared" si="32"/>
        <v>0</v>
      </c>
      <c r="CV67" s="81" t="s">
        <v>998</v>
      </c>
      <c r="CW67" s="81">
        <f t="shared" si="33"/>
        <v>0</v>
      </c>
      <c r="CX67" s="81">
        <f t="shared" si="34"/>
        <v>0</v>
      </c>
      <c r="CY67" s="81" t="s">
        <v>19</v>
      </c>
      <c r="CZ67" s="81">
        <f t="shared" si="35"/>
        <v>0</v>
      </c>
      <c r="DA67" s="81">
        <f t="shared" si="36"/>
        <v>0</v>
      </c>
      <c r="DB67" s="81" t="s">
        <v>20</v>
      </c>
      <c r="DC67" s="81">
        <f t="shared" si="37"/>
        <v>0</v>
      </c>
      <c r="DD67" s="81">
        <f t="shared" si="38"/>
        <v>0</v>
      </c>
      <c r="DE67" s="81" t="s">
        <v>23</v>
      </c>
      <c r="DF67" s="81">
        <f t="shared" si="39"/>
        <v>0</v>
      </c>
      <c r="DG67" s="81">
        <f t="shared" si="40"/>
        <v>0</v>
      </c>
      <c r="DH67" s="81" t="s">
        <v>15</v>
      </c>
      <c r="DI67" s="81">
        <f t="shared" si="41"/>
        <v>0</v>
      </c>
      <c r="DJ67" s="81">
        <f t="shared" si="42"/>
        <v>0</v>
      </c>
      <c r="DK67" s="81" t="s">
        <v>5289</v>
      </c>
      <c r="DL67" s="81">
        <f t="shared" si="43"/>
        <v>0</v>
      </c>
      <c r="DM67" s="81">
        <f t="shared" si="44"/>
        <v>0</v>
      </c>
      <c r="DN67" s="81" t="s">
        <v>7</v>
      </c>
      <c r="DO67" s="81">
        <f t="shared" si="45"/>
        <v>0</v>
      </c>
      <c r="DP67" s="81">
        <f t="shared" si="46"/>
        <v>0</v>
      </c>
      <c r="DQ67" s="81" t="s">
        <v>1</v>
      </c>
      <c r="DR67" s="81">
        <f t="shared" si="47"/>
        <v>0</v>
      </c>
      <c r="DS67" s="81">
        <f t="shared" si="48"/>
        <v>0</v>
      </c>
    </row>
    <row r="68" spans="14:123" x14ac:dyDescent="0.3">
      <c r="N68" s="81">
        <f>IF(Q69=0,IF(Q68=0,,"x"),)</f>
        <v>0</v>
      </c>
      <c r="O68" s="81">
        <f t="shared" si="49"/>
        <v>0</v>
      </c>
      <c r="P68" s="81">
        <f t="shared" si="13"/>
        <v>0</v>
      </c>
      <c r="Q68" s="81">
        <f t="shared" si="50"/>
        <v>0</v>
      </c>
      <c r="R68" s="81">
        <f>IF(W68="",,SUM($W$4:W68))</f>
        <v>0</v>
      </c>
      <c r="S68" s="81">
        <f t="shared" si="14"/>
        <v>0</v>
      </c>
      <c r="T68" s="81">
        <f t="shared" si="51"/>
        <v>0</v>
      </c>
      <c r="U68" s="81">
        <f t="shared" si="15"/>
        <v>0</v>
      </c>
      <c r="V68" s="81" t="str">
        <f t="shared" ca="1" si="16"/>
        <v/>
      </c>
      <c r="X68" s="81">
        <f t="shared" ref="X68:X99" si="61">IF(W68&gt;$B$33*(1+$C$33),W68,0)</f>
        <v>0</v>
      </c>
      <c r="Y68" s="81">
        <f t="shared" ref="Y68:Y99" si="62">IF(W68&lt;$B$33*(1-$C$33),W68,0)</f>
        <v>0</v>
      </c>
      <c r="AE68" s="81">
        <v>68</v>
      </c>
      <c r="AI68" s="81">
        <v>65</v>
      </c>
      <c r="AJ68" s="81" t="str">
        <f t="shared" si="57"/>
        <v>Januari 24</v>
      </c>
      <c r="AK68" s="81" t="str">
        <f t="shared" si="53"/>
        <v>Januari</v>
      </c>
      <c r="AL68" s="81">
        <f t="shared" si="54"/>
        <v>24</v>
      </c>
      <c r="AM68" s="81" t="str">
        <f t="shared" si="17"/>
        <v>='Januari 24'!</v>
      </c>
      <c r="AN68" s="81" t="str">
        <f t="shared" ref="AN68:AN131" si="63">AM68&amp;"C27"</f>
        <v>='Januari 24'!C27</v>
      </c>
      <c r="AO68" s="81" t="s">
        <v>1068</v>
      </c>
      <c r="AR68" s="81" t="s">
        <v>128</v>
      </c>
      <c r="AS68" s="83" t="str">
        <f t="shared" si="58"/>
        <v>='Januari 24'!C6</v>
      </c>
      <c r="AT68" s="83">
        <f t="shared" si="59"/>
        <v>0</v>
      </c>
      <c r="AV68" s="81" t="s">
        <v>429</v>
      </c>
      <c r="AW68" s="81" t="s">
        <v>2022</v>
      </c>
      <c r="AX68" s="81" t="s">
        <v>2023</v>
      </c>
      <c r="AY68" s="81" t="s">
        <v>2024</v>
      </c>
      <c r="AZ68" s="81" t="s">
        <v>2025</v>
      </c>
      <c r="BA68" s="81" t="s">
        <v>2026</v>
      </c>
      <c r="BB68" s="81" t="s">
        <v>2027</v>
      </c>
      <c r="BC68" s="81" t="s">
        <v>2028</v>
      </c>
      <c r="BD68" s="81" t="s">
        <v>2029</v>
      </c>
      <c r="BE68" s="81" t="s">
        <v>2030</v>
      </c>
      <c r="BF68" s="81" t="s">
        <v>2031</v>
      </c>
      <c r="BG68" s="81" t="s">
        <v>2032</v>
      </c>
      <c r="BH68" s="81" t="s">
        <v>4685</v>
      </c>
      <c r="BI68" s="81" t="s">
        <v>4989</v>
      </c>
      <c r="BJ68" s="81" t="s">
        <v>128</v>
      </c>
      <c r="BL68" s="81" t="s">
        <v>732</v>
      </c>
      <c r="BM68" s="81">
        <v>65</v>
      </c>
      <c r="BN68" s="81" t="str">
        <f t="shared" si="60"/>
        <v>='Januari 24'!C12</v>
      </c>
      <c r="BP68" s="81" t="str">
        <f t="shared" ca="1" si="18"/>
        <v/>
      </c>
      <c r="BR68" s="84">
        <f t="shared" ref="BR68:BR131" si="64">IF($A$5=$A$18,CB68,IF($A$5=$A$19,CE68,IF($A$5=$A$20,CH68,IF($A$5=$A$21,CK68,IF($A$5=$A$22,CN68,IF($A$5=$A$23,CQ68,IF($A$5=$A$24,CT68,IF($A$5=$A$25,CW68,IF($A$5=$A$26,CZ68,IF($A$5=$A$27,DC68,IF($A$5=$A$28,DF68,IF($A$5=$A$29,DI68,IF($A$5=$A$30,DL68,IF($A$5=$A$30,DO68,IF($A$5=$A$12,DR68,"")))))))))))))))</f>
        <v>0</v>
      </c>
      <c r="BS68" s="84">
        <f t="shared" ref="BS68:BS131" si="65">IF($A$5=$A$18,CC68,IF($A$5=$A$19,CF68,IF($A$5=$A$20,CI68,IF($A$5=$A$21,CL68,IF($A$5=$A$22,CO68,IF($A$5=$A$23,CR68,IF($A$5=$A$24,CU68,IF($A$5=$A$25,CX68,IF($A$5=$A$26,DA68,IF($A$5=$A$27,DD68,IF($A$5=$A$28,DG68,IF($A$5=$A$29,DJ68,IF($A$5=$A$30,DM68,IF($A$5=$A$30,DP68,IF($A$5=$A$12,DS68,"")))))))))))))))</f>
        <v>0</v>
      </c>
      <c r="CA68" s="81" t="s">
        <v>2</v>
      </c>
      <c r="CB68" s="81">
        <f t="shared" si="19"/>
        <v>0</v>
      </c>
      <c r="CC68" s="81">
        <f t="shared" si="20"/>
        <v>0</v>
      </c>
      <c r="CD68" s="81" t="s">
        <v>16</v>
      </c>
      <c r="CE68" s="81">
        <f t="shared" si="21"/>
        <v>0</v>
      </c>
      <c r="CF68" s="81">
        <f t="shared" si="22"/>
        <v>0</v>
      </c>
      <c r="CG68" s="81" t="s">
        <v>5</v>
      </c>
      <c r="CH68" s="81">
        <f t="shared" si="23"/>
        <v>0</v>
      </c>
      <c r="CI68" s="81">
        <f t="shared" si="24"/>
        <v>0</v>
      </c>
      <c r="CJ68" s="81" t="s">
        <v>18</v>
      </c>
      <c r="CK68" s="81">
        <f t="shared" si="25"/>
        <v>0</v>
      </c>
      <c r="CL68" s="81">
        <f t="shared" si="26"/>
        <v>0</v>
      </c>
      <c r="CM68" s="81" t="s">
        <v>4</v>
      </c>
      <c r="CN68" s="81">
        <f t="shared" si="27"/>
        <v>0</v>
      </c>
      <c r="CO68" s="81">
        <f t="shared" si="28"/>
        <v>0</v>
      </c>
      <c r="CP68" s="81" t="s">
        <v>22</v>
      </c>
      <c r="CQ68" s="81">
        <f t="shared" si="29"/>
        <v>0</v>
      </c>
      <c r="CR68" s="81">
        <f t="shared" si="30"/>
        <v>0</v>
      </c>
      <c r="CS68" s="81" t="s">
        <v>21</v>
      </c>
      <c r="CT68" s="81">
        <f t="shared" si="31"/>
        <v>0</v>
      </c>
      <c r="CU68" s="81">
        <f t="shared" si="32"/>
        <v>0</v>
      </c>
      <c r="CV68" s="81" t="s">
        <v>998</v>
      </c>
      <c r="CW68" s="81">
        <f t="shared" si="33"/>
        <v>0</v>
      </c>
      <c r="CX68" s="81">
        <f t="shared" si="34"/>
        <v>0</v>
      </c>
      <c r="CY68" s="81" t="s">
        <v>19</v>
      </c>
      <c r="CZ68" s="81">
        <f t="shared" si="35"/>
        <v>0</v>
      </c>
      <c r="DA68" s="81">
        <f t="shared" si="36"/>
        <v>0</v>
      </c>
      <c r="DB68" s="81" t="s">
        <v>20</v>
      </c>
      <c r="DC68" s="81">
        <f t="shared" si="37"/>
        <v>0</v>
      </c>
      <c r="DD68" s="81">
        <f t="shared" si="38"/>
        <v>0</v>
      </c>
      <c r="DE68" s="81" t="s">
        <v>23</v>
      </c>
      <c r="DF68" s="81">
        <f t="shared" si="39"/>
        <v>0</v>
      </c>
      <c r="DG68" s="81">
        <f t="shared" si="40"/>
        <v>0</v>
      </c>
      <c r="DH68" s="81" t="s">
        <v>15</v>
      </c>
      <c r="DI68" s="81">
        <f t="shared" si="41"/>
        <v>0</v>
      </c>
      <c r="DJ68" s="81">
        <f t="shared" si="42"/>
        <v>0</v>
      </c>
      <c r="DK68" s="81" t="s">
        <v>5290</v>
      </c>
      <c r="DL68" s="81">
        <f t="shared" si="43"/>
        <v>0</v>
      </c>
      <c r="DM68" s="81">
        <f t="shared" si="44"/>
        <v>0</v>
      </c>
      <c r="DN68" s="81" t="s">
        <v>7</v>
      </c>
      <c r="DO68" s="81">
        <f t="shared" si="45"/>
        <v>0</v>
      </c>
      <c r="DP68" s="81">
        <f t="shared" si="46"/>
        <v>0</v>
      </c>
      <c r="DQ68" s="81" t="s">
        <v>1</v>
      </c>
      <c r="DR68" s="81">
        <f t="shared" si="47"/>
        <v>0</v>
      </c>
      <c r="DS68" s="81">
        <f t="shared" si="48"/>
        <v>0</v>
      </c>
    </row>
    <row r="69" spans="14:123" x14ac:dyDescent="0.3">
      <c r="N69" s="81">
        <f>IF(Q70=0,IF(Q69=0,,"x"),)</f>
        <v>0</v>
      </c>
      <c r="O69" s="81">
        <f t="shared" si="49"/>
        <v>0</v>
      </c>
      <c r="P69" s="81">
        <f t="shared" ref="P69:P132" si="66">O69-R69</f>
        <v>0</v>
      </c>
      <c r="Q69" s="81">
        <f t="shared" si="50"/>
        <v>0</v>
      </c>
      <c r="R69" s="81">
        <f>IF(W69="",,SUM($W$4:W69))</f>
        <v>0</v>
      </c>
      <c r="S69" s="81">
        <f t="shared" ref="S69:S132" si="67">Q69-R69</f>
        <v>0</v>
      </c>
      <c r="T69" s="81">
        <f t="shared" si="51"/>
        <v>0</v>
      </c>
      <c r="U69" s="81">
        <f t="shared" ref="U69:U132" si="68">T69-R69</f>
        <v>0</v>
      </c>
      <c r="V69" s="81" t="str">
        <f t="shared" ref="V69:V132" ca="1" si="69">IF($AG$6&gt;=AE66,AJ69,"")</f>
        <v/>
      </c>
      <c r="X69" s="81">
        <f t="shared" si="61"/>
        <v>0</v>
      </c>
      <c r="Y69" s="81">
        <f t="shared" si="62"/>
        <v>0</v>
      </c>
      <c r="AE69" s="81">
        <v>69</v>
      </c>
      <c r="AI69" s="81">
        <v>66</v>
      </c>
      <c r="AJ69" s="81" t="str">
        <f t="shared" si="57"/>
        <v>Februari 24</v>
      </c>
      <c r="AK69" s="81" t="str">
        <f t="shared" si="53"/>
        <v>Februari</v>
      </c>
      <c r="AL69" s="81">
        <f t="shared" si="54"/>
        <v>24</v>
      </c>
      <c r="AM69" s="81" t="str">
        <f t="shared" ref="AM69:AM132" si="70">"="&amp;"'"&amp;AJ69&amp;"'"&amp;"!"</f>
        <v>='Februari 24'!</v>
      </c>
      <c r="AN69" s="81" t="str">
        <f t="shared" si="63"/>
        <v>='Februari 24'!C27</v>
      </c>
      <c r="AO69" s="81" t="s">
        <v>1069</v>
      </c>
      <c r="AR69" s="81" t="s">
        <v>129</v>
      </c>
      <c r="AS69" s="83" t="str">
        <f t="shared" si="58"/>
        <v>='Februari 24'!C6</v>
      </c>
      <c r="AT69" s="83">
        <f t="shared" si="59"/>
        <v>0</v>
      </c>
      <c r="AV69" s="81" t="s">
        <v>430</v>
      </c>
      <c r="AW69" s="81" t="s">
        <v>2033</v>
      </c>
      <c r="AX69" s="81" t="s">
        <v>2034</v>
      </c>
      <c r="AY69" s="81" t="s">
        <v>2035</v>
      </c>
      <c r="AZ69" s="81" t="s">
        <v>2036</v>
      </c>
      <c r="BA69" s="81" t="s">
        <v>2037</v>
      </c>
      <c r="BB69" s="81" t="s">
        <v>2038</v>
      </c>
      <c r="BC69" s="81" t="s">
        <v>2039</v>
      </c>
      <c r="BD69" s="81" t="s">
        <v>2040</v>
      </c>
      <c r="BE69" s="81" t="s">
        <v>2041</v>
      </c>
      <c r="BF69" s="81" t="s">
        <v>2042</v>
      </c>
      <c r="BG69" s="81" t="s">
        <v>2043</v>
      </c>
      <c r="BH69" s="81" t="s">
        <v>4686</v>
      </c>
      <c r="BI69" s="81" t="s">
        <v>4990</v>
      </c>
      <c r="BJ69" s="81" t="s">
        <v>129</v>
      </c>
      <c r="BL69" s="81" t="s">
        <v>733</v>
      </c>
      <c r="BM69" s="81">
        <v>66</v>
      </c>
      <c r="BN69" s="81" t="str">
        <f t="shared" si="60"/>
        <v>='Februari 24'!C12</v>
      </c>
      <c r="BP69" s="81" t="str">
        <f t="shared" ref="BP69:BP132" ca="1" si="71">IF($AG$6&gt;=AE66,AJ69,"")</f>
        <v/>
      </c>
      <c r="BR69" s="84">
        <f t="shared" si="64"/>
        <v>0</v>
      </c>
      <c r="BS69" s="84">
        <f t="shared" si="65"/>
        <v>0</v>
      </c>
      <c r="CA69" s="81" t="s">
        <v>2</v>
      </c>
      <c r="CB69" s="81">
        <f t="shared" ref="CB69:CB132" si="72">ROUND(IF(BQ69&lt;$BV$4*(1-$BW$4),BQ69,0),0)</f>
        <v>0</v>
      </c>
      <c r="CC69" s="81">
        <f t="shared" ref="CC69:CC132" si="73">IF(BQ69&gt;$BV$4*(1+$BW$4),BQ69,0)</f>
        <v>0</v>
      </c>
      <c r="CD69" s="81" t="s">
        <v>16</v>
      </c>
      <c r="CE69" s="81">
        <f t="shared" ref="CE69:CE132" si="74">IF(BQ69&lt;$BV$5*(1-$BW$5),BQ69,0)</f>
        <v>0</v>
      </c>
      <c r="CF69" s="81">
        <f t="shared" ref="CF69:CF132" si="75">IF(BQ69&gt;$BV$5*(1+$BW$5),BQ69,0)</f>
        <v>0</v>
      </c>
      <c r="CG69" s="81" t="s">
        <v>5</v>
      </c>
      <c r="CH69" s="81">
        <f t="shared" ref="CH69:CH132" si="76">IF(BQ69&lt;$BV$6*(1-$BW$6),BQ69,0)</f>
        <v>0</v>
      </c>
      <c r="CI69" s="81">
        <f t="shared" ref="CI69:CI132" si="77">IF(BQ69&gt;$BV$6*(1+$BW$6),BQ69,0)</f>
        <v>0</v>
      </c>
      <c r="CJ69" s="81" t="s">
        <v>18</v>
      </c>
      <c r="CK69" s="81">
        <f t="shared" ref="CK69:CK132" si="78">IF(BQ69&lt;$BV$7*(1-$BW$7),BQ69,0)</f>
        <v>0</v>
      </c>
      <c r="CL69" s="81">
        <f t="shared" ref="CL69:CL132" si="79">ROUND(IF(BQ69&gt;$BV$7*(1+$BW$7),BQ69,0),0)</f>
        <v>0</v>
      </c>
      <c r="CM69" s="81" t="s">
        <v>4</v>
      </c>
      <c r="CN69" s="81">
        <f t="shared" ref="CN69:CN132" si="80">IF(BQ69&lt;$BV$8*(1-$BW$8),BQ69,0)</f>
        <v>0</v>
      </c>
      <c r="CO69" s="81">
        <f t="shared" ref="CO69:CO132" si="81">IF(BQ69&gt;$BV$8*(1+$BW$8),BQ69,0)</f>
        <v>0</v>
      </c>
      <c r="CP69" s="81" t="s">
        <v>22</v>
      </c>
      <c r="CQ69" s="81">
        <f t="shared" ref="CQ69:CQ132" si="82">IF(BQ69&lt;$BV$9*(1-$BW$9),BQ69,0)</f>
        <v>0</v>
      </c>
      <c r="CR69" s="81">
        <f t="shared" ref="CR69:CR132" si="83">IF(BQ69&gt;$BV$9*(1+$BW$9),BQ69,0)</f>
        <v>0</v>
      </c>
      <c r="CS69" s="81" t="s">
        <v>21</v>
      </c>
      <c r="CT69" s="81">
        <f t="shared" ref="CT69:CT132" si="84">IF(BQ69&lt;$BV$10*(1-$BW$10),BQ69,0)</f>
        <v>0</v>
      </c>
      <c r="CU69" s="81">
        <f t="shared" ref="CU69:CU132" si="85">IF(BQ69&gt;$BV$10*(1+$BW$10),BQ69,0)</f>
        <v>0</v>
      </c>
      <c r="CV69" s="81" t="s">
        <v>998</v>
      </c>
      <c r="CW69" s="81">
        <f t="shared" ref="CW69:CW132" si="86">IF(BQ69&lt;$BV$11*(1-$BW$11),BQ69,0)</f>
        <v>0</v>
      </c>
      <c r="CX69" s="81">
        <f t="shared" ref="CX69:CX132" si="87">IF(BQ69&gt;$BV$11*(1+$BW$11),BQ69,0)</f>
        <v>0</v>
      </c>
      <c r="CY69" s="81" t="s">
        <v>19</v>
      </c>
      <c r="CZ69" s="81">
        <f t="shared" ref="CZ69:CZ132" si="88">IF(BQ69&lt;$BV$12*(1-$BW$12),BQ69,0)</f>
        <v>0</v>
      </c>
      <c r="DA69" s="81">
        <f t="shared" ref="DA69:DA132" si="89">IF(BQ69&gt;$BV$12*(1+$BW$12),BQ69,0)</f>
        <v>0</v>
      </c>
      <c r="DB69" s="81" t="s">
        <v>20</v>
      </c>
      <c r="DC69" s="81">
        <f t="shared" ref="DC69:DC132" si="90">IF(BQ69&lt;$BV$13*(1-$BW$13),BQ69,0)</f>
        <v>0</v>
      </c>
      <c r="DD69" s="81">
        <f t="shared" ref="DD69:DD132" si="91">IF(BQ69&gt;$BV$13*(1+$BW$13),BQ69,0)</f>
        <v>0</v>
      </c>
      <c r="DE69" s="81" t="s">
        <v>23</v>
      </c>
      <c r="DF69" s="81">
        <f t="shared" ref="DF69:DF132" si="92">IF(BQ69&lt;$BV$14*(1-$BW$14),BQ69,0)</f>
        <v>0</v>
      </c>
      <c r="DG69" s="81">
        <f t="shared" ref="DG69:DG132" si="93">IF(BQ69&gt;$BV$14*(1+$BW$14),BQ69,0)</f>
        <v>0</v>
      </c>
      <c r="DH69" s="81" t="s">
        <v>15</v>
      </c>
      <c r="DI69" s="81">
        <f t="shared" ref="DI69:DI132" si="94">IF(BQ69&lt;$BV$15*(1-$BW$15),BQ69,0)</f>
        <v>0</v>
      </c>
      <c r="DJ69" s="81">
        <f t="shared" ref="DJ69:DJ132" si="95">IF(BQ69&gt;$BV$15*(1+$BW$15),BQ69,0)</f>
        <v>0</v>
      </c>
      <c r="DK69" s="81" t="s">
        <v>5291</v>
      </c>
      <c r="DL69" s="81">
        <f t="shared" ref="DL69:DL132" si="96">IF(BQ69&lt;$BV$16*(1-$BW$16),BQ69,0)</f>
        <v>0</v>
      </c>
      <c r="DM69" s="81">
        <f t="shared" ref="DM69:DM132" si="97">IF(BQ69&gt;$BV$16*(1+$BW$16),BQ69,0)</f>
        <v>0</v>
      </c>
      <c r="DN69" s="81" t="s">
        <v>7</v>
      </c>
      <c r="DO69" s="81">
        <f t="shared" ref="DO69:DO132" si="98">IF(BQ69&lt;$BV$17*(1-$BW$17),BQ69,0)</f>
        <v>0</v>
      </c>
      <c r="DP69" s="81">
        <f t="shared" ref="DP69:DP132" si="99">IF(BQ69&gt;$BV$17*(1+$BW$17),BQ69,0)</f>
        <v>0</v>
      </c>
      <c r="DQ69" s="81" t="s">
        <v>1</v>
      </c>
      <c r="DR69" s="81">
        <f t="shared" ref="DR69:DR132" si="100">IF(BQ69&gt;$BV$18*(1+$BW$18),BQ69,0)</f>
        <v>0</v>
      </c>
      <c r="DS69" s="81">
        <f t="shared" ref="DS69:DS132" si="101">IF(BQ69&lt;$BV$18*(1-$BW$18),BQ69,0)</f>
        <v>0</v>
      </c>
    </row>
    <row r="70" spans="14:123" x14ac:dyDescent="0.3">
      <c r="N70" s="81">
        <f>IF(Q71=0,IF(Q70=0,,"x"),)</f>
        <v>0</v>
      </c>
      <c r="O70" s="81">
        <f t="shared" ref="O70:O133" si="102">IF(W70="",,ROUND(O69*(1+0.045/12)+W70,0))</f>
        <v>0</v>
      </c>
      <c r="P70" s="81">
        <f t="shared" si="66"/>
        <v>0</v>
      </c>
      <c r="Q70" s="81">
        <f t="shared" ref="Q70:Q133" si="103">IF(W70="",,ROUND(Q69*(1+0.06/12)+W70,0))</f>
        <v>0</v>
      </c>
      <c r="R70" s="81">
        <f>IF(W70="",,SUM($W$4:W70))</f>
        <v>0</v>
      </c>
      <c r="S70" s="81">
        <f t="shared" si="67"/>
        <v>0</v>
      </c>
      <c r="T70" s="81">
        <f t="shared" ref="T70:T133" si="104">IF(W70="",,ROUND(T69*(1+0.025/12)+W70,0))</f>
        <v>0</v>
      </c>
      <c r="U70" s="81">
        <f t="shared" si="68"/>
        <v>0</v>
      </c>
      <c r="V70" s="81" t="str">
        <f t="shared" ca="1" si="69"/>
        <v/>
      </c>
      <c r="X70" s="81">
        <f t="shared" si="61"/>
        <v>0</v>
      </c>
      <c r="Y70" s="81">
        <f t="shared" si="62"/>
        <v>0</v>
      </c>
      <c r="AE70" s="81">
        <v>70</v>
      </c>
      <c r="AI70" s="81">
        <v>67</v>
      </c>
      <c r="AJ70" s="81" t="str">
        <f t="shared" si="57"/>
        <v>Mars 24</v>
      </c>
      <c r="AK70" s="81" t="str">
        <f t="shared" si="53"/>
        <v>Mars</v>
      </c>
      <c r="AL70" s="81">
        <f t="shared" si="54"/>
        <v>24</v>
      </c>
      <c r="AM70" s="81" t="str">
        <f t="shared" si="70"/>
        <v>='Mars 24'!</v>
      </c>
      <c r="AN70" s="81" t="str">
        <f t="shared" si="63"/>
        <v>='Mars 24'!C27</v>
      </c>
      <c r="AO70" s="81" t="s">
        <v>1070</v>
      </c>
      <c r="AR70" s="81" t="s">
        <v>130</v>
      </c>
      <c r="AS70" s="83" t="str">
        <f t="shared" si="58"/>
        <v>='Mars 24'!C6</v>
      </c>
      <c r="AT70" s="83">
        <f t="shared" si="59"/>
        <v>0</v>
      </c>
      <c r="AV70" s="81" t="s">
        <v>431</v>
      </c>
      <c r="AW70" s="81" t="s">
        <v>2044</v>
      </c>
      <c r="AX70" s="81" t="s">
        <v>2045</v>
      </c>
      <c r="AY70" s="81" t="s">
        <v>2046</v>
      </c>
      <c r="AZ70" s="81" t="s">
        <v>2047</v>
      </c>
      <c r="BA70" s="81" t="s">
        <v>2048</v>
      </c>
      <c r="BB70" s="81" t="s">
        <v>2049</v>
      </c>
      <c r="BC70" s="81" t="s">
        <v>2050</v>
      </c>
      <c r="BD70" s="81" t="s">
        <v>2051</v>
      </c>
      <c r="BE70" s="81" t="s">
        <v>2052</v>
      </c>
      <c r="BF70" s="81" t="s">
        <v>2053</v>
      </c>
      <c r="BG70" s="81" t="s">
        <v>2054</v>
      </c>
      <c r="BH70" s="81" t="s">
        <v>4687</v>
      </c>
      <c r="BI70" s="81" t="s">
        <v>4991</v>
      </c>
      <c r="BJ70" s="81" t="s">
        <v>130</v>
      </c>
      <c r="BL70" s="81" t="s">
        <v>734</v>
      </c>
      <c r="BM70" s="81">
        <v>67</v>
      </c>
      <c r="BN70" s="81" t="str">
        <f t="shared" si="60"/>
        <v>='Mars 24'!C12</v>
      </c>
      <c r="BP70" s="81" t="str">
        <f t="shared" ca="1" si="71"/>
        <v/>
      </c>
      <c r="BR70" s="84">
        <f t="shared" si="64"/>
        <v>0</v>
      </c>
      <c r="BS70" s="84">
        <f t="shared" si="65"/>
        <v>0</v>
      </c>
      <c r="CA70" s="81" t="s">
        <v>2</v>
      </c>
      <c r="CB70" s="81">
        <f t="shared" si="72"/>
        <v>0</v>
      </c>
      <c r="CC70" s="81">
        <f t="shared" si="73"/>
        <v>0</v>
      </c>
      <c r="CD70" s="81" t="s">
        <v>16</v>
      </c>
      <c r="CE70" s="81">
        <f t="shared" si="74"/>
        <v>0</v>
      </c>
      <c r="CF70" s="81">
        <f t="shared" si="75"/>
        <v>0</v>
      </c>
      <c r="CG70" s="81" t="s">
        <v>5</v>
      </c>
      <c r="CH70" s="81">
        <f t="shared" si="76"/>
        <v>0</v>
      </c>
      <c r="CI70" s="81">
        <f t="shared" si="77"/>
        <v>0</v>
      </c>
      <c r="CJ70" s="81" t="s">
        <v>18</v>
      </c>
      <c r="CK70" s="81">
        <f t="shared" si="78"/>
        <v>0</v>
      </c>
      <c r="CL70" s="81">
        <f t="shared" si="79"/>
        <v>0</v>
      </c>
      <c r="CM70" s="81" t="s">
        <v>4</v>
      </c>
      <c r="CN70" s="81">
        <f t="shared" si="80"/>
        <v>0</v>
      </c>
      <c r="CO70" s="81">
        <f t="shared" si="81"/>
        <v>0</v>
      </c>
      <c r="CP70" s="81" t="s">
        <v>22</v>
      </c>
      <c r="CQ70" s="81">
        <f t="shared" si="82"/>
        <v>0</v>
      </c>
      <c r="CR70" s="81">
        <f t="shared" si="83"/>
        <v>0</v>
      </c>
      <c r="CS70" s="81" t="s">
        <v>21</v>
      </c>
      <c r="CT70" s="81">
        <f t="shared" si="84"/>
        <v>0</v>
      </c>
      <c r="CU70" s="81">
        <f t="shared" si="85"/>
        <v>0</v>
      </c>
      <c r="CV70" s="81" t="s">
        <v>998</v>
      </c>
      <c r="CW70" s="81">
        <f t="shared" si="86"/>
        <v>0</v>
      </c>
      <c r="CX70" s="81">
        <f t="shared" si="87"/>
        <v>0</v>
      </c>
      <c r="CY70" s="81" t="s">
        <v>19</v>
      </c>
      <c r="CZ70" s="81">
        <f t="shared" si="88"/>
        <v>0</v>
      </c>
      <c r="DA70" s="81">
        <f t="shared" si="89"/>
        <v>0</v>
      </c>
      <c r="DB70" s="81" t="s">
        <v>20</v>
      </c>
      <c r="DC70" s="81">
        <f t="shared" si="90"/>
        <v>0</v>
      </c>
      <c r="DD70" s="81">
        <f t="shared" si="91"/>
        <v>0</v>
      </c>
      <c r="DE70" s="81" t="s">
        <v>23</v>
      </c>
      <c r="DF70" s="81">
        <f t="shared" si="92"/>
        <v>0</v>
      </c>
      <c r="DG70" s="81">
        <f t="shared" si="93"/>
        <v>0</v>
      </c>
      <c r="DH70" s="81" t="s">
        <v>15</v>
      </c>
      <c r="DI70" s="81">
        <f t="shared" si="94"/>
        <v>0</v>
      </c>
      <c r="DJ70" s="81">
        <f t="shared" si="95"/>
        <v>0</v>
      </c>
      <c r="DK70" s="81" t="s">
        <v>5292</v>
      </c>
      <c r="DL70" s="81">
        <f t="shared" si="96"/>
        <v>0</v>
      </c>
      <c r="DM70" s="81">
        <f t="shared" si="97"/>
        <v>0</v>
      </c>
      <c r="DN70" s="81" t="s">
        <v>7</v>
      </c>
      <c r="DO70" s="81">
        <f t="shared" si="98"/>
        <v>0</v>
      </c>
      <c r="DP70" s="81">
        <f t="shared" si="99"/>
        <v>0</v>
      </c>
      <c r="DQ70" s="81" t="s">
        <v>1</v>
      </c>
      <c r="DR70" s="81">
        <f t="shared" si="100"/>
        <v>0</v>
      </c>
      <c r="DS70" s="81">
        <f t="shared" si="101"/>
        <v>0</v>
      </c>
    </row>
    <row r="71" spans="14:123" x14ac:dyDescent="0.3">
      <c r="N71" s="81">
        <f>IF(Q72=0,IF(Q71=0,,"x"),)</f>
        <v>0</v>
      </c>
      <c r="O71" s="81">
        <f t="shared" si="102"/>
        <v>0</v>
      </c>
      <c r="P71" s="81">
        <f t="shared" si="66"/>
        <v>0</v>
      </c>
      <c r="Q71" s="81">
        <f t="shared" si="103"/>
        <v>0</v>
      </c>
      <c r="R71" s="81">
        <f>IF(W71="",,SUM($W$4:W71))</f>
        <v>0</v>
      </c>
      <c r="S71" s="81">
        <f t="shared" si="67"/>
        <v>0</v>
      </c>
      <c r="T71" s="81">
        <f t="shared" si="104"/>
        <v>0</v>
      </c>
      <c r="U71" s="81">
        <f t="shared" si="68"/>
        <v>0</v>
      </c>
      <c r="V71" s="81" t="str">
        <f t="shared" ca="1" si="69"/>
        <v/>
      </c>
      <c r="X71" s="81">
        <f t="shared" si="61"/>
        <v>0</v>
      </c>
      <c r="Y71" s="81">
        <f t="shared" si="62"/>
        <v>0</v>
      </c>
      <c r="AE71" s="81">
        <v>71</v>
      </c>
      <c r="AI71" s="81">
        <v>68</v>
      </c>
      <c r="AJ71" s="81" t="str">
        <f t="shared" si="57"/>
        <v>April 24</v>
      </c>
      <c r="AK71" s="81" t="str">
        <f t="shared" si="53"/>
        <v>April</v>
      </c>
      <c r="AL71" s="81">
        <f t="shared" si="54"/>
        <v>24</v>
      </c>
      <c r="AM71" s="81" t="str">
        <f t="shared" si="70"/>
        <v>='April 24'!</v>
      </c>
      <c r="AN71" s="81" t="str">
        <f t="shared" si="63"/>
        <v>='April 24'!C27</v>
      </c>
      <c r="AO71" s="81" t="s">
        <v>1071</v>
      </c>
      <c r="AR71" s="81" t="s">
        <v>131</v>
      </c>
      <c r="AS71" s="83" t="str">
        <f t="shared" si="58"/>
        <v>='April 24'!C6</v>
      </c>
      <c r="AT71" s="83">
        <f t="shared" si="59"/>
        <v>0</v>
      </c>
      <c r="AV71" s="81" t="s">
        <v>432</v>
      </c>
      <c r="AW71" s="81" t="s">
        <v>2055</v>
      </c>
      <c r="AX71" s="81" t="s">
        <v>2056</v>
      </c>
      <c r="AY71" s="81" t="s">
        <v>2057</v>
      </c>
      <c r="AZ71" s="81" t="s">
        <v>2058</v>
      </c>
      <c r="BA71" s="81" t="s">
        <v>2059</v>
      </c>
      <c r="BB71" s="81" t="s">
        <v>2060</v>
      </c>
      <c r="BC71" s="81" t="s">
        <v>2061</v>
      </c>
      <c r="BD71" s="81" t="s">
        <v>2062</v>
      </c>
      <c r="BE71" s="81" t="s">
        <v>2063</v>
      </c>
      <c r="BF71" s="81" t="s">
        <v>2064</v>
      </c>
      <c r="BG71" s="81" t="s">
        <v>2065</v>
      </c>
      <c r="BH71" s="81" t="s">
        <v>4688</v>
      </c>
      <c r="BI71" s="81" t="s">
        <v>4992</v>
      </c>
      <c r="BJ71" s="81" t="s">
        <v>131</v>
      </c>
      <c r="BL71" s="81" t="s">
        <v>735</v>
      </c>
      <c r="BM71" s="81">
        <v>68</v>
      </c>
      <c r="BN71" s="81" t="str">
        <f t="shared" si="60"/>
        <v>='April 24'!C12</v>
      </c>
      <c r="BP71" s="81" t="str">
        <f t="shared" ca="1" si="71"/>
        <v/>
      </c>
      <c r="BR71" s="84">
        <f t="shared" si="64"/>
        <v>0</v>
      </c>
      <c r="BS71" s="84">
        <f t="shared" si="65"/>
        <v>0</v>
      </c>
      <c r="CA71" s="81" t="s">
        <v>2</v>
      </c>
      <c r="CB71" s="81">
        <f t="shared" si="72"/>
        <v>0</v>
      </c>
      <c r="CC71" s="81">
        <f t="shared" si="73"/>
        <v>0</v>
      </c>
      <c r="CD71" s="81" t="s">
        <v>16</v>
      </c>
      <c r="CE71" s="81">
        <f t="shared" si="74"/>
        <v>0</v>
      </c>
      <c r="CF71" s="81">
        <f t="shared" si="75"/>
        <v>0</v>
      </c>
      <c r="CG71" s="81" t="s">
        <v>5</v>
      </c>
      <c r="CH71" s="81">
        <f t="shared" si="76"/>
        <v>0</v>
      </c>
      <c r="CI71" s="81">
        <f t="shared" si="77"/>
        <v>0</v>
      </c>
      <c r="CJ71" s="81" t="s">
        <v>18</v>
      </c>
      <c r="CK71" s="81">
        <f t="shared" si="78"/>
        <v>0</v>
      </c>
      <c r="CL71" s="81">
        <f t="shared" si="79"/>
        <v>0</v>
      </c>
      <c r="CM71" s="81" t="s">
        <v>4</v>
      </c>
      <c r="CN71" s="81">
        <f t="shared" si="80"/>
        <v>0</v>
      </c>
      <c r="CO71" s="81">
        <f t="shared" si="81"/>
        <v>0</v>
      </c>
      <c r="CP71" s="81" t="s">
        <v>22</v>
      </c>
      <c r="CQ71" s="81">
        <f t="shared" si="82"/>
        <v>0</v>
      </c>
      <c r="CR71" s="81">
        <f t="shared" si="83"/>
        <v>0</v>
      </c>
      <c r="CS71" s="81" t="s">
        <v>21</v>
      </c>
      <c r="CT71" s="81">
        <f t="shared" si="84"/>
        <v>0</v>
      </c>
      <c r="CU71" s="81">
        <f t="shared" si="85"/>
        <v>0</v>
      </c>
      <c r="CV71" s="81" t="s">
        <v>998</v>
      </c>
      <c r="CW71" s="81">
        <f t="shared" si="86"/>
        <v>0</v>
      </c>
      <c r="CX71" s="81">
        <f t="shared" si="87"/>
        <v>0</v>
      </c>
      <c r="CY71" s="81" t="s">
        <v>19</v>
      </c>
      <c r="CZ71" s="81">
        <f t="shared" si="88"/>
        <v>0</v>
      </c>
      <c r="DA71" s="81">
        <f t="shared" si="89"/>
        <v>0</v>
      </c>
      <c r="DB71" s="81" t="s">
        <v>20</v>
      </c>
      <c r="DC71" s="81">
        <f t="shared" si="90"/>
        <v>0</v>
      </c>
      <c r="DD71" s="81">
        <f t="shared" si="91"/>
        <v>0</v>
      </c>
      <c r="DE71" s="81" t="s">
        <v>23</v>
      </c>
      <c r="DF71" s="81">
        <f t="shared" si="92"/>
        <v>0</v>
      </c>
      <c r="DG71" s="81">
        <f t="shared" si="93"/>
        <v>0</v>
      </c>
      <c r="DH71" s="81" t="s">
        <v>15</v>
      </c>
      <c r="DI71" s="81">
        <f t="shared" si="94"/>
        <v>0</v>
      </c>
      <c r="DJ71" s="81">
        <f t="shared" si="95"/>
        <v>0</v>
      </c>
      <c r="DK71" s="81" t="s">
        <v>5293</v>
      </c>
      <c r="DL71" s="81">
        <f t="shared" si="96"/>
        <v>0</v>
      </c>
      <c r="DM71" s="81">
        <f t="shared" si="97"/>
        <v>0</v>
      </c>
      <c r="DN71" s="81" t="s">
        <v>7</v>
      </c>
      <c r="DO71" s="81">
        <f t="shared" si="98"/>
        <v>0</v>
      </c>
      <c r="DP71" s="81">
        <f t="shared" si="99"/>
        <v>0</v>
      </c>
      <c r="DQ71" s="81" t="s">
        <v>1</v>
      </c>
      <c r="DR71" s="81">
        <f t="shared" si="100"/>
        <v>0</v>
      </c>
      <c r="DS71" s="81">
        <f t="shared" si="101"/>
        <v>0</v>
      </c>
    </row>
    <row r="72" spans="14:123" x14ac:dyDescent="0.3">
      <c r="N72" s="81">
        <f>IF(Q73=0,IF(Q72=0,,"x"),)</f>
        <v>0</v>
      </c>
      <c r="O72" s="81">
        <f t="shared" si="102"/>
        <v>0</v>
      </c>
      <c r="P72" s="81">
        <f t="shared" si="66"/>
        <v>0</v>
      </c>
      <c r="Q72" s="81">
        <f t="shared" si="103"/>
        <v>0</v>
      </c>
      <c r="R72" s="81">
        <f>IF(W72="",,SUM($W$4:W72))</f>
        <v>0</v>
      </c>
      <c r="S72" s="81">
        <f t="shared" si="67"/>
        <v>0</v>
      </c>
      <c r="T72" s="81">
        <f t="shared" si="104"/>
        <v>0</v>
      </c>
      <c r="U72" s="81">
        <f t="shared" si="68"/>
        <v>0</v>
      </c>
      <c r="V72" s="81" t="str">
        <f t="shared" ca="1" si="69"/>
        <v/>
      </c>
      <c r="X72" s="81">
        <f t="shared" si="61"/>
        <v>0</v>
      </c>
      <c r="Y72" s="81">
        <f t="shared" si="62"/>
        <v>0</v>
      </c>
      <c r="AE72" s="81">
        <v>72</v>
      </c>
      <c r="AI72" s="81">
        <v>69</v>
      </c>
      <c r="AJ72" s="81" t="str">
        <f t="shared" si="57"/>
        <v>Maj 24</v>
      </c>
      <c r="AK72" s="81" t="str">
        <f t="shared" si="53"/>
        <v>Maj</v>
      </c>
      <c r="AL72" s="81">
        <f t="shared" si="54"/>
        <v>24</v>
      </c>
      <c r="AM72" s="81" t="str">
        <f t="shared" si="70"/>
        <v>='Maj 24'!</v>
      </c>
      <c r="AN72" s="81" t="str">
        <f t="shared" si="63"/>
        <v>='Maj 24'!C27</v>
      </c>
      <c r="AO72" s="81" t="s">
        <v>1072</v>
      </c>
      <c r="AR72" s="81" t="s">
        <v>132</v>
      </c>
      <c r="AS72" s="83" t="str">
        <f t="shared" si="58"/>
        <v>='Maj 24'!C6</v>
      </c>
      <c r="AT72" s="83">
        <f t="shared" si="59"/>
        <v>0</v>
      </c>
      <c r="AV72" s="81" t="s">
        <v>433</v>
      </c>
      <c r="AW72" s="81" t="s">
        <v>2066</v>
      </c>
      <c r="AX72" s="81" t="s">
        <v>2067</v>
      </c>
      <c r="AY72" s="81" t="s">
        <v>2068</v>
      </c>
      <c r="AZ72" s="81" t="s">
        <v>2069</v>
      </c>
      <c r="BA72" s="81" t="s">
        <v>2070</v>
      </c>
      <c r="BB72" s="81" t="s">
        <v>2071</v>
      </c>
      <c r="BC72" s="81" t="s">
        <v>2072</v>
      </c>
      <c r="BD72" s="81" t="s">
        <v>2073</v>
      </c>
      <c r="BE72" s="81" t="s">
        <v>2074</v>
      </c>
      <c r="BF72" s="81" t="s">
        <v>2075</v>
      </c>
      <c r="BG72" s="81" t="s">
        <v>2076</v>
      </c>
      <c r="BH72" s="81" t="s">
        <v>4689</v>
      </c>
      <c r="BI72" s="81" t="s">
        <v>4993</v>
      </c>
      <c r="BJ72" s="81" t="s">
        <v>132</v>
      </c>
      <c r="BL72" s="81" t="s">
        <v>736</v>
      </c>
      <c r="BM72" s="81">
        <v>69</v>
      </c>
      <c r="BN72" s="81" t="str">
        <f t="shared" si="60"/>
        <v>='Maj 24'!C12</v>
      </c>
      <c r="BP72" s="81" t="str">
        <f t="shared" ca="1" si="71"/>
        <v/>
      </c>
      <c r="BR72" s="84">
        <f t="shared" si="64"/>
        <v>0</v>
      </c>
      <c r="BS72" s="84">
        <f t="shared" si="65"/>
        <v>0</v>
      </c>
      <c r="CA72" s="81" t="s">
        <v>2</v>
      </c>
      <c r="CB72" s="81">
        <f t="shared" si="72"/>
        <v>0</v>
      </c>
      <c r="CC72" s="81">
        <f t="shared" si="73"/>
        <v>0</v>
      </c>
      <c r="CD72" s="81" t="s">
        <v>16</v>
      </c>
      <c r="CE72" s="81">
        <f t="shared" si="74"/>
        <v>0</v>
      </c>
      <c r="CF72" s="81">
        <f t="shared" si="75"/>
        <v>0</v>
      </c>
      <c r="CG72" s="81" t="s">
        <v>5</v>
      </c>
      <c r="CH72" s="81">
        <f t="shared" si="76"/>
        <v>0</v>
      </c>
      <c r="CI72" s="81">
        <f t="shared" si="77"/>
        <v>0</v>
      </c>
      <c r="CJ72" s="81" t="s">
        <v>18</v>
      </c>
      <c r="CK72" s="81">
        <f t="shared" si="78"/>
        <v>0</v>
      </c>
      <c r="CL72" s="81">
        <f t="shared" si="79"/>
        <v>0</v>
      </c>
      <c r="CM72" s="81" t="s">
        <v>4</v>
      </c>
      <c r="CN72" s="81">
        <f t="shared" si="80"/>
        <v>0</v>
      </c>
      <c r="CO72" s="81">
        <f t="shared" si="81"/>
        <v>0</v>
      </c>
      <c r="CP72" s="81" t="s">
        <v>22</v>
      </c>
      <c r="CQ72" s="81">
        <f t="shared" si="82"/>
        <v>0</v>
      </c>
      <c r="CR72" s="81">
        <f t="shared" si="83"/>
        <v>0</v>
      </c>
      <c r="CS72" s="81" t="s">
        <v>21</v>
      </c>
      <c r="CT72" s="81">
        <f t="shared" si="84"/>
        <v>0</v>
      </c>
      <c r="CU72" s="81">
        <f t="shared" si="85"/>
        <v>0</v>
      </c>
      <c r="CV72" s="81" t="s">
        <v>998</v>
      </c>
      <c r="CW72" s="81">
        <f t="shared" si="86"/>
        <v>0</v>
      </c>
      <c r="CX72" s="81">
        <f t="shared" si="87"/>
        <v>0</v>
      </c>
      <c r="CY72" s="81" t="s">
        <v>19</v>
      </c>
      <c r="CZ72" s="81">
        <f t="shared" si="88"/>
        <v>0</v>
      </c>
      <c r="DA72" s="81">
        <f t="shared" si="89"/>
        <v>0</v>
      </c>
      <c r="DB72" s="81" t="s">
        <v>20</v>
      </c>
      <c r="DC72" s="81">
        <f t="shared" si="90"/>
        <v>0</v>
      </c>
      <c r="DD72" s="81">
        <f t="shared" si="91"/>
        <v>0</v>
      </c>
      <c r="DE72" s="81" t="s">
        <v>23</v>
      </c>
      <c r="DF72" s="81">
        <f t="shared" si="92"/>
        <v>0</v>
      </c>
      <c r="DG72" s="81">
        <f t="shared" si="93"/>
        <v>0</v>
      </c>
      <c r="DH72" s="81" t="s">
        <v>15</v>
      </c>
      <c r="DI72" s="81">
        <f t="shared" si="94"/>
        <v>0</v>
      </c>
      <c r="DJ72" s="81">
        <f t="shared" si="95"/>
        <v>0</v>
      </c>
      <c r="DK72" s="81" t="s">
        <v>5294</v>
      </c>
      <c r="DL72" s="81">
        <f t="shared" si="96"/>
        <v>0</v>
      </c>
      <c r="DM72" s="81">
        <f t="shared" si="97"/>
        <v>0</v>
      </c>
      <c r="DN72" s="81" t="s">
        <v>7</v>
      </c>
      <c r="DO72" s="81">
        <f t="shared" si="98"/>
        <v>0</v>
      </c>
      <c r="DP72" s="81">
        <f t="shared" si="99"/>
        <v>0</v>
      </c>
      <c r="DQ72" s="81" t="s">
        <v>1</v>
      </c>
      <c r="DR72" s="81">
        <f t="shared" si="100"/>
        <v>0</v>
      </c>
      <c r="DS72" s="81">
        <f t="shared" si="101"/>
        <v>0</v>
      </c>
    </row>
    <row r="73" spans="14:123" x14ac:dyDescent="0.3">
      <c r="N73" s="81">
        <f>IF(Q74=0,IF(Q73=0,,"x"),)</f>
        <v>0</v>
      </c>
      <c r="O73" s="81">
        <f t="shared" si="102"/>
        <v>0</v>
      </c>
      <c r="P73" s="81">
        <f t="shared" si="66"/>
        <v>0</v>
      </c>
      <c r="Q73" s="81">
        <f t="shared" si="103"/>
        <v>0</v>
      </c>
      <c r="R73" s="81">
        <f>IF(W73="",,SUM($W$4:W73))</f>
        <v>0</v>
      </c>
      <c r="S73" s="81">
        <f t="shared" si="67"/>
        <v>0</v>
      </c>
      <c r="T73" s="81">
        <f t="shared" si="104"/>
        <v>0</v>
      </c>
      <c r="U73" s="81">
        <f t="shared" si="68"/>
        <v>0</v>
      </c>
      <c r="V73" s="81" t="str">
        <f t="shared" ca="1" si="69"/>
        <v/>
      </c>
      <c r="X73" s="81">
        <f t="shared" si="61"/>
        <v>0</v>
      </c>
      <c r="Y73" s="81">
        <f t="shared" si="62"/>
        <v>0</v>
      </c>
      <c r="AE73" s="81">
        <v>73</v>
      </c>
      <c r="AI73" s="81">
        <v>70</v>
      </c>
      <c r="AJ73" s="81" t="str">
        <f t="shared" si="57"/>
        <v>Juni 24</v>
      </c>
      <c r="AK73" s="81" t="str">
        <f t="shared" si="53"/>
        <v>Juni</v>
      </c>
      <c r="AL73" s="81">
        <f t="shared" si="54"/>
        <v>24</v>
      </c>
      <c r="AM73" s="81" t="str">
        <f t="shared" si="70"/>
        <v>='Juni 24'!</v>
      </c>
      <c r="AN73" s="81" t="str">
        <f t="shared" si="63"/>
        <v>='Juni 24'!C27</v>
      </c>
      <c r="AO73" s="81" t="s">
        <v>1073</v>
      </c>
      <c r="AR73" s="81" t="s">
        <v>133</v>
      </c>
      <c r="AS73" s="83" t="str">
        <f t="shared" si="58"/>
        <v>='Juni 24'!C6</v>
      </c>
      <c r="AT73" s="83">
        <f t="shared" si="59"/>
        <v>0</v>
      </c>
      <c r="AV73" s="81" t="s">
        <v>434</v>
      </c>
      <c r="AW73" s="81" t="s">
        <v>2077</v>
      </c>
      <c r="AX73" s="81" t="s">
        <v>2078</v>
      </c>
      <c r="AY73" s="81" t="s">
        <v>2079</v>
      </c>
      <c r="AZ73" s="81" t="s">
        <v>2080</v>
      </c>
      <c r="BA73" s="81" t="s">
        <v>2081</v>
      </c>
      <c r="BB73" s="81" t="s">
        <v>2082</v>
      </c>
      <c r="BC73" s="81" t="s">
        <v>2083</v>
      </c>
      <c r="BD73" s="81" t="s">
        <v>2084</v>
      </c>
      <c r="BE73" s="81" t="s">
        <v>2085</v>
      </c>
      <c r="BF73" s="81" t="s">
        <v>2086</v>
      </c>
      <c r="BG73" s="81" t="s">
        <v>2087</v>
      </c>
      <c r="BH73" s="81" t="s">
        <v>4690</v>
      </c>
      <c r="BI73" s="81" t="s">
        <v>4994</v>
      </c>
      <c r="BJ73" s="81" t="s">
        <v>133</v>
      </c>
      <c r="BL73" s="81" t="s">
        <v>737</v>
      </c>
      <c r="BM73" s="81">
        <v>70</v>
      </c>
      <c r="BN73" s="81" t="str">
        <f t="shared" si="60"/>
        <v>='Juni 24'!C12</v>
      </c>
      <c r="BP73" s="81" t="str">
        <f t="shared" ca="1" si="71"/>
        <v/>
      </c>
      <c r="BR73" s="84">
        <f t="shared" si="64"/>
        <v>0</v>
      </c>
      <c r="BS73" s="84">
        <f t="shared" si="65"/>
        <v>0</v>
      </c>
      <c r="CA73" s="81" t="s">
        <v>2</v>
      </c>
      <c r="CB73" s="81">
        <f t="shared" si="72"/>
        <v>0</v>
      </c>
      <c r="CC73" s="81">
        <f t="shared" si="73"/>
        <v>0</v>
      </c>
      <c r="CD73" s="81" t="s">
        <v>16</v>
      </c>
      <c r="CE73" s="81">
        <f t="shared" si="74"/>
        <v>0</v>
      </c>
      <c r="CF73" s="81">
        <f t="shared" si="75"/>
        <v>0</v>
      </c>
      <c r="CG73" s="81" t="s">
        <v>5</v>
      </c>
      <c r="CH73" s="81">
        <f t="shared" si="76"/>
        <v>0</v>
      </c>
      <c r="CI73" s="81">
        <f t="shared" si="77"/>
        <v>0</v>
      </c>
      <c r="CJ73" s="81" t="s">
        <v>18</v>
      </c>
      <c r="CK73" s="81">
        <f t="shared" si="78"/>
        <v>0</v>
      </c>
      <c r="CL73" s="81">
        <f t="shared" si="79"/>
        <v>0</v>
      </c>
      <c r="CM73" s="81" t="s">
        <v>4</v>
      </c>
      <c r="CN73" s="81">
        <f t="shared" si="80"/>
        <v>0</v>
      </c>
      <c r="CO73" s="81">
        <f t="shared" si="81"/>
        <v>0</v>
      </c>
      <c r="CP73" s="81" t="s">
        <v>22</v>
      </c>
      <c r="CQ73" s="81">
        <f t="shared" si="82"/>
        <v>0</v>
      </c>
      <c r="CR73" s="81">
        <f t="shared" si="83"/>
        <v>0</v>
      </c>
      <c r="CS73" s="81" t="s">
        <v>21</v>
      </c>
      <c r="CT73" s="81">
        <f t="shared" si="84"/>
        <v>0</v>
      </c>
      <c r="CU73" s="81">
        <f t="shared" si="85"/>
        <v>0</v>
      </c>
      <c r="CV73" s="81" t="s">
        <v>998</v>
      </c>
      <c r="CW73" s="81">
        <f t="shared" si="86"/>
        <v>0</v>
      </c>
      <c r="CX73" s="81">
        <f t="shared" si="87"/>
        <v>0</v>
      </c>
      <c r="CY73" s="81" t="s">
        <v>19</v>
      </c>
      <c r="CZ73" s="81">
        <f t="shared" si="88"/>
        <v>0</v>
      </c>
      <c r="DA73" s="81">
        <f t="shared" si="89"/>
        <v>0</v>
      </c>
      <c r="DB73" s="81" t="s">
        <v>20</v>
      </c>
      <c r="DC73" s="81">
        <f t="shared" si="90"/>
        <v>0</v>
      </c>
      <c r="DD73" s="81">
        <f t="shared" si="91"/>
        <v>0</v>
      </c>
      <c r="DE73" s="81" t="s">
        <v>23</v>
      </c>
      <c r="DF73" s="81">
        <f t="shared" si="92"/>
        <v>0</v>
      </c>
      <c r="DG73" s="81">
        <f t="shared" si="93"/>
        <v>0</v>
      </c>
      <c r="DH73" s="81" t="s">
        <v>15</v>
      </c>
      <c r="DI73" s="81">
        <f t="shared" si="94"/>
        <v>0</v>
      </c>
      <c r="DJ73" s="81">
        <f t="shared" si="95"/>
        <v>0</v>
      </c>
      <c r="DK73" s="81" t="s">
        <v>5295</v>
      </c>
      <c r="DL73" s="81">
        <f t="shared" si="96"/>
        <v>0</v>
      </c>
      <c r="DM73" s="81">
        <f t="shared" si="97"/>
        <v>0</v>
      </c>
      <c r="DN73" s="81" t="s">
        <v>7</v>
      </c>
      <c r="DO73" s="81">
        <f t="shared" si="98"/>
        <v>0</v>
      </c>
      <c r="DP73" s="81">
        <f t="shared" si="99"/>
        <v>0</v>
      </c>
      <c r="DQ73" s="81" t="s">
        <v>1</v>
      </c>
      <c r="DR73" s="81">
        <f t="shared" si="100"/>
        <v>0</v>
      </c>
      <c r="DS73" s="81">
        <f t="shared" si="101"/>
        <v>0</v>
      </c>
    </row>
    <row r="74" spans="14:123" x14ac:dyDescent="0.3">
      <c r="N74" s="81">
        <f>IF(Q75=0,IF(Q74=0,,"x"),)</f>
        <v>0</v>
      </c>
      <c r="O74" s="81">
        <f t="shared" si="102"/>
        <v>0</v>
      </c>
      <c r="P74" s="81">
        <f t="shared" si="66"/>
        <v>0</v>
      </c>
      <c r="Q74" s="81">
        <f t="shared" si="103"/>
        <v>0</v>
      </c>
      <c r="R74" s="81">
        <f>IF(W74="",,SUM($W$4:W74))</f>
        <v>0</v>
      </c>
      <c r="S74" s="81">
        <f t="shared" si="67"/>
        <v>0</v>
      </c>
      <c r="T74" s="81">
        <f t="shared" si="104"/>
        <v>0</v>
      </c>
      <c r="U74" s="81">
        <f t="shared" si="68"/>
        <v>0</v>
      </c>
      <c r="V74" s="81" t="str">
        <f t="shared" ca="1" si="69"/>
        <v/>
      </c>
      <c r="X74" s="81">
        <f t="shared" si="61"/>
        <v>0</v>
      </c>
      <c r="Y74" s="81">
        <f t="shared" si="62"/>
        <v>0</v>
      </c>
      <c r="AE74" s="81">
        <v>74</v>
      </c>
      <c r="AI74" s="81">
        <v>71</v>
      </c>
      <c r="AJ74" s="81" t="str">
        <f t="shared" si="57"/>
        <v>Juli 24</v>
      </c>
      <c r="AK74" s="81" t="str">
        <f t="shared" si="53"/>
        <v>Juli</v>
      </c>
      <c r="AL74" s="81">
        <f t="shared" si="54"/>
        <v>24</v>
      </c>
      <c r="AM74" s="81" t="str">
        <f t="shared" si="70"/>
        <v>='Juli 24'!</v>
      </c>
      <c r="AN74" s="81" t="str">
        <f t="shared" si="63"/>
        <v>='Juli 24'!C27</v>
      </c>
      <c r="AO74" s="81" t="s">
        <v>1074</v>
      </c>
      <c r="AR74" s="81" t="s">
        <v>134</v>
      </c>
      <c r="AS74" s="83" t="str">
        <f t="shared" si="58"/>
        <v>='Juli 24'!C6</v>
      </c>
      <c r="AT74" s="83">
        <f t="shared" si="59"/>
        <v>0</v>
      </c>
      <c r="AV74" s="81" t="s">
        <v>435</v>
      </c>
      <c r="AW74" s="81" t="s">
        <v>2088</v>
      </c>
      <c r="AX74" s="81" t="s">
        <v>2089</v>
      </c>
      <c r="AY74" s="81" t="s">
        <v>2090</v>
      </c>
      <c r="AZ74" s="81" t="s">
        <v>2091</v>
      </c>
      <c r="BA74" s="81" t="s">
        <v>2092</v>
      </c>
      <c r="BB74" s="81" t="s">
        <v>2093</v>
      </c>
      <c r="BC74" s="81" t="s">
        <v>2094</v>
      </c>
      <c r="BD74" s="81" t="s">
        <v>2095</v>
      </c>
      <c r="BE74" s="81" t="s">
        <v>2096</v>
      </c>
      <c r="BF74" s="81" t="s">
        <v>2097</v>
      </c>
      <c r="BG74" s="81" t="s">
        <v>2098</v>
      </c>
      <c r="BH74" s="81" t="s">
        <v>4691</v>
      </c>
      <c r="BI74" s="81" t="s">
        <v>4995</v>
      </c>
      <c r="BJ74" s="81" t="s">
        <v>134</v>
      </c>
      <c r="BL74" s="81" t="s">
        <v>738</v>
      </c>
      <c r="BM74" s="81">
        <v>71</v>
      </c>
      <c r="BN74" s="81" t="str">
        <f t="shared" si="60"/>
        <v>='Juli 24'!C12</v>
      </c>
      <c r="BP74" s="81" t="str">
        <f t="shared" ca="1" si="71"/>
        <v/>
      </c>
      <c r="BR74" s="84">
        <f t="shared" si="64"/>
        <v>0</v>
      </c>
      <c r="BS74" s="84">
        <f t="shared" si="65"/>
        <v>0</v>
      </c>
      <c r="CA74" s="81" t="s">
        <v>2</v>
      </c>
      <c r="CB74" s="81">
        <f t="shared" si="72"/>
        <v>0</v>
      </c>
      <c r="CC74" s="81">
        <f t="shared" si="73"/>
        <v>0</v>
      </c>
      <c r="CD74" s="81" t="s">
        <v>16</v>
      </c>
      <c r="CE74" s="81">
        <f t="shared" si="74"/>
        <v>0</v>
      </c>
      <c r="CF74" s="81">
        <f t="shared" si="75"/>
        <v>0</v>
      </c>
      <c r="CG74" s="81" t="s">
        <v>5</v>
      </c>
      <c r="CH74" s="81">
        <f t="shared" si="76"/>
        <v>0</v>
      </c>
      <c r="CI74" s="81">
        <f t="shared" si="77"/>
        <v>0</v>
      </c>
      <c r="CJ74" s="81" t="s">
        <v>18</v>
      </c>
      <c r="CK74" s="81">
        <f t="shared" si="78"/>
        <v>0</v>
      </c>
      <c r="CL74" s="81">
        <f t="shared" si="79"/>
        <v>0</v>
      </c>
      <c r="CM74" s="81" t="s">
        <v>4</v>
      </c>
      <c r="CN74" s="81">
        <f t="shared" si="80"/>
        <v>0</v>
      </c>
      <c r="CO74" s="81">
        <f t="shared" si="81"/>
        <v>0</v>
      </c>
      <c r="CP74" s="81" t="s">
        <v>22</v>
      </c>
      <c r="CQ74" s="81">
        <f t="shared" si="82"/>
        <v>0</v>
      </c>
      <c r="CR74" s="81">
        <f t="shared" si="83"/>
        <v>0</v>
      </c>
      <c r="CS74" s="81" t="s">
        <v>21</v>
      </c>
      <c r="CT74" s="81">
        <f t="shared" si="84"/>
        <v>0</v>
      </c>
      <c r="CU74" s="81">
        <f t="shared" si="85"/>
        <v>0</v>
      </c>
      <c r="CV74" s="81" t="s">
        <v>998</v>
      </c>
      <c r="CW74" s="81">
        <f t="shared" si="86"/>
        <v>0</v>
      </c>
      <c r="CX74" s="81">
        <f t="shared" si="87"/>
        <v>0</v>
      </c>
      <c r="CY74" s="81" t="s">
        <v>19</v>
      </c>
      <c r="CZ74" s="81">
        <f t="shared" si="88"/>
        <v>0</v>
      </c>
      <c r="DA74" s="81">
        <f t="shared" si="89"/>
        <v>0</v>
      </c>
      <c r="DB74" s="81" t="s">
        <v>20</v>
      </c>
      <c r="DC74" s="81">
        <f t="shared" si="90"/>
        <v>0</v>
      </c>
      <c r="DD74" s="81">
        <f t="shared" si="91"/>
        <v>0</v>
      </c>
      <c r="DE74" s="81" t="s">
        <v>23</v>
      </c>
      <c r="DF74" s="81">
        <f t="shared" si="92"/>
        <v>0</v>
      </c>
      <c r="DG74" s="81">
        <f t="shared" si="93"/>
        <v>0</v>
      </c>
      <c r="DH74" s="81" t="s">
        <v>15</v>
      </c>
      <c r="DI74" s="81">
        <f t="shared" si="94"/>
        <v>0</v>
      </c>
      <c r="DJ74" s="81">
        <f t="shared" si="95"/>
        <v>0</v>
      </c>
      <c r="DK74" s="81" t="s">
        <v>5296</v>
      </c>
      <c r="DL74" s="81">
        <f t="shared" si="96"/>
        <v>0</v>
      </c>
      <c r="DM74" s="81">
        <f t="shared" si="97"/>
        <v>0</v>
      </c>
      <c r="DN74" s="81" t="s">
        <v>7</v>
      </c>
      <c r="DO74" s="81">
        <f t="shared" si="98"/>
        <v>0</v>
      </c>
      <c r="DP74" s="81">
        <f t="shared" si="99"/>
        <v>0</v>
      </c>
      <c r="DQ74" s="81" t="s">
        <v>1</v>
      </c>
      <c r="DR74" s="81">
        <f t="shared" si="100"/>
        <v>0</v>
      </c>
      <c r="DS74" s="81">
        <f t="shared" si="101"/>
        <v>0</v>
      </c>
    </row>
    <row r="75" spans="14:123" x14ac:dyDescent="0.3">
      <c r="N75" s="81">
        <f>IF(Q76=0,IF(Q75=0,,"x"),)</f>
        <v>0</v>
      </c>
      <c r="O75" s="81">
        <f t="shared" si="102"/>
        <v>0</v>
      </c>
      <c r="P75" s="81">
        <f t="shared" si="66"/>
        <v>0</v>
      </c>
      <c r="Q75" s="81">
        <f t="shared" si="103"/>
        <v>0</v>
      </c>
      <c r="R75" s="81">
        <f>IF(W75="",,SUM($W$4:W75))</f>
        <v>0</v>
      </c>
      <c r="S75" s="81">
        <f t="shared" si="67"/>
        <v>0</v>
      </c>
      <c r="T75" s="81">
        <f t="shared" si="104"/>
        <v>0</v>
      </c>
      <c r="U75" s="81">
        <f t="shared" si="68"/>
        <v>0</v>
      </c>
      <c r="V75" s="81" t="str">
        <f t="shared" ca="1" si="69"/>
        <v/>
      </c>
      <c r="X75" s="81">
        <f t="shared" si="61"/>
        <v>0</v>
      </c>
      <c r="Y75" s="81">
        <f t="shared" si="62"/>
        <v>0</v>
      </c>
      <c r="AE75" s="81">
        <v>75</v>
      </c>
      <c r="AI75" s="81">
        <v>72</v>
      </c>
      <c r="AJ75" s="81" t="str">
        <f t="shared" si="57"/>
        <v>Augusti 24</v>
      </c>
      <c r="AK75" s="81" t="str">
        <f t="shared" si="53"/>
        <v>Augusti</v>
      </c>
      <c r="AL75" s="81">
        <f t="shared" si="54"/>
        <v>24</v>
      </c>
      <c r="AM75" s="81" t="str">
        <f t="shared" si="70"/>
        <v>='Augusti 24'!</v>
      </c>
      <c r="AN75" s="81" t="str">
        <f t="shared" si="63"/>
        <v>='Augusti 24'!C27</v>
      </c>
      <c r="AO75" s="81" t="s">
        <v>1075</v>
      </c>
      <c r="AR75" s="81" t="s">
        <v>135</v>
      </c>
      <c r="AS75" s="83" t="str">
        <f t="shared" si="58"/>
        <v>='Augusti 24'!C6</v>
      </c>
      <c r="AT75" s="83">
        <f t="shared" si="59"/>
        <v>0</v>
      </c>
      <c r="AV75" s="81" t="s">
        <v>436</v>
      </c>
      <c r="AW75" s="81" t="s">
        <v>2099</v>
      </c>
      <c r="AX75" s="81" t="s">
        <v>2100</v>
      </c>
      <c r="AY75" s="81" t="s">
        <v>2101</v>
      </c>
      <c r="AZ75" s="81" t="s">
        <v>2102</v>
      </c>
      <c r="BA75" s="81" t="s">
        <v>2103</v>
      </c>
      <c r="BB75" s="81" t="s">
        <v>2104</v>
      </c>
      <c r="BC75" s="81" t="s">
        <v>2105</v>
      </c>
      <c r="BD75" s="81" t="s">
        <v>2106</v>
      </c>
      <c r="BE75" s="81" t="s">
        <v>2107</v>
      </c>
      <c r="BF75" s="81" t="s">
        <v>2108</v>
      </c>
      <c r="BG75" s="81" t="s">
        <v>2109</v>
      </c>
      <c r="BH75" s="81" t="s">
        <v>4692</v>
      </c>
      <c r="BI75" s="81" t="s">
        <v>4996</v>
      </c>
      <c r="BJ75" s="81" t="s">
        <v>135</v>
      </c>
      <c r="BL75" s="81" t="s">
        <v>739</v>
      </c>
      <c r="BM75" s="81">
        <v>72</v>
      </c>
      <c r="BN75" s="81" t="str">
        <f t="shared" si="60"/>
        <v>='Augusti 24'!C12</v>
      </c>
      <c r="BP75" s="81" t="str">
        <f t="shared" ca="1" si="71"/>
        <v/>
      </c>
      <c r="BR75" s="84">
        <f t="shared" si="64"/>
        <v>0</v>
      </c>
      <c r="BS75" s="84">
        <f t="shared" si="65"/>
        <v>0</v>
      </c>
      <c r="CA75" s="81" t="s">
        <v>2</v>
      </c>
      <c r="CB75" s="81">
        <f t="shared" si="72"/>
        <v>0</v>
      </c>
      <c r="CC75" s="81">
        <f t="shared" si="73"/>
        <v>0</v>
      </c>
      <c r="CD75" s="81" t="s">
        <v>16</v>
      </c>
      <c r="CE75" s="81">
        <f t="shared" si="74"/>
        <v>0</v>
      </c>
      <c r="CF75" s="81">
        <f t="shared" si="75"/>
        <v>0</v>
      </c>
      <c r="CG75" s="81" t="s">
        <v>5</v>
      </c>
      <c r="CH75" s="81">
        <f t="shared" si="76"/>
        <v>0</v>
      </c>
      <c r="CI75" s="81">
        <f t="shared" si="77"/>
        <v>0</v>
      </c>
      <c r="CJ75" s="81" t="s">
        <v>18</v>
      </c>
      <c r="CK75" s="81">
        <f t="shared" si="78"/>
        <v>0</v>
      </c>
      <c r="CL75" s="81">
        <f t="shared" si="79"/>
        <v>0</v>
      </c>
      <c r="CM75" s="81" t="s">
        <v>4</v>
      </c>
      <c r="CN75" s="81">
        <f t="shared" si="80"/>
        <v>0</v>
      </c>
      <c r="CO75" s="81">
        <f t="shared" si="81"/>
        <v>0</v>
      </c>
      <c r="CP75" s="81" t="s">
        <v>22</v>
      </c>
      <c r="CQ75" s="81">
        <f t="shared" si="82"/>
        <v>0</v>
      </c>
      <c r="CR75" s="81">
        <f t="shared" si="83"/>
        <v>0</v>
      </c>
      <c r="CS75" s="81" t="s">
        <v>21</v>
      </c>
      <c r="CT75" s="81">
        <f t="shared" si="84"/>
        <v>0</v>
      </c>
      <c r="CU75" s="81">
        <f t="shared" si="85"/>
        <v>0</v>
      </c>
      <c r="CV75" s="81" t="s">
        <v>998</v>
      </c>
      <c r="CW75" s="81">
        <f t="shared" si="86"/>
        <v>0</v>
      </c>
      <c r="CX75" s="81">
        <f t="shared" si="87"/>
        <v>0</v>
      </c>
      <c r="CY75" s="81" t="s">
        <v>19</v>
      </c>
      <c r="CZ75" s="81">
        <f t="shared" si="88"/>
        <v>0</v>
      </c>
      <c r="DA75" s="81">
        <f t="shared" si="89"/>
        <v>0</v>
      </c>
      <c r="DB75" s="81" t="s">
        <v>20</v>
      </c>
      <c r="DC75" s="81">
        <f t="shared" si="90"/>
        <v>0</v>
      </c>
      <c r="DD75" s="81">
        <f t="shared" si="91"/>
        <v>0</v>
      </c>
      <c r="DE75" s="81" t="s">
        <v>23</v>
      </c>
      <c r="DF75" s="81">
        <f t="shared" si="92"/>
        <v>0</v>
      </c>
      <c r="DG75" s="81">
        <f t="shared" si="93"/>
        <v>0</v>
      </c>
      <c r="DH75" s="81" t="s">
        <v>15</v>
      </c>
      <c r="DI75" s="81">
        <f t="shared" si="94"/>
        <v>0</v>
      </c>
      <c r="DJ75" s="81">
        <f t="shared" si="95"/>
        <v>0</v>
      </c>
      <c r="DK75" s="81" t="s">
        <v>5297</v>
      </c>
      <c r="DL75" s="81">
        <f t="shared" si="96"/>
        <v>0</v>
      </c>
      <c r="DM75" s="81">
        <f t="shared" si="97"/>
        <v>0</v>
      </c>
      <c r="DN75" s="81" t="s">
        <v>7</v>
      </c>
      <c r="DO75" s="81">
        <f t="shared" si="98"/>
        <v>0</v>
      </c>
      <c r="DP75" s="81">
        <f t="shared" si="99"/>
        <v>0</v>
      </c>
      <c r="DQ75" s="81" t="s">
        <v>1</v>
      </c>
      <c r="DR75" s="81">
        <f t="shared" si="100"/>
        <v>0</v>
      </c>
      <c r="DS75" s="81">
        <f t="shared" si="101"/>
        <v>0</v>
      </c>
    </row>
    <row r="76" spans="14:123" x14ac:dyDescent="0.3">
      <c r="N76" s="81">
        <f>IF(Q77=0,IF(Q76=0,,"x"),)</f>
        <v>0</v>
      </c>
      <c r="O76" s="81">
        <f t="shared" si="102"/>
        <v>0</v>
      </c>
      <c r="P76" s="81">
        <f t="shared" si="66"/>
        <v>0</v>
      </c>
      <c r="Q76" s="81">
        <f t="shared" si="103"/>
        <v>0</v>
      </c>
      <c r="R76" s="81">
        <f>IF(W76="",,SUM($W$4:W76))</f>
        <v>0</v>
      </c>
      <c r="S76" s="81">
        <f t="shared" si="67"/>
        <v>0</v>
      </c>
      <c r="T76" s="81">
        <f t="shared" si="104"/>
        <v>0</v>
      </c>
      <c r="U76" s="81">
        <f t="shared" si="68"/>
        <v>0</v>
      </c>
      <c r="V76" s="81" t="str">
        <f t="shared" ca="1" si="69"/>
        <v/>
      </c>
      <c r="X76" s="81">
        <f t="shared" si="61"/>
        <v>0</v>
      </c>
      <c r="Y76" s="81">
        <f t="shared" si="62"/>
        <v>0</v>
      </c>
      <c r="AE76" s="81">
        <v>76</v>
      </c>
      <c r="AI76" s="81">
        <v>73</v>
      </c>
      <c r="AJ76" s="81" t="str">
        <f t="shared" si="57"/>
        <v>September 24</v>
      </c>
      <c r="AK76" s="81" t="str">
        <f t="shared" si="53"/>
        <v>September</v>
      </c>
      <c r="AL76" s="81">
        <f t="shared" si="54"/>
        <v>24</v>
      </c>
      <c r="AM76" s="81" t="str">
        <f t="shared" si="70"/>
        <v>='September 24'!</v>
      </c>
      <c r="AN76" s="81" t="str">
        <f t="shared" si="63"/>
        <v>='September 24'!C27</v>
      </c>
      <c r="AO76" s="81" t="s">
        <v>1076</v>
      </c>
      <c r="AR76" s="81" t="s">
        <v>136</v>
      </c>
      <c r="AS76" s="83" t="str">
        <f t="shared" si="58"/>
        <v>='September 24'!C6</v>
      </c>
      <c r="AT76" s="83">
        <f t="shared" si="59"/>
        <v>0</v>
      </c>
      <c r="AV76" s="81" t="s">
        <v>437</v>
      </c>
      <c r="AW76" s="81" t="s">
        <v>2110</v>
      </c>
      <c r="AX76" s="81" t="s">
        <v>2111</v>
      </c>
      <c r="AY76" s="81" t="s">
        <v>2112</v>
      </c>
      <c r="AZ76" s="81" t="s">
        <v>2113</v>
      </c>
      <c r="BA76" s="81" t="s">
        <v>2114</v>
      </c>
      <c r="BB76" s="81" t="s">
        <v>2115</v>
      </c>
      <c r="BC76" s="81" t="s">
        <v>2116</v>
      </c>
      <c r="BD76" s="81" t="s">
        <v>2117</v>
      </c>
      <c r="BE76" s="81" t="s">
        <v>2118</v>
      </c>
      <c r="BF76" s="81" t="s">
        <v>2119</v>
      </c>
      <c r="BG76" s="81" t="s">
        <v>2120</v>
      </c>
      <c r="BH76" s="81" t="s">
        <v>4693</v>
      </c>
      <c r="BI76" s="81" t="s">
        <v>4997</v>
      </c>
      <c r="BJ76" s="81" t="s">
        <v>136</v>
      </c>
      <c r="BL76" s="81" t="s">
        <v>740</v>
      </c>
      <c r="BM76" s="81">
        <v>73</v>
      </c>
      <c r="BN76" s="81" t="str">
        <f t="shared" si="60"/>
        <v>='September 24'!C12</v>
      </c>
      <c r="BP76" s="81" t="str">
        <f t="shared" ca="1" si="71"/>
        <v/>
      </c>
      <c r="BR76" s="84">
        <f t="shared" si="64"/>
        <v>0</v>
      </c>
      <c r="BS76" s="84">
        <f t="shared" si="65"/>
        <v>0</v>
      </c>
      <c r="CA76" s="81" t="s">
        <v>2</v>
      </c>
      <c r="CB76" s="81">
        <f t="shared" si="72"/>
        <v>0</v>
      </c>
      <c r="CC76" s="81">
        <f t="shared" si="73"/>
        <v>0</v>
      </c>
      <c r="CD76" s="81" t="s">
        <v>16</v>
      </c>
      <c r="CE76" s="81">
        <f t="shared" si="74"/>
        <v>0</v>
      </c>
      <c r="CF76" s="81">
        <f t="shared" si="75"/>
        <v>0</v>
      </c>
      <c r="CG76" s="81" t="s">
        <v>5</v>
      </c>
      <c r="CH76" s="81">
        <f t="shared" si="76"/>
        <v>0</v>
      </c>
      <c r="CI76" s="81">
        <f t="shared" si="77"/>
        <v>0</v>
      </c>
      <c r="CJ76" s="81" t="s">
        <v>18</v>
      </c>
      <c r="CK76" s="81">
        <f t="shared" si="78"/>
        <v>0</v>
      </c>
      <c r="CL76" s="81">
        <f t="shared" si="79"/>
        <v>0</v>
      </c>
      <c r="CM76" s="81" t="s">
        <v>4</v>
      </c>
      <c r="CN76" s="81">
        <f t="shared" si="80"/>
        <v>0</v>
      </c>
      <c r="CO76" s="81">
        <f t="shared" si="81"/>
        <v>0</v>
      </c>
      <c r="CP76" s="81" t="s">
        <v>22</v>
      </c>
      <c r="CQ76" s="81">
        <f t="shared" si="82"/>
        <v>0</v>
      </c>
      <c r="CR76" s="81">
        <f t="shared" si="83"/>
        <v>0</v>
      </c>
      <c r="CS76" s="81" t="s">
        <v>21</v>
      </c>
      <c r="CT76" s="81">
        <f t="shared" si="84"/>
        <v>0</v>
      </c>
      <c r="CU76" s="81">
        <f t="shared" si="85"/>
        <v>0</v>
      </c>
      <c r="CV76" s="81" t="s">
        <v>998</v>
      </c>
      <c r="CW76" s="81">
        <f t="shared" si="86"/>
        <v>0</v>
      </c>
      <c r="CX76" s="81">
        <f t="shared" si="87"/>
        <v>0</v>
      </c>
      <c r="CY76" s="81" t="s">
        <v>19</v>
      </c>
      <c r="CZ76" s="81">
        <f t="shared" si="88"/>
        <v>0</v>
      </c>
      <c r="DA76" s="81">
        <f t="shared" si="89"/>
        <v>0</v>
      </c>
      <c r="DB76" s="81" t="s">
        <v>20</v>
      </c>
      <c r="DC76" s="81">
        <f t="shared" si="90"/>
        <v>0</v>
      </c>
      <c r="DD76" s="81">
        <f t="shared" si="91"/>
        <v>0</v>
      </c>
      <c r="DE76" s="81" t="s">
        <v>23</v>
      </c>
      <c r="DF76" s="81">
        <f t="shared" si="92"/>
        <v>0</v>
      </c>
      <c r="DG76" s="81">
        <f t="shared" si="93"/>
        <v>0</v>
      </c>
      <c r="DH76" s="81" t="s">
        <v>15</v>
      </c>
      <c r="DI76" s="81">
        <f t="shared" si="94"/>
        <v>0</v>
      </c>
      <c r="DJ76" s="81">
        <f t="shared" si="95"/>
        <v>0</v>
      </c>
      <c r="DK76" s="81" t="s">
        <v>5298</v>
      </c>
      <c r="DL76" s="81">
        <f t="shared" si="96"/>
        <v>0</v>
      </c>
      <c r="DM76" s="81">
        <f t="shared" si="97"/>
        <v>0</v>
      </c>
      <c r="DN76" s="81" t="s">
        <v>7</v>
      </c>
      <c r="DO76" s="81">
        <f t="shared" si="98"/>
        <v>0</v>
      </c>
      <c r="DP76" s="81">
        <f t="shared" si="99"/>
        <v>0</v>
      </c>
      <c r="DQ76" s="81" t="s">
        <v>1</v>
      </c>
      <c r="DR76" s="81">
        <f t="shared" si="100"/>
        <v>0</v>
      </c>
      <c r="DS76" s="81">
        <f t="shared" si="101"/>
        <v>0</v>
      </c>
    </row>
    <row r="77" spans="14:123" x14ac:dyDescent="0.3">
      <c r="N77" s="81">
        <f>IF(Q78=0,IF(Q77=0,,"x"),)</f>
        <v>0</v>
      </c>
      <c r="O77" s="81">
        <f t="shared" si="102"/>
        <v>0</v>
      </c>
      <c r="P77" s="81">
        <f t="shared" si="66"/>
        <v>0</v>
      </c>
      <c r="Q77" s="81">
        <f t="shared" si="103"/>
        <v>0</v>
      </c>
      <c r="R77" s="81">
        <f>IF(W77="",,SUM($W$4:W77))</f>
        <v>0</v>
      </c>
      <c r="S77" s="81">
        <f t="shared" si="67"/>
        <v>0</v>
      </c>
      <c r="T77" s="81">
        <f t="shared" si="104"/>
        <v>0</v>
      </c>
      <c r="U77" s="81">
        <f t="shared" si="68"/>
        <v>0</v>
      </c>
      <c r="V77" s="81" t="str">
        <f t="shared" ca="1" si="69"/>
        <v/>
      </c>
      <c r="X77" s="81">
        <f t="shared" si="61"/>
        <v>0</v>
      </c>
      <c r="Y77" s="81">
        <f t="shared" si="62"/>
        <v>0</v>
      </c>
      <c r="AE77" s="81">
        <v>77</v>
      </c>
      <c r="AI77" s="81">
        <v>74</v>
      </c>
      <c r="AJ77" s="81" t="str">
        <f t="shared" si="57"/>
        <v>Oktober 24</v>
      </c>
      <c r="AK77" s="81" t="str">
        <f t="shared" si="53"/>
        <v>Oktober</v>
      </c>
      <c r="AL77" s="81">
        <f t="shared" si="54"/>
        <v>24</v>
      </c>
      <c r="AM77" s="81" t="str">
        <f t="shared" si="70"/>
        <v>='Oktober 24'!</v>
      </c>
      <c r="AN77" s="81" t="str">
        <f t="shared" si="63"/>
        <v>='Oktober 24'!C27</v>
      </c>
      <c r="AO77" s="81" t="s">
        <v>1077</v>
      </c>
      <c r="AR77" s="81" t="s">
        <v>137</v>
      </c>
      <c r="AS77" s="83" t="str">
        <f t="shared" si="58"/>
        <v>='Oktober 24'!C6</v>
      </c>
      <c r="AT77" s="83">
        <f t="shared" si="59"/>
        <v>0</v>
      </c>
      <c r="AV77" s="81" t="s">
        <v>438</v>
      </c>
      <c r="AW77" s="81" t="s">
        <v>2121</v>
      </c>
      <c r="AX77" s="81" t="s">
        <v>2122</v>
      </c>
      <c r="AY77" s="81" t="s">
        <v>2123</v>
      </c>
      <c r="AZ77" s="81" t="s">
        <v>2124</v>
      </c>
      <c r="BA77" s="81" t="s">
        <v>2125</v>
      </c>
      <c r="BB77" s="81" t="s">
        <v>2126</v>
      </c>
      <c r="BC77" s="81" t="s">
        <v>2127</v>
      </c>
      <c r="BD77" s="81" t="s">
        <v>2128</v>
      </c>
      <c r="BE77" s="81" t="s">
        <v>2129</v>
      </c>
      <c r="BF77" s="81" t="s">
        <v>2130</v>
      </c>
      <c r="BG77" s="81" t="s">
        <v>2131</v>
      </c>
      <c r="BH77" s="81" t="s">
        <v>4694</v>
      </c>
      <c r="BI77" s="81" t="s">
        <v>4998</v>
      </c>
      <c r="BJ77" s="81" t="s">
        <v>137</v>
      </c>
      <c r="BL77" s="81" t="s">
        <v>741</v>
      </c>
      <c r="BM77" s="81">
        <v>74</v>
      </c>
      <c r="BN77" s="81" t="str">
        <f t="shared" si="60"/>
        <v>='Oktober 24'!C12</v>
      </c>
      <c r="BP77" s="81" t="str">
        <f t="shared" ca="1" si="71"/>
        <v/>
      </c>
      <c r="BR77" s="84">
        <f t="shared" si="64"/>
        <v>0</v>
      </c>
      <c r="BS77" s="84">
        <f t="shared" si="65"/>
        <v>0</v>
      </c>
      <c r="CA77" s="81" t="s">
        <v>2</v>
      </c>
      <c r="CB77" s="81">
        <f t="shared" si="72"/>
        <v>0</v>
      </c>
      <c r="CC77" s="81">
        <f t="shared" si="73"/>
        <v>0</v>
      </c>
      <c r="CD77" s="81" t="s">
        <v>16</v>
      </c>
      <c r="CE77" s="81">
        <f t="shared" si="74"/>
        <v>0</v>
      </c>
      <c r="CF77" s="81">
        <f t="shared" si="75"/>
        <v>0</v>
      </c>
      <c r="CG77" s="81" t="s">
        <v>5</v>
      </c>
      <c r="CH77" s="81">
        <f t="shared" si="76"/>
        <v>0</v>
      </c>
      <c r="CI77" s="81">
        <f t="shared" si="77"/>
        <v>0</v>
      </c>
      <c r="CJ77" s="81" t="s">
        <v>18</v>
      </c>
      <c r="CK77" s="81">
        <f t="shared" si="78"/>
        <v>0</v>
      </c>
      <c r="CL77" s="81">
        <f t="shared" si="79"/>
        <v>0</v>
      </c>
      <c r="CM77" s="81" t="s">
        <v>4</v>
      </c>
      <c r="CN77" s="81">
        <f t="shared" si="80"/>
        <v>0</v>
      </c>
      <c r="CO77" s="81">
        <f t="shared" si="81"/>
        <v>0</v>
      </c>
      <c r="CP77" s="81" t="s">
        <v>22</v>
      </c>
      <c r="CQ77" s="81">
        <f t="shared" si="82"/>
        <v>0</v>
      </c>
      <c r="CR77" s="81">
        <f t="shared" si="83"/>
        <v>0</v>
      </c>
      <c r="CS77" s="81" t="s">
        <v>21</v>
      </c>
      <c r="CT77" s="81">
        <f t="shared" si="84"/>
        <v>0</v>
      </c>
      <c r="CU77" s="81">
        <f t="shared" si="85"/>
        <v>0</v>
      </c>
      <c r="CV77" s="81" t="s">
        <v>998</v>
      </c>
      <c r="CW77" s="81">
        <f t="shared" si="86"/>
        <v>0</v>
      </c>
      <c r="CX77" s="81">
        <f t="shared" si="87"/>
        <v>0</v>
      </c>
      <c r="CY77" s="81" t="s">
        <v>19</v>
      </c>
      <c r="CZ77" s="81">
        <f t="shared" si="88"/>
        <v>0</v>
      </c>
      <c r="DA77" s="81">
        <f t="shared" si="89"/>
        <v>0</v>
      </c>
      <c r="DB77" s="81" t="s">
        <v>20</v>
      </c>
      <c r="DC77" s="81">
        <f t="shared" si="90"/>
        <v>0</v>
      </c>
      <c r="DD77" s="81">
        <f t="shared" si="91"/>
        <v>0</v>
      </c>
      <c r="DE77" s="81" t="s">
        <v>23</v>
      </c>
      <c r="DF77" s="81">
        <f t="shared" si="92"/>
        <v>0</v>
      </c>
      <c r="DG77" s="81">
        <f t="shared" si="93"/>
        <v>0</v>
      </c>
      <c r="DH77" s="81" t="s">
        <v>15</v>
      </c>
      <c r="DI77" s="81">
        <f t="shared" si="94"/>
        <v>0</v>
      </c>
      <c r="DJ77" s="81">
        <f t="shared" si="95"/>
        <v>0</v>
      </c>
      <c r="DK77" s="81" t="s">
        <v>5299</v>
      </c>
      <c r="DL77" s="81">
        <f t="shared" si="96"/>
        <v>0</v>
      </c>
      <c r="DM77" s="81">
        <f t="shared" si="97"/>
        <v>0</v>
      </c>
      <c r="DN77" s="81" t="s">
        <v>7</v>
      </c>
      <c r="DO77" s="81">
        <f t="shared" si="98"/>
        <v>0</v>
      </c>
      <c r="DP77" s="81">
        <f t="shared" si="99"/>
        <v>0</v>
      </c>
      <c r="DQ77" s="81" t="s">
        <v>1</v>
      </c>
      <c r="DR77" s="81">
        <f t="shared" si="100"/>
        <v>0</v>
      </c>
      <c r="DS77" s="81">
        <f t="shared" si="101"/>
        <v>0</v>
      </c>
    </row>
    <row r="78" spans="14:123" x14ac:dyDescent="0.3">
      <c r="N78" s="81">
        <f>IF(Q79=0,IF(Q78=0,,"x"),)</f>
        <v>0</v>
      </c>
      <c r="O78" s="81">
        <f t="shared" si="102"/>
        <v>0</v>
      </c>
      <c r="P78" s="81">
        <f t="shared" si="66"/>
        <v>0</v>
      </c>
      <c r="Q78" s="81">
        <f t="shared" si="103"/>
        <v>0</v>
      </c>
      <c r="R78" s="81">
        <f>IF(W78="",,SUM($W$4:W78))</f>
        <v>0</v>
      </c>
      <c r="S78" s="81">
        <f t="shared" si="67"/>
        <v>0</v>
      </c>
      <c r="T78" s="81">
        <f t="shared" si="104"/>
        <v>0</v>
      </c>
      <c r="U78" s="81">
        <f t="shared" si="68"/>
        <v>0</v>
      </c>
      <c r="V78" s="81" t="str">
        <f t="shared" ca="1" si="69"/>
        <v/>
      </c>
      <c r="X78" s="81">
        <f t="shared" si="61"/>
        <v>0</v>
      </c>
      <c r="Y78" s="81">
        <f t="shared" si="62"/>
        <v>0</v>
      </c>
      <c r="AE78" s="81">
        <v>78</v>
      </c>
      <c r="AI78" s="81">
        <v>75</v>
      </c>
      <c r="AJ78" s="81" t="str">
        <f t="shared" si="57"/>
        <v>November 24</v>
      </c>
      <c r="AK78" s="81" t="str">
        <f t="shared" si="53"/>
        <v>November</v>
      </c>
      <c r="AL78" s="81">
        <f t="shared" si="54"/>
        <v>24</v>
      </c>
      <c r="AM78" s="81" t="str">
        <f t="shared" si="70"/>
        <v>='November 24'!</v>
      </c>
      <c r="AN78" s="81" t="str">
        <f t="shared" si="63"/>
        <v>='November 24'!C27</v>
      </c>
      <c r="AO78" s="81" t="s">
        <v>1078</v>
      </c>
      <c r="AR78" s="81" t="s">
        <v>138</v>
      </c>
      <c r="AS78" s="83" t="str">
        <f t="shared" si="58"/>
        <v>='November 24'!C6</v>
      </c>
      <c r="AT78" s="83">
        <f t="shared" si="59"/>
        <v>0</v>
      </c>
      <c r="AV78" s="81" t="s">
        <v>439</v>
      </c>
      <c r="AW78" s="81" t="s">
        <v>2132</v>
      </c>
      <c r="AX78" s="81" t="s">
        <v>2133</v>
      </c>
      <c r="AY78" s="81" t="s">
        <v>2134</v>
      </c>
      <c r="AZ78" s="81" t="s">
        <v>2135</v>
      </c>
      <c r="BA78" s="81" t="s">
        <v>2136</v>
      </c>
      <c r="BB78" s="81" t="s">
        <v>2137</v>
      </c>
      <c r="BC78" s="81" t="s">
        <v>2138</v>
      </c>
      <c r="BD78" s="81" t="s">
        <v>2139</v>
      </c>
      <c r="BE78" s="81" t="s">
        <v>2140</v>
      </c>
      <c r="BF78" s="81" t="s">
        <v>2141</v>
      </c>
      <c r="BG78" s="81" t="s">
        <v>2142</v>
      </c>
      <c r="BH78" s="81" t="s">
        <v>4695</v>
      </c>
      <c r="BI78" s="81" t="s">
        <v>4999</v>
      </c>
      <c r="BJ78" s="81" t="s">
        <v>138</v>
      </c>
      <c r="BL78" s="81" t="s">
        <v>742</v>
      </c>
      <c r="BM78" s="81">
        <v>75</v>
      </c>
      <c r="BN78" s="81" t="str">
        <f t="shared" si="60"/>
        <v>='November 24'!C12</v>
      </c>
      <c r="BP78" s="81" t="str">
        <f t="shared" ca="1" si="71"/>
        <v/>
      </c>
      <c r="BR78" s="84">
        <f t="shared" si="64"/>
        <v>0</v>
      </c>
      <c r="BS78" s="84">
        <f t="shared" si="65"/>
        <v>0</v>
      </c>
      <c r="CA78" s="81" t="s">
        <v>2</v>
      </c>
      <c r="CB78" s="81">
        <f t="shared" si="72"/>
        <v>0</v>
      </c>
      <c r="CC78" s="81">
        <f t="shared" si="73"/>
        <v>0</v>
      </c>
      <c r="CD78" s="81" t="s">
        <v>16</v>
      </c>
      <c r="CE78" s="81">
        <f t="shared" si="74"/>
        <v>0</v>
      </c>
      <c r="CF78" s="81">
        <f t="shared" si="75"/>
        <v>0</v>
      </c>
      <c r="CG78" s="81" t="s">
        <v>5</v>
      </c>
      <c r="CH78" s="81">
        <f t="shared" si="76"/>
        <v>0</v>
      </c>
      <c r="CI78" s="81">
        <f t="shared" si="77"/>
        <v>0</v>
      </c>
      <c r="CJ78" s="81" t="s">
        <v>18</v>
      </c>
      <c r="CK78" s="81">
        <f t="shared" si="78"/>
        <v>0</v>
      </c>
      <c r="CL78" s="81">
        <f t="shared" si="79"/>
        <v>0</v>
      </c>
      <c r="CM78" s="81" t="s">
        <v>4</v>
      </c>
      <c r="CN78" s="81">
        <f t="shared" si="80"/>
        <v>0</v>
      </c>
      <c r="CO78" s="81">
        <f t="shared" si="81"/>
        <v>0</v>
      </c>
      <c r="CP78" s="81" t="s">
        <v>22</v>
      </c>
      <c r="CQ78" s="81">
        <f t="shared" si="82"/>
        <v>0</v>
      </c>
      <c r="CR78" s="81">
        <f t="shared" si="83"/>
        <v>0</v>
      </c>
      <c r="CS78" s="81" t="s">
        <v>21</v>
      </c>
      <c r="CT78" s="81">
        <f t="shared" si="84"/>
        <v>0</v>
      </c>
      <c r="CU78" s="81">
        <f t="shared" si="85"/>
        <v>0</v>
      </c>
      <c r="CV78" s="81" t="s">
        <v>998</v>
      </c>
      <c r="CW78" s="81">
        <f t="shared" si="86"/>
        <v>0</v>
      </c>
      <c r="CX78" s="81">
        <f t="shared" si="87"/>
        <v>0</v>
      </c>
      <c r="CY78" s="81" t="s">
        <v>19</v>
      </c>
      <c r="CZ78" s="81">
        <f t="shared" si="88"/>
        <v>0</v>
      </c>
      <c r="DA78" s="81">
        <f t="shared" si="89"/>
        <v>0</v>
      </c>
      <c r="DB78" s="81" t="s">
        <v>20</v>
      </c>
      <c r="DC78" s="81">
        <f t="shared" si="90"/>
        <v>0</v>
      </c>
      <c r="DD78" s="81">
        <f t="shared" si="91"/>
        <v>0</v>
      </c>
      <c r="DE78" s="81" t="s">
        <v>23</v>
      </c>
      <c r="DF78" s="81">
        <f t="shared" si="92"/>
        <v>0</v>
      </c>
      <c r="DG78" s="81">
        <f t="shared" si="93"/>
        <v>0</v>
      </c>
      <c r="DH78" s="81" t="s">
        <v>15</v>
      </c>
      <c r="DI78" s="81">
        <f t="shared" si="94"/>
        <v>0</v>
      </c>
      <c r="DJ78" s="81">
        <f t="shared" si="95"/>
        <v>0</v>
      </c>
      <c r="DK78" s="81" t="s">
        <v>5300</v>
      </c>
      <c r="DL78" s="81">
        <f t="shared" si="96"/>
        <v>0</v>
      </c>
      <c r="DM78" s="81">
        <f t="shared" si="97"/>
        <v>0</v>
      </c>
      <c r="DN78" s="81" t="s">
        <v>7</v>
      </c>
      <c r="DO78" s="81">
        <f t="shared" si="98"/>
        <v>0</v>
      </c>
      <c r="DP78" s="81">
        <f t="shared" si="99"/>
        <v>0</v>
      </c>
      <c r="DQ78" s="81" t="s">
        <v>1</v>
      </c>
      <c r="DR78" s="81">
        <f t="shared" si="100"/>
        <v>0</v>
      </c>
      <c r="DS78" s="81">
        <f t="shared" si="101"/>
        <v>0</v>
      </c>
    </row>
    <row r="79" spans="14:123" x14ac:dyDescent="0.3">
      <c r="N79" s="81">
        <f>IF(Q80=0,IF(Q79=0,,"x"),)</f>
        <v>0</v>
      </c>
      <c r="O79" s="81">
        <f t="shared" si="102"/>
        <v>0</v>
      </c>
      <c r="P79" s="81">
        <f t="shared" si="66"/>
        <v>0</v>
      </c>
      <c r="Q79" s="81">
        <f t="shared" si="103"/>
        <v>0</v>
      </c>
      <c r="R79" s="81">
        <f>IF(W79="",,SUM($W$4:W79))</f>
        <v>0</v>
      </c>
      <c r="S79" s="81">
        <f t="shared" si="67"/>
        <v>0</v>
      </c>
      <c r="T79" s="81">
        <f t="shared" si="104"/>
        <v>0</v>
      </c>
      <c r="U79" s="81">
        <f t="shared" si="68"/>
        <v>0</v>
      </c>
      <c r="V79" s="81" t="str">
        <f t="shared" ca="1" si="69"/>
        <v/>
      </c>
      <c r="X79" s="81">
        <f t="shared" si="61"/>
        <v>0</v>
      </c>
      <c r="Y79" s="81">
        <f t="shared" si="62"/>
        <v>0</v>
      </c>
      <c r="AE79" s="81">
        <v>79</v>
      </c>
      <c r="AI79" s="81">
        <v>76</v>
      </c>
      <c r="AJ79" s="81" t="str">
        <f t="shared" si="57"/>
        <v>December 24</v>
      </c>
      <c r="AK79" s="81" t="str">
        <f t="shared" si="53"/>
        <v>December</v>
      </c>
      <c r="AL79" s="81">
        <f t="shared" si="54"/>
        <v>24</v>
      </c>
      <c r="AM79" s="81" t="str">
        <f t="shared" si="70"/>
        <v>='December 24'!</v>
      </c>
      <c r="AN79" s="81" t="str">
        <f t="shared" si="63"/>
        <v>='December 24'!C27</v>
      </c>
      <c r="AO79" s="81" t="s">
        <v>1079</v>
      </c>
      <c r="AR79" s="81" t="s">
        <v>139</v>
      </c>
      <c r="AS79" s="83" t="str">
        <f t="shared" si="58"/>
        <v>='December 24'!C6</v>
      </c>
      <c r="AT79" s="83">
        <f t="shared" si="59"/>
        <v>0</v>
      </c>
      <c r="AV79" s="81" t="s">
        <v>440</v>
      </c>
      <c r="AW79" s="81" t="s">
        <v>2143</v>
      </c>
      <c r="AX79" s="81" t="s">
        <v>2144</v>
      </c>
      <c r="AY79" s="81" t="s">
        <v>2145</v>
      </c>
      <c r="AZ79" s="81" t="s">
        <v>2146</v>
      </c>
      <c r="BA79" s="81" t="s">
        <v>2147</v>
      </c>
      <c r="BB79" s="81" t="s">
        <v>2148</v>
      </c>
      <c r="BC79" s="81" t="s">
        <v>2149</v>
      </c>
      <c r="BD79" s="81" t="s">
        <v>2150</v>
      </c>
      <c r="BE79" s="81" t="s">
        <v>2151</v>
      </c>
      <c r="BF79" s="81" t="s">
        <v>2152</v>
      </c>
      <c r="BG79" s="81" t="s">
        <v>2153</v>
      </c>
      <c r="BH79" s="81" t="s">
        <v>4696</v>
      </c>
      <c r="BI79" s="81" t="s">
        <v>5000</v>
      </c>
      <c r="BJ79" s="81" t="s">
        <v>139</v>
      </c>
      <c r="BL79" s="81" t="s">
        <v>743</v>
      </c>
      <c r="BM79" s="81">
        <v>76</v>
      </c>
      <c r="BN79" s="81" t="str">
        <f t="shared" si="60"/>
        <v>='December 24'!C12</v>
      </c>
      <c r="BP79" s="81" t="str">
        <f t="shared" ca="1" si="71"/>
        <v/>
      </c>
      <c r="BR79" s="84">
        <f t="shared" si="64"/>
        <v>0</v>
      </c>
      <c r="BS79" s="84">
        <f t="shared" si="65"/>
        <v>0</v>
      </c>
      <c r="CA79" s="81" t="s">
        <v>2</v>
      </c>
      <c r="CB79" s="81">
        <f t="shared" si="72"/>
        <v>0</v>
      </c>
      <c r="CC79" s="81">
        <f t="shared" si="73"/>
        <v>0</v>
      </c>
      <c r="CD79" s="81" t="s">
        <v>16</v>
      </c>
      <c r="CE79" s="81">
        <f t="shared" si="74"/>
        <v>0</v>
      </c>
      <c r="CF79" s="81">
        <f t="shared" si="75"/>
        <v>0</v>
      </c>
      <c r="CG79" s="81" t="s">
        <v>5</v>
      </c>
      <c r="CH79" s="81">
        <f t="shared" si="76"/>
        <v>0</v>
      </c>
      <c r="CI79" s="81">
        <f t="shared" si="77"/>
        <v>0</v>
      </c>
      <c r="CJ79" s="81" t="s">
        <v>18</v>
      </c>
      <c r="CK79" s="81">
        <f t="shared" si="78"/>
        <v>0</v>
      </c>
      <c r="CL79" s="81">
        <f t="shared" si="79"/>
        <v>0</v>
      </c>
      <c r="CM79" s="81" t="s">
        <v>4</v>
      </c>
      <c r="CN79" s="81">
        <f t="shared" si="80"/>
        <v>0</v>
      </c>
      <c r="CO79" s="81">
        <f t="shared" si="81"/>
        <v>0</v>
      </c>
      <c r="CP79" s="81" t="s">
        <v>22</v>
      </c>
      <c r="CQ79" s="81">
        <f t="shared" si="82"/>
        <v>0</v>
      </c>
      <c r="CR79" s="81">
        <f t="shared" si="83"/>
        <v>0</v>
      </c>
      <c r="CS79" s="81" t="s">
        <v>21</v>
      </c>
      <c r="CT79" s="81">
        <f t="shared" si="84"/>
        <v>0</v>
      </c>
      <c r="CU79" s="81">
        <f t="shared" si="85"/>
        <v>0</v>
      </c>
      <c r="CV79" s="81" t="s">
        <v>998</v>
      </c>
      <c r="CW79" s="81">
        <f t="shared" si="86"/>
        <v>0</v>
      </c>
      <c r="CX79" s="81">
        <f t="shared" si="87"/>
        <v>0</v>
      </c>
      <c r="CY79" s="81" t="s">
        <v>19</v>
      </c>
      <c r="CZ79" s="81">
        <f t="shared" si="88"/>
        <v>0</v>
      </c>
      <c r="DA79" s="81">
        <f t="shared" si="89"/>
        <v>0</v>
      </c>
      <c r="DB79" s="81" t="s">
        <v>20</v>
      </c>
      <c r="DC79" s="81">
        <f t="shared" si="90"/>
        <v>0</v>
      </c>
      <c r="DD79" s="81">
        <f t="shared" si="91"/>
        <v>0</v>
      </c>
      <c r="DE79" s="81" t="s">
        <v>23</v>
      </c>
      <c r="DF79" s="81">
        <f t="shared" si="92"/>
        <v>0</v>
      </c>
      <c r="DG79" s="81">
        <f t="shared" si="93"/>
        <v>0</v>
      </c>
      <c r="DH79" s="81" t="s">
        <v>15</v>
      </c>
      <c r="DI79" s="81">
        <f t="shared" si="94"/>
        <v>0</v>
      </c>
      <c r="DJ79" s="81">
        <f t="shared" si="95"/>
        <v>0</v>
      </c>
      <c r="DK79" s="81" t="s">
        <v>5301</v>
      </c>
      <c r="DL79" s="81">
        <f t="shared" si="96"/>
        <v>0</v>
      </c>
      <c r="DM79" s="81">
        <f t="shared" si="97"/>
        <v>0</v>
      </c>
      <c r="DN79" s="81" t="s">
        <v>7</v>
      </c>
      <c r="DO79" s="81">
        <f t="shared" si="98"/>
        <v>0</v>
      </c>
      <c r="DP79" s="81">
        <f t="shared" si="99"/>
        <v>0</v>
      </c>
      <c r="DQ79" s="81" t="s">
        <v>1</v>
      </c>
      <c r="DR79" s="81">
        <f t="shared" si="100"/>
        <v>0</v>
      </c>
      <c r="DS79" s="81">
        <f t="shared" si="101"/>
        <v>0</v>
      </c>
    </row>
    <row r="80" spans="14:123" x14ac:dyDescent="0.3">
      <c r="N80" s="81">
        <f>IF(Q81=0,IF(Q80=0,,"x"),)</f>
        <v>0</v>
      </c>
      <c r="O80" s="81">
        <f t="shared" si="102"/>
        <v>0</v>
      </c>
      <c r="P80" s="81">
        <f t="shared" si="66"/>
        <v>0</v>
      </c>
      <c r="Q80" s="81">
        <f t="shared" si="103"/>
        <v>0</v>
      </c>
      <c r="R80" s="81">
        <f>IF(W80="",,SUM($W$4:W80))</f>
        <v>0</v>
      </c>
      <c r="S80" s="81">
        <f t="shared" si="67"/>
        <v>0</v>
      </c>
      <c r="T80" s="81">
        <f t="shared" si="104"/>
        <v>0</v>
      </c>
      <c r="U80" s="81">
        <f t="shared" si="68"/>
        <v>0</v>
      </c>
      <c r="V80" s="81" t="str">
        <f t="shared" ca="1" si="69"/>
        <v/>
      </c>
      <c r="X80" s="81">
        <f t="shared" si="61"/>
        <v>0</v>
      </c>
      <c r="Y80" s="81">
        <f t="shared" si="62"/>
        <v>0</v>
      </c>
      <c r="AE80" s="81">
        <v>80</v>
      </c>
      <c r="AI80" s="81">
        <v>77</v>
      </c>
      <c r="AJ80" s="81" t="str">
        <f t="shared" si="57"/>
        <v>Januari 25</v>
      </c>
      <c r="AK80" s="81" t="str">
        <f t="shared" si="53"/>
        <v>Januari</v>
      </c>
      <c r="AL80" s="81">
        <f t="shared" ref="AL80:AL143" si="105">IFERROR(IF(AI80=AI79+1,IF(SUM(AL68:AL79)/12=AL79,AL79+1,AL79)," ")," ")</f>
        <v>25</v>
      </c>
      <c r="AM80" s="81" t="str">
        <f t="shared" si="70"/>
        <v>='Januari 25'!</v>
      </c>
      <c r="AN80" s="81" t="str">
        <f t="shared" si="63"/>
        <v>='Januari 25'!C27</v>
      </c>
      <c r="AO80" s="81" t="s">
        <v>1080</v>
      </c>
      <c r="AR80" s="81" t="s">
        <v>140</v>
      </c>
      <c r="AS80" s="83" t="str">
        <f t="shared" si="58"/>
        <v>='Januari 25'!C6</v>
      </c>
      <c r="AT80" s="83">
        <f t="shared" si="59"/>
        <v>0</v>
      </c>
      <c r="AV80" s="81" t="s">
        <v>441</v>
      </c>
      <c r="AW80" s="81" t="s">
        <v>2154</v>
      </c>
      <c r="AX80" s="81" t="s">
        <v>2155</v>
      </c>
      <c r="AY80" s="81" t="s">
        <v>2156</v>
      </c>
      <c r="AZ80" s="81" t="s">
        <v>2157</v>
      </c>
      <c r="BA80" s="81" t="s">
        <v>2158</v>
      </c>
      <c r="BB80" s="81" t="s">
        <v>2159</v>
      </c>
      <c r="BC80" s="81" t="s">
        <v>2160</v>
      </c>
      <c r="BD80" s="81" t="s">
        <v>2161</v>
      </c>
      <c r="BE80" s="81" t="s">
        <v>2162</v>
      </c>
      <c r="BF80" s="81" t="s">
        <v>2163</v>
      </c>
      <c r="BG80" s="81" t="s">
        <v>2164</v>
      </c>
      <c r="BH80" s="81" t="s">
        <v>4697</v>
      </c>
      <c r="BI80" s="81" t="s">
        <v>5001</v>
      </c>
      <c r="BJ80" s="81" t="s">
        <v>140</v>
      </c>
      <c r="BL80" s="81" t="s">
        <v>744</v>
      </c>
      <c r="BM80" s="81">
        <v>77</v>
      </c>
      <c r="BN80" s="81" t="str">
        <f t="shared" si="60"/>
        <v>='Januari 25'!C12</v>
      </c>
      <c r="BP80" s="81" t="str">
        <f t="shared" ca="1" si="71"/>
        <v/>
      </c>
      <c r="BR80" s="84">
        <f t="shared" si="64"/>
        <v>0</v>
      </c>
      <c r="BS80" s="84">
        <f t="shared" si="65"/>
        <v>0</v>
      </c>
      <c r="CA80" s="81" t="s">
        <v>2</v>
      </c>
      <c r="CB80" s="81">
        <f t="shared" si="72"/>
        <v>0</v>
      </c>
      <c r="CC80" s="81">
        <f t="shared" si="73"/>
        <v>0</v>
      </c>
      <c r="CD80" s="81" t="s">
        <v>16</v>
      </c>
      <c r="CE80" s="81">
        <f t="shared" si="74"/>
        <v>0</v>
      </c>
      <c r="CF80" s="81">
        <f t="shared" si="75"/>
        <v>0</v>
      </c>
      <c r="CG80" s="81" t="s">
        <v>5</v>
      </c>
      <c r="CH80" s="81">
        <f t="shared" si="76"/>
        <v>0</v>
      </c>
      <c r="CI80" s="81">
        <f t="shared" si="77"/>
        <v>0</v>
      </c>
      <c r="CJ80" s="81" t="s">
        <v>18</v>
      </c>
      <c r="CK80" s="81">
        <f t="shared" si="78"/>
        <v>0</v>
      </c>
      <c r="CL80" s="81">
        <f t="shared" si="79"/>
        <v>0</v>
      </c>
      <c r="CM80" s="81" t="s">
        <v>4</v>
      </c>
      <c r="CN80" s="81">
        <f t="shared" si="80"/>
        <v>0</v>
      </c>
      <c r="CO80" s="81">
        <f t="shared" si="81"/>
        <v>0</v>
      </c>
      <c r="CP80" s="81" t="s">
        <v>22</v>
      </c>
      <c r="CQ80" s="81">
        <f t="shared" si="82"/>
        <v>0</v>
      </c>
      <c r="CR80" s="81">
        <f t="shared" si="83"/>
        <v>0</v>
      </c>
      <c r="CS80" s="81" t="s">
        <v>21</v>
      </c>
      <c r="CT80" s="81">
        <f t="shared" si="84"/>
        <v>0</v>
      </c>
      <c r="CU80" s="81">
        <f t="shared" si="85"/>
        <v>0</v>
      </c>
      <c r="CV80" s="81" t="s">
        <v>998</v>
      </c>
      <c r="CW80" s="81">
        <f t="shared" si="86"/>
        <v>0</v>
      </c>
      <c r="CX80" s="81">
        <f t="shared" si="87"/>
        <v>0</v>
      </c>
      <c r="CY80" s="81" t="s">
        <v>19</v>
      </c>
      <c r="CZ80" s="81">
        <f t="shared" si="88"/>
        <v>0</v>
      </c>
      <c r="DA80" s="81">
        <f t="shared" si="89"/>
        <v>0</v>
      </c>
      <c r="DB80" s="81" t="s">
        <v>20</v>
      </c>
      <c r="DC80" s="81">
        <f t="shared" si="90"/>
        <v>0</v>
      </c>
      <c r="DD80" s="81">
        <f t="shared" si="91"/>
        <v>0</v>
      </c>
      <c r="DE80" s="81" t="s">
        <v>23</v>
      </c>
      <c r="DF80" s="81">
        <f t="shared" si="92"/>
        <v>0</v>
      </c>
      <c r="DG80" s="81">
        <f t="shared" si="93"/>
        <v>0</v>
      </c>
      <c r="DH80" s="81" t="s">
        <v>15</v>
      </c>
      <c r="DI80" s="81">
        <f t="shared" si="94"/>
        <v>0</v>
      </c>
      <c r="DJ80" s="81">
        <f t="shared" si="95"/>
        <v>0</v>
      </c>
      <c r="DK80" s="81" t="s">
        <v>5302</v>
      </c>
      <c r="DL80" s="81">
        <f t="shared" si="96"/>
        <v>0</v>
      </c>
      <c r="DM80" s="81">
        <f t="shared" si="97"/>
        <v>0</v>
      </c>
      <c r="DN80" s="81" t="s">
        <v>7</v>
      </c>
      <c r="DO80" s="81">
        <f t="shared" si="98"/>
        <v>0</v>
      </c>
      <c r="DP80" s="81">
        <f t="shared" si="99"/>
        <v>0</v>
      </c>
      <c r="DQ80" s="81" t="s">
        <v>1</v>
      </c>
      <c r="DR80" s="81">
        <f t="shared" si="100"/>
        <v>0</v>
      </c>
      <c r="DS80" s="81">
        <f t="shared" si="101"/>
        <v>0</v>
      </c>
    </row>
    <row r="81" spans="14:123" x14ac:dyDescent="0.3">
      <c r="N81" s="81">
        <f>IF(Q82=0,IF(Q81=0,,"x"),)</f>
        <v>0</v>
      </c>
      <c r="O81" s="81">
        <f t="shared" si="102"/>
        <v>0</v>
      </c>
      <c r="P81" s="81">
        <f t="shared" si="66"/>
        <v>0</v>
      </c>
      <c r="Q81" s="81">
        <f t="shared" si="103"/>
        <v>0</v>
      </c>
      <c r="R81" s="81">
        <f>IF(W81="",,SUM($W$4:W81))</f>
        <v>0</v>
      </c>
      <c r="S81" s="81">
        <f t="shared" si="67"/>
        <v>0</v>
      </c>
      <c r="T81" s="81">
        <f t="shared" si="104"/>
        <v>0</v>
      </c>
      <c r="U81" s="81">
        <f t="shared" si="68"/>
        <v>0</v>
      </c>
      <c r="V81" s="81" t="str">
        <f t="shared" ca="1" si="69"/>
        <v/>
      </c>
      <c r="X81" s="81">
        <f t="shared" si="61"/>
        <v>0</v>
      </c>
      <c r="Y81" s="81">
        <f t="shared" si="62"/>
        <v>0</v>
      </c>
      <c r="AE81" s="81">
        <v>81</v>
      </c>
      <c r="AI81" s="81">
        <v>78</v>
      </c>
      <c r="AJ81" s="81" t="str">
        <f t="shared" si="57"/>
        <v>Februari 25</v>
      </c>
      <c r="AK81" s="81" t="str">
        <f t="shared" ref="AK81:AK144" si="106">AK69</f>
        <v>Februari</v>
      </c>
      <c r="AL81" s="81">
        <f t="shared" si="105"/>
        <v>25</v>
      </c>
      <c r="AM81" s="81" t="str">
        <f t="shared" si="70"/>
        <v>='Februari 25'!</v>
      </c>
      <c r="AN81" s="81" t="str">
        <f t="shared" si="63"/>
        <v>='Februari 25'!C27</v>
      </c>
      <c r="AO81" s="81" t="s">
        <v>1081</v>
      </c>
      <c r="AR81" s="81" t="s">
        <v>141</v>
      </c>
      <c r="AS81" s="83" t="str">
        <f t="shared" si="58"/>
        <v>='Februari 25'!C6</v>
      </c>
      <c r="AT81" s="83">
        <f t="shared" si="59"/>
        <v>0</v>
      </c>
      <c r="AV81" s="81" t="s">
        <v>442</v>
      </c>
      <c r="AW81" s="81" t="s">
        <v>2165</v>
      </c>
      <c r="AX81" s="81" t="s">
        <v>2166</v>
      </c>
      <c r="AY81" s="81" t="s">
        <v>2167</v>
      </c>
      <c r="AZ81" s="81" t="s">
        <v>2168</v>
      </c>
      <c r="BA81" s="81" t="s">
        <v>2169</v>
      </c>
      <c r="BB81" s="81" t="s">
        <v>2170</v>
      </c>
      <c r="BC81" s="81" t="s">
        <v>2171</v>
      </c>
      <c r="BD81" s="81" t="s">
        <v>2172</v>
      </c>
      <c r="BE81" s="81" t="s">
        <v>2173</v>
      </c>
      <c r="BF81" s="81" t="s">
        <v>2174</v>
      </c>
      <c r="BG81" s="81" t="s">
        <v>2175</v>
      </c>
      <c r="BH81" s="81" t="s">
        <v>4698</v>
      </c>
      <c r="BI81" s="81" t="s">
        <v>5002</v>
      </c>
      <c r="BJ81" s="81" t="s">
        <v>141</v>
      </c>
      <c r="BL81" s="81" t="s">
        <v>745</v>
      </c>
      <c r="BM81" s="81">
        <v>78</v>
      </c>
      <c r="BN81" s="81" t="str">
        <f t="shared" si="60"/>
        <v>='Februari 25'!C12</v>
      </c>
      <c r="BP81" s="81" t="str">
        <f t="shared" ca="1" si="71"/>
        <v/>
      </c>
      <c r="BR81" s="84">
        <f t="shared" si="64"/>
        <v>0</v>
      </c>
      <c r="BS81" s="84">
        <f t="shared" si="65"/>
        <v>0</v>
      </c>
      <c r="CA81" s="81" t="s">
        <v>2</v>
      </c>
      <c r="CB81" s="81">
        <f t="shared" si="72"/>
        <v>0</v>
      </c>
      <c r="CC81" s="81">
        <f t="shared" si="73"/>
        <v>0</v>
      </c>
      <c r="CD81" s="81" t="s">
        <v>16</v>
      </c>
      <c r="CE81" s="81">
        <f t="shared" si="74"/>
        <v>0</v>
      </c>
      <c r="CF81" s="81">
        <f t="shared" si="75"/>
        <v>0</v>
      </c>
      <c r="CG81" s="81" t="s">
        <v>5</v>
      </c>
      <c r="CH81" s="81">
        <f t="shared" si="76"/>
        <v>0</v>
      </c>
      <c r="CI81" s="81">
        <f t="shared" si="77"/>
        <v>0</v>
      </c>
      <c r="CJ81" s="81" t="s">
        <v>18</v>
      </c>
      <c r="CK81" s="81">
        <f t="shared" si="78"/>
        <v>0</v>
      </c>
      <c r="CL81" s="81">
        <f t="shared" si="79"/>
        <v>0</v>
      </c>
      <c r="CM81" s="81" t="s">
        <v>4</v>
      </c>
      <c r="CN81" s="81">
        <f t="shared" si="80"/>
        <v>0</v>
      </c>
      <c r="CO81" s="81">
        <f t="shared" si="81"/>
        <v>0</v>
      </c>
      <c r="CP81" s="81" t="s">
        <v>22</v>
      </c>
      <c r="CQ81" s="81">
        <f t="shared" si="82"/>
        <v>0</v>
      </c>
      <c r="CR81" s="81">
        <f t="shared" si="83"/>
        <v>0</v>
      </c>
      <c r="CS81" s="81" t="s">
        <v>21</v>
      </c>
      <c r="CT81" s="81">
        <f t="shared" si="84"/>
        <v>0</v>
      </c>
      <c r="CU81" s="81">
        <f t="shared" si="85"/>
        <v>0</v>
      </c>
      <c r="CV81" s="81" t="s">
        <v>998</v>
      </c>
      <c r="CW81" s="81">
        <f t="shared" si="86"/>
        <v>0</v>
      </c>
      <c r="CX81" s="81">
        <f t="shared" si="87"/>
        <v>0</v>
      </c>
      <c r="CY81" s="81" t="s">
        <v>19</v>
      </c>
      <c r="CZ81" s="81">
        <f t="shared" si="88"/>
        <v>0</v>
      </c>
      <c r="DA81" s="81">
        <f t="shared" si="89"/>
        <v>0</v>
      </c>
      <c r="DB81" s="81" t="s">
        <v>20</v>
      </c>
      <c r="DC81" s="81">
        <f t="shared" si="90"/>
        <v>0</v>
      </c>
      <c r="DD81" s="81">
        <f t="shared" si="91"/>
        <v>0</v>
      </c>
      <c r="DE81" s="81" t="s">
        <v>23</v>
      </c>
      <c r="DF81" s="81">
        <f t="shared" si="92"/>
        <v>0</v>
      </c>
      <c r="DG81" s="81">
        <f t="shared" si="93"/>
        <v>0</v>
      </c>
      <c r="DH81" s="81" t="s">
        <v>15</v>
      </c>
      <c r="DI81" s="81">
        <f t="shared" si="94"/>
        <v>0</v>
      </c>
      <c r="DJ81" s="81">
        <f t="shared" si="95"/>
        <v>0</v>
      </c>
      <c r="DK81" s="81" t="s">
        <v>5303</v>
      </c>
      <c r="DL81" s="81">
        <f t="shared" si="96"/>
        <v>0</v>
      </c>
      <c r="DM81" s="81">
        <f t="shared" si="97"/>
        <v>0</v>
      </c>
      <c r="DN81" s="81" t="s">
        <v>7</v>
      </c>
      <c r="DO81" s="81">
        <f t="shared" si="98"/>
        <v>0</v>
      </c>
      <c r="DP81" s="81">
        <f t="shared" si="99"/>
        <v>0</v>
      </c>
      <c r="DQ81" s="81" t="s">
        <v>1</v>
      </c>
      <c r="DR81" s="81">
        <f t="shared" si="100"/>
        <v>0</v>
      </c>
      <c r="DS81" s="81">
        <f t="shared" si="101"/>
        <v>0</v>
      </c>
    </row>
    <row r="82" spans="14:123" x14ac:dyDescent="0.3">
      <c r="N82" s="81">
        <f>IF(Q83=0,IF(Q82=0,,"x"),)</f>
        <v>0</v>
      </c>
      <c r="O82" s="81">
        <f t="shared" si="102"/>
        <v>0</v>
      </c>
      <c r="P82" s="81">
        <f t="shared" si="66"/>
        <v>0</v>
      </c>
      <c r="Q82" s="81">
        <f t="shared" si="103"/>
        <v>0</v>
      </c>
      <c r="R82" s="81">
        <f>IF(W82="",,SUM($W$4:W82))</f>
        <v>0</v>
      </c>
      <c r="S82" s="81">
        <f t="shared" si="67"/>
        <v>0</v>
      </c>
      <c r="T82" s="81">
        <f t="shared" si="104"/>
        <v>0</v>
      </c>
      <c r="U82" s="81">
        <f t="shared" si="68"/>
        <v>0</v>
      </c>
      <c r="V82" s="81" t="str">
        <f t="shared" ca="1" si="69"/>
        <v/>
      </c>
      <c r="X82" s="81">
        <f t="shared" si="61"/>
        <v>0</v>
      </c>
      <c r="Y82" s="81">
        <f t="shared" si="62"/>
        <v>0</v>
      </c>
      <c r="AE82" s="81">
        <v>82</v>
      </c>
      <c r="AI82" s="81">
        <v>79</v>
      </c>
      <c r="AJ82" s="81" t="str">
        <f t="shared" si="57"/>
        <v>Mars 25</v>
      </c>
      <c r="AK82" s="81" t="str">
        <f t="shared" si="106"/>
        <v>Mars</v>
      </c>
      <c r="AL82" s="81">
        <f t="shared" si="105"/>
        <v>25</v>
      </c>
      <c r="AM82" s="81" t="str">
        <f t="shared" si="70"/>
        <v>='Mars 25'!</v>
      </c>
      <c r="AN82" s="81" t="str">
        <f t="shared" si="63"/>
        <v>='Mars 25'!C27</v>
      </c>
      <c r="AO82" s="81" t="s">
        <v>1082</v>
      </c>
      <c r="AR82" s="81" t="s">
        <v>142</v>
      </c>
      <c r="AS82" s="83" t="str">
        <f t="shared" si="58"/>
        <v>='Mars 25'!C6</v>
      </c>
      <c r="AT82" s="83">
        <f t="shared" si="59"/>
        <v>0</v>
      </c>
      <c r="AV82" s="81" t="s">
        <v>443</v>
      </c>
      <c r="AW82" s="81" t="s">
        <v>2176</v>
      </c>
      <c r="AX82" s="81" t="s">
        <v>2177</v>
      </c>
      <c r="AY82" s="81" t="s">
        <v>2178</v>
      </c>
      <c r="AZ82" s="81" t="s">
        <v>2179</v>
      </c>
      <c r="BA82" s="81" t="s">
        <v>2180</v>
      </c>
      <c r="BB82" s="81" t="s">
        <v>2181</v>
      </c>
      <c r="BC82" s="81" t="s">
        <v>2182</v>
      </c>
      <c r="BD82" s="81" t="s">
        <v>2183</v>
      </c>
      <c r="BE82" s="81" t="s">
        <v>2184</v>
      </c>
      <c r="BF82" s="81" t="s">
        <v>2185</v>
      </c>
      <c r="BG82" s="81" t="s">
        <v>2186</v>
      </c>
      <c r="BH82" s="81" t="s">
        <v>4699</v>
      </c>
      <c r="BI82" s="81" t="s">
        <v>5003</v>
      </c>
      <c r="BJ82" s="81" t="s">
        <v>142</v>
      </c>
      <c r="BL82" s="81" t="s">
        <v>746</v>
      </c>
      <c r="BM82" s="81">
        <v>79</v>
      </c>
      <c r="BN82" s="81" t="str">
        <f t="shared" si="60"/>
        <v>='Mars 25'!C12</v>
      </c>
      <c r="BP82" s="81" t="str">
        <f t="shared" ca="1" si="71"/>
        <v/>
      </c>
      <c r="BR82" s="84">
        <f t="shared" si="64"/>
        <v>0</v>
      </c>
      <c r="BS82" s="84">
        <f t="shared" si="65"/>
        <v>0</v>
      </c>
      <c r="CA82" s="81" t="s">
        <v>2</v>
      </c>
      <c r="CB82" s="81">
        <f t="shared" si="72"/>
        <v>0</v>
      </c>
      <c r="CC82" s="81">
        <f t="shared" si="73"/>
        <v>0</v>
      </c>
      <c r="CD82" s="81" t="s">
        <v>16</v>
      </c>
      <c r="CE82" s="81">
        <f t="shared" si="74"/>
        <v>0</v>
      </c>
      <c r="CF82" s="81">
        <f t="shared" si="75"/>
        <v>0</v>
      </c>
      <c r="CG82" s="81" t="s">
        <v>5</v>
      </c>
      <c r="CH82" s="81">
        <f t="shared" si="76"/>
        <v>0</v>
      </c>
      <c r="CI82" s="81">
        <f t="shared" si="77"/>
        <v>0</v>
      </c>
      <c r="CJ82" s="81" t="s">
        <v>18</v>
      </c>
      <c r="CK82" s="81">
        <f t="shared" si="78"/>
        <v>0</v>
      </c>
      <c r="CL82" s="81">
        <f t="shared" si="79"/>
        <v>0</v>
      </c>
      <c r="CM82" s="81" t="s">
        <v>4</v>
      </c>
      <c r="CN82" s="81">
        <f t="shared" si="80"/>
        <v>0</v>
      </c>
      <c r="CO82" s="81">
        <f t="shared" si="81"/>
        <v>0</v>
      </c>
      <c r="CP82" s="81" t="s">
        <v>22</v>
      </c>
      <c r="CQ82" s="81">
        <f t="shared" si="82"/>
        <v>0</v>
      </c>
      <c r="CR82" s="81">
        <f t="shared" si="83"/>
        <v>0</v>
      </c>
      <c r="CS82" s="81" t="s">
        <v>21</v>
      </c>
      <c r="CT82" s="81">
        <f t="shared" si="84"/>
        <v>0</v>
      </c>
      <c r="CU82" s="81">
        <f t="shared" si="85"/>
        <v>0</v>
      </c>
      <c r="CV82" s="81" t="s">
        <v>998</v>
      </c>
      <c r="CW82" s="81">
        <f t="shared" si="86"/>
        <v>0</v>
      </c>
      <c r="CX82" s="81">
        <f t="shared" si="87"/>
        <v>0</v>
      </c>
      <c r="CY82" s="81" t="s">
        <v>19</v>
      </c>
      <c r="CZ82" s="81">
        <f t="shared" si="88"/>
        <v>0</v>
      </c>
      <c r="DA82" s="81">
        <f t="shared" si="89"/>
        <v>0</v>
      </c>
      <c r="DB82" s="81" t="s">
        <v>20</v>
      </c>
      <c r="DC82" s="81">
        <f t="shared" si="90"/>
        <v>0</v>
      </c>
      <c r="DD82" s="81">
        <f t="shared" si="91"/>
        <v>0</v>
      </c>
      <c r="DE82" s="81" t="s">
        <v>23</v>
      </c>
      <c r="DF82" s="81">
        <f t="shared" si="92"/>
        <v>0</v>
      </c>
      <c r="DG82" s="81">
        <f t="shared" si="93"/>
        <v>0</v>
      </c>
      <c r="DH82" s="81" t="s">
        <v>15</v>
      </c>
      <c r="DI82" s="81">
        <f t="shared" si="94"/>
        <v>0</v>
      </c>
      <c r="DJ82" s="81">
        <f t="shared" si="95"/>
        <v>0</v>
      </c>
      <c r="DK82" s="81" t="s">
        <v>5304</v>
      </c>
      <c r="DL82" s="81">
        <f t="shared" si="96"/>
        <v>0</v>
      </c>
      <c r="DM82" s="81">
        <f t="shared" si="97"/>
        <v>0</v>
      </c>
      <c r="DN82" s="81" t="s">
        <v>7</v>
      </c>
      <c r="DO82" s="81">
        <f t="shared" si="98"/>
        <v>0</v>
      </c>
      <c r="DP82" s="81">
        <f t="shared" si="99"/>
        <v>0</v>
      </c>
      <c r="DQ82" s="81" t="s">
        <v>1</v>
      </c>
      <c r="DR82" s="81">
        <f t="shared" si="100"/>
        <v>0</v>
      </c>
      <c r="DS82" s="81">
        <f t="shared" si="101"/>
        <v>0</v>
      </c>
    </row>
    <row r="83" spans="14:123" x14ac:dyDescent="0.3">
      <c r="N83" s="81">
        <f>IF(Q84=0,IF(Q83=0,,"x"),)</f>
        <v>0</v>
      </c>
      <c r="O83" s="81">
        <f t="shared" si="102"/>
        <v>0</v>
      </c>
      <c r="P83" s="81">
        <f t="shared" si="66"/>
        <v>0</v>
      </c>
      <c r="Q83" s="81">
        <f t="shared" si="103"/>
        <v>0</v>
      </c>
      <c r="R83" s="81">
        <f>IF(W83="",,SUM($W$4:W83))</f>
        <v>0</v>
      </c>
      <c r="S83" s="81">
        <f t="shared" si="67"/>
        <v>0</v>
      </c>
      <c r="T83" s="81">
        <f t="shared" si="104"/>
        <v>0</v>
      </c>
      <c r="U83" s="81">
        <f t="shared" si="68"/>
        <v>0</v>
      </c>
      <c r="V83" s="81" t="str">
        <f t="shared" ca="1" si="69"/>
        <v/>
      </c>
      <c r="X83" s="81">
        <f t="shared" si="61"/>
        <v>0</v>
      </c>
      <c r="Y83" s="81">
        <f t="shared" si="62"/>
        <v>0</v>
      </c>
      <c r="AE83" s="81">
        <v>83</v>
      </c>
      <c r="AI83" s="81">
        <v>80</v>
      </c>
      <c r="AJ83" s="81" t="str">
        <f t="shared" si="57"/>
        <v>April 25</v>
      </c>
      <c r="AK83" s="81" t="str">
        <f t="shared" si="106"/>
        <v>April</v>
      </c>
      <c r="AL83" s="81">
        <f t="shared" si="105"/>
        <v>25</v>
      </c>
      <c r="AM83" s="81" t="str">
        <f t="shared" si="70"/>
        <v>='April 25'!</v>
      </c>
      <c r="AN83" s="81" t="str">
        <f t="shared" si="63"/>
        <v>='April 25'!C27</v>
      </c>
      <c r="AO83" s="81" t="s">
        <v>1083</v>
      </c>
      <c r="AR83" s="81" t="s">
        <v>143</v>
      </c>
      <c r="AS83" s="83" t="str">
        <f t="shared" si="58"/>
        <v>='April 25'!C6</v>
      </c>
      <c r="AT83" s="83">
        <f t="shared" si="59"/>
        <v>0</v>
      </c>
      <c r="AV83" s="81" t="s">
        <v>444</v>
      </c>
      <c r="AW83" s="81" t="s">
        <v>2187</v>
      </c>
      <c r="AX83" s="81" t="s">
        <v>2188</v>
      </c>
      <c r="AY83" s="81" t="s">
        <v>2189</v>
      </c>
      <c r="AZ83" s="81" t="s">
        <v>2190</v>
      </c>
      <c r="BA83" s="81" t="s">
        <v>2191</v>
      </c>
      <c r="BB83" s="81" t="s">
        <v>2192</v>
      </c>
      <c r="BC83" s="81" t="s">
        <v>2193</v>
      </c>
      <c r="BD83" s="81" t="s">
        <v>2194</v>
      </c>
      <c r="BE83" s="81" t="s">
        <v>2195</v>
      </c>
      <c r="BF83" s="81" t="s">
        <v>2196</v>
      </c>
      <c r="BG83" s="81" t="s">
        <v>2197</v>
      </c>
      <c r="BH83" s="81" t="s">
        <v>4700</v>
      </c>
      <c r="BI83" s="81" t="s">
        <v>5004</v>
      </c>
      <c r="BJ83" s="81" t="s">
        <v>143</v>
      </c>
      <c r="BL83" s="81" t="s">
        <v>747</v>
      </c>
      <c r="BM83" s="81">
        <v>80</v>
      </c>
      <c r="BN83" s="81" t="str">
        <f t="shared" si="60"/>
        <v>='April 25'!C12</v>
      </c>
      <c r="BP83" s="81" t="str">
        <f t="shared" ca="1" si="71"/>
        <v/>
      </c>
      <c r="BR83" s="84">
        <f t="shared" si="64"/>
        <v>0</v>
      </c>
      <c r="BS83" s="84">
        <f t="shared" si="65"/>
        <v>0</v>
      </c>
      <c r="CA83" s="81" t="s">
        <v>2</v>
      </c>
      <c r="CB83" s="81">
        <f t="shared" si="72"/>
        <v>0</v>
      </c>
      <c r="CC83" s="81">
        <f t="shared" si="73"/>
        <v>0</v>
      </c>
      <c r="CD83" s="81" t="s">
        <v>16</v>
      </c>
      <c r="CE83" s="81">
        <f t="shared" si="74"/>
        <v>0</v>
      </c>
      <c r="CF83" s="81">
        <f t="shared" si="75"/>
        <v>0</v>
      </c>
      <c r="CG83" s="81" t="s">
        <v>5</v>
      </c>
      <c r="CH83" s="81">
        <f t="shared" si="76"/>
        <v>0</v>
      </c>
      <c r="CI83" s="81">
        <f t="shared" si="77"/>
        <v>0</v>
      </c>
      <c r="CJ83" s="81" t="s">
        <v>18</v>
      </c>
      <c r="CK83" s="81">
        <f t="shared" si="78"/>
        <v>0</v>
      </c>
      <c r="CL83" s="81">
        <f t="shared" si="79"/>
        <v>0</v>
      </c>
      <c r="CM83" s="81" t="s">
        <v>4</v>
      </c>
      <c r="CN83" s="81">
        <f t="shared" si="80"/>
        <v>0</v>
      </c>
      <c r="CO83" s="81">
        <f t="shared" si="81"/>
        <v>0</v>
      </c>
      <c r="CP83" s="81" t="s">
        <v>22</v>
      </c>
      <c r="CQ83" s="81">
        <f t="shared" si="82"/>
        <v>0</v>
      </c>
      <c r="CR83" s="81">
        <f t="shared" si="83"/>
        <v>0</v>
      </c>
      <c r="CS83" s="81" t="s">
        <v>21</v>
      </c>
      <c r="CT83" s="81">
        <f t="shared" si="84"/>
        <v>0</v>
      </c>
      <c r="CU83" s="81">
        <f t="shared" si="85"/>
        <v>0</v>
      </c>
      <c r="CV83" s="81" t="s">
        <v>998</v>
      </c>
      <c r="CW83" s="81">
        <f t="shared" si="86"/>
        <v>0</v>
      </c>
      <c r="CX83" s="81">
        <f t="shared" si="87"/>
        <v>0</v>
      </c>
      <c r="CY83" s="81" t="s">
        <v>19</v>
      </c>
      <c r="CZ83" s="81">
        <f t="shared" si="88"/>
        <v>0</v>
      </c>
      <c r="DA83" s="81">
        <f t="shared" si="89"/>
        <v>0</v>
      </c>
      <c r="DB83" s="81" t="s">
        <v>20</v>
      </c>
      <c r="DC83" s="81">
        <f t="shared" si="90"/>
        <v>0</v>
      </c>
      <c r="DD83" s="81">
        <f t="shared" si="91"/>
        <v>0</v>
      </c>
      <c r="DE83" s="81" t="s">
        <v>23</v>
      </c>
      <c r="DF83" s="81">
        <f t="shared" si="92"/>
        <v>0</v>
      </c>
      <c r="DG83" s="81">
        <f t="shared" si="93"/>
        <v>0</v>
      </c>
      <c r="DH83" s="81" t="s">
        <v>15</v>
      </c>
      <c r="DI83" s="81">
        <f t="shared" si="94"/>
        <v>0</v>
      </c>
      <c r="DJ83" s="81">
        <f t="shared" si="95"/>
        <v>0</v>
      </c>
      <c r="DK83" s="81" t="s">
        <v>5305</v>
      </c>
      <c r="DL83" s="81">
        <f t="shared" si="96"/>
        <v>0</v>
      </c>
      <c r="DM83" s="81">
        <f t="shared" si="97"/>
        <v>0</v>
      </c>
      <c r="DN83" s="81" t="s">
        <v>7</v>
      </c>
      <c r="DO83" s="81">
        <f t="shared" si="98"/>
        <v>0</v>
      </c>
      <c r="DP83" s="81">
        <f t="shared" si="99"/>
        <v>0</v>
      </c>
      <c r="DQ83" s="81" t="s">
        <v>1</v>
      </c>
      <c r="DR83" s="81">
        <f t="shared" si="100"/>
        <v>0</v>
      </c>
      <c r="DS83" s="81">
        <f t="shared" si="101"/>
        <v>0</v>
      </c>
    </row>
    <row r="84" spans="14:123" x14ac:dyDescent="0.3">
      <c r="N84" s="81">
        <f>IF(Q85=0,IF(Q84=0,,"x"),)</f>
        <v>0</v>
      </c>
      <c r="O84" s="81">
        <f t="shared" si="102"/>
        <v>0</v>
      </c>
      <c r="P84" s="81">
        <f t="shared" si="66"/>
        <v>0</v>
      </c>
      <c r="Q84" s="81">
        <f t="shared" si="103"/>
        <v>0</v>
      </c>
      <c r="R84" s="81">
        <f>IF(W84="",,SUM($W$4:W84))</f>
        <v>0</v>
      </c>
      <c r="S84" s="81">
        <f t="shared" si="67"/>
        <v>0</v>
      </c>
      <c r="T84" s="81">
        <f t="shared" si="104"/>
        <v>0</v>
      </c>
      <c r="U84" s="81">
        <f t="shared" si="68"/>
        <v>0</v>
      </c>
      <c r="V84" s="81" t="str">
        <f t="shared" ca="1" si="69"/>
        <v/>
      </c>
      <c r="X84" s="81">
        <f t="shared" si="61"/>
        <v>0</v>
      </c>
      <c r="Y84" s="81">
        <f t="shared" si="62"/>
        <v>0</v>
      </c>
      <c r="AE84" s="81">
        <v>84</v>
      </c>
      <c r="AI84" s="81">
        <v>81</v>
      </c>
      <c r="AJ84" s="81" t="str">
        <f t="shared" si="57"/>
        <v>Maj 25</v>
      </c>
      <c r="AK84" s="81" t="str">
        <f t="shared" si="106"/>
        <v>Maj</v>
      </c>
      <c r="AL84" s="81">
        <f t="shared" si="105"/>
        <v>25</v>
      </c>
      <c r="AM84" s="81" t="str">
        <f t="shared" si="70"/>
        <v>='Maj 25'!</v>
      </c>
      <c r="AN84" s="81" t="str">
        <f t="shared" si="63"/>
        <v>='Maj 25'!C27</v>
      </c>
      <c r="AO84" s="81" t="s">
        <v>1084</v>
      </c>
      <c r="AR84" s="81" t="s">
        <v>144</v>
      </c>
      <c r="AS84" s="83" t="str">
        <f t="shared" si="58"/>
        <v>='Maj 25'!C6</v>
      </c>
      <c r="AT84" s="83">
        <f t="shared" si="59"/>
        <v>0</v>
      </c>
      <c r="AV84" s="81" t="s">
        <v>445</v>
      </c>
      <c r="AW84" s="81" t="s">
        <v>2198</v>
      </c>
      <c r="AX84" s="81" t="s">
        <v>2199</v>
      </c>
      <c r="AY84" s="81" t="s">
        <v>2200</v>
      </c>
      <c r="AZ84" s="81" t="s">
        <v>2201</v>
      </c>
      <c r="BA84" s="81" t="s">
        <v>2202</v>
      </c>
      <c r="BB84" s="81" t="s">
        <v>2203</v>
      </c>
      <c r="BC84" s="81" t="s">
        <v>2204</v>
      </c>
      <c r="BD84" s="81" t="s">
        <v>2205</v>
      </c>
      <c r="BE84" s="81" t="s">
        <v>2206</v>
      </c>
      <c r="BF84" s="81" t="s">
        <v>2207</v>
      </c>
      <c r="BG84" s="81" t="s">
        <v>2208</v>
      </c>
      <c r="BH84" s="81" t="s">
        <v>4701</v>
      </c>
      <c r="BI84" s="81" t="s">
        <v>5005</v>
      </c>
      <c r="BJ84" s="81" t="s">
        <v>144</v>
      </c>
      <c r="BL84" s="81" t="s">
        <v>748</v>
      </c>
      <c r="BM84" s="81">
        <v>81</v>
      </c>
      <c r="BN84" s="81" t="str">
        <f t="shared" si="60"/>
        <v>='Maj 25'!C12</v>
      </c>
      <c r="BP84" s="81" t="str">
        <f t="shared" ca="1" si="71"/>
        <v/>
      </c>
      <c r="BR84" s="84">
        <f t="shared" si="64"/>
        <v>0</v>
      </c>
      <c r="BS84" s="84">
        <f t="shared" si="65"/>
        <v>0</v>
      </c>
      <c r="CA84" s="81" t="s">
        <v>2</v>
      </c>
      <c r="CB84" s="81">
        <f t="shared" si="72"/>
        <v>0</v>
      </c>
      <c r="CC84" s="81">
        <f t="shared" si="73"/>
        <v>0</v>
      </c>
      <c r="CD84" s="81" t="s">
        <v>16</v>
      </c>
      <c r="CE84" s="81">
        <f t="shared" si="74"/>
        <v>0</v>
      </c>
      <c r="CF84" s="81">
        <f t="shared" si="75"/>
        <v>0</v>
      </c>
      <c r="CG84" s="81" t="s">
        <v>5</v>
      </c>
      <c r="CH84" s="81">
        <f t="shared" si="76"/>
        <v>0</v>
      </c>
      <c r="CI84" s="81">
        <f t="shared" si="77"/>
        <v>0</v>
      </c>
      <c r="CJ84" s="81" t="s">
        <v>18</v>
      </c>
      <c r="CK84" s="81">
        <f t="shared" si="78"/>
        <v>0</v>
      </c>
      <c r="CL84" s="81">
        <f t="shared" si="79"/>
        <v>0</v>
      </c>
      <c r="CM84" s="81" t="s">
        <v>4</v>
      </c>
      <c r="CN84" s="81">
        <f t="shared" si="80"/>
        <v>0</v>
      </c>
      <c r="CO84" s="81">
        <f t="shared" si="81"/>
        <v>0</v>
      </c>
      <c r="CP84" s="81" t="s">
        <v>22</v>
      </c>
      <c r="CQ84" s="81">
        <f t="shared" si="82"/>
        <v>0</v>
      </c>
      <c r="CR84" s="81">
        <f t="shared" si="83"/>
        <v>0</v>
      </c>
      <c r="CS84" s="81" t="s">
        <v>21</v>
      </c>
      <c r="CT84" s="81">
        <f t="shared" si="84"/>
        <v>0</v>
      </c>
      <c r="CU84" s="81">
        <f t="shared" si="85"/>
        <v>0</v>
      </c>
      <c r="CV84" s="81" t="s">
        <v>998</v>
      </c>
      <c r="CW84" s="81">
        <f t="shared" si="86"/>
        <v>0</v>
      </c>
      <c r="CX84" s="81">
        <f t="shared" si="87"/>
        <v>0</v>
      </c>
      <c r="CY84" s="81" t="s">
        <v>19</v>
      </c>
      <c r="CZ84" s="81">
        <f t="shared" si="88"/>
        <v>0</v>
      </c>
      <c r="DA84" s="81">
        <f t="shared" si="89"/>
        <v>0</v>
      </c>
      <c r="DB84" s="81" t="s">
        <v>20</v>
      </c>
      <c r="DC84" s="81">
        <f t="shared" si="90"/>
        <v>0</v>
      </c>
      <c r="DD84" s="81">
        <f t="shared" si="91"/>
        <v>0</v>
      </c>
      <c r="DE84" s="81" t="s">
        <v>23</v>
      </c>
      <c r="DF84" s="81">
        <f t="shared" si="92"/>
        <v>0</v>
      </c>
      <c r="DG84" s="81">
        <f t="shared" si="93"/>
        <v>0</v>
      </c>
      <c r="DH84" s="81" t="s">
        <v>15</v>
      </c>
      <c r="DI84" s="81">
        <f t="shared" si="94"/>
        <v>0</v>
      </c>
      <c r="DJ84" s="81">
        <f t="shared" si="95"/>
        <v>0</v>
      </c>
      <c r="DK84" s="81" t="s">
        <v>5306</v>
      </c>
      <c r="DL84" s="81">
        <f t="shared" si="96"/>
        <v>0</v>
      </c>
      <c r="DM84" s="81">
        <f t="shared" si="97"/>
        <v>0</v>
      </c>
      <c r="DN84" s="81" t="s">
        <v>7</v>
      </c>
      <c r="DO84" s="81">
        <f t="shared" si="98"/>
        <v>0</v>
      </c>
      <c r="DP84" s="81">
        <f t="shared" si="99"/>
        <v>0</v>
      </c>
      <c r="DQ84" s="81" t="s">
        <v>1</v>
      </c>
      <c r="DR84" s="81">
        <f t="shared" si="100"/>
        <v>0</v>
      </c>
      <c r="DS84" s="81">
        <f t="shared" si="101"/>
        <v>0</v>
      </c>
    </row>
    <row r="85" spans="14:123" x14ac:dyDescent="0.3">
      <c r="N85" s="81">
        <f>IF(Q86=0,IF(Q85=0,,"x"),)</f>
        <v>0</v>
      </c>
      <c r="O85" s="81">
        <f t="shared" si="102"/>
        <v>0</v>
      </c>
      <c r="P85" s="81">
        <f t="shared" si="66"/>
        <v>0</v>
      </c>
      <c r="Q85" s="81">
        <f t="shared" si="103"/>
        <v>0</v>
      </c>
      <c r="R85" s="81">
        <f>IF(W85="",,SUM($W$4:W85))</f>
        <v>0</v>
      </c>
      <c r="S85" s="81">
        <f t="shared" si="67"/>
        <v>0</v>
      </c>
      <c r="T85" s="81">
        <f t="shared" si="104"/>
        <v>0</v>
      </c>
      <c r="U85" s="81">
        <f t="shared" si="68"/>
        <v>0</v>
      </c>
      <c r="V85" s="81" t="str">
        <f t="shared" ca="1" si="69"/>
        <v/>
      </c>
      <c r="X85" s="81">
        <f t="shared" si="61"/>
        <v>0</v>
      </c>
      <c r="Y85" s="81">
        <f t="shared" si="62"/>
        <v>0</v>
      </c>
      <c r="AE85" s="81">
        <v>85</v>
      </c>
      <c r="AI85" s="81">
        <v>82</v>
      </c>
      <c r="AJ85" s="81" t="str">
        <f t="shared" si="57"/>
        <v>Juni 25</v>
      </c>
      <c r="AK85" s="81" t="str">
        <f t="shared" si="106"/>
        <v>Juni</v>
      </c>
      <c r="AL85" s="81">
        <f t="shared" si="105"/>
        <v>25</v>
      </c>
      <c r="AM85" s="81" t="str">
        <f t="shared" si="70"/>
        <v>='Juni 25'!</v>
      </c>
      <c r="AN85" s="81" t="str">
        <f t="shared" si="63"/>
        <v>='Juni 25'!C27</v>
      </c>
      <c r="AO85" s="81" t="s">
        <v>1085</v>
      </c>
      <c r="AR85" s="81" t="s">
        <v>145</v>
      </c>
      <c r="AS85" s="83" t="str">
        <f t="shared" si="58"/>
        <v>='Juni 25'!C6</v>
      </c>
      <c r="AT85" s="83">
        <f t="shared" si="59"/>
        <v>0</v>
      </c>
      <c r="AV85" s="81" t="s">
        <v>446</v>
      </c>
      <c r="AW85" s="81" t="s">
        <v>2209</v>
      </c>
      <c r="AX85" s="81" t="s">
        <v>2210</v>
      </c>
      <c r="AY85" s="81" t="s">
        <v>2211</v>
      </c>
      <c r="AZ85" s="81" t="s">
        <v>2212</v>
      </c>
      <c r="BA85" s="81" t="s">
        <v>2213</v>
      </c>
      <c r="BB85" s="81" t="s">
        <v>2214</v>
      </c>
      <c r="BC85" s="81" t="s">
        <v>2215</v>
      </c>
      <c r="BD85" s="81" t="s">
        <v>2216</v>
      </c>
      <c r="BE85" s="81" t="s">
        <v>2217</v>
      </c>
      <c r="BF85" s="81" t="s">
        <v>2218</v>
      </c>
      <c r="BG85" s="81" t="s">
        <v>2219</v>
      </c>
      <c r="BH85" s="81" t="s">
        <v>4702</v>
      </c>
      <c r="BI85" s="81" t="s">
        <v>5006</v>
      </c>
      <c r="BJ85" s="81" t="s">
        <v>145</v>
      </c>
      <c r="BL85" s="81" t="s">
        <v>749</v>
      </c>
      <c r="BM85" s="81">
        <v>82</v>
      </c>
      <c r="BN85" s="81" t="str">
        <f t="shared" si="60"/>
        <v>='Juni 25'!C12</v>
      </c>
      <c r="BP85" s="81" t="str">
        <f t="shared" ca="1" si="71"/>
        <v/>
      </c>
      <c r="BR85" s="84">
        <f t="shared" si="64"/>
        <v>0</v>
      </c>
      <c r="BS85" s="84">
        <f t="shared" si="65"/>
        <v>0</v>
      </c>
      <c r="CA85" s="81" t="s">
        <v>2</v>
      </c>
      <c r="CB85" s="81">
        <f t="shared" si="72"/>
        <v>0</v>
      </c>
      <c r="CC85" s="81">
        <f t="shared" si="73"/>
        <v>0</v>
      </c>
      <c r="CD85" s="81" t="s">
        <v>16</v>
      </c>
      <c r="CE85" s="81">
        <f t="shared" si="74"/>
        <v>0</v>
      </c>
      <c r="CF85" s="81">
        <f t="shared" si="75"/>
        <v>0</v>
      </c>
      <c r="CG85" s="81" t="s">
        <v>5</v>
      </c>
      <c r="CH85" s="81">
        <f t="shared" si="76"/>
        <v>0</v>
      </c>
      <c r="CI85" s="81">
        <f t="shared" si="77"/>
        <v>0</v>
      </c>
      <c r="CJ85" s="81" t="s">
        <v>18</v>
      </c>
      <c r="CK85" s="81">
        <f t="shared" si="78"/>
        <v>0</v>
      </c>
      <c r="CL85" s="81">
        <f t="shared" si="79"/>
        <v>0</v>
      </c>
      <c r="CM85" s="81" t="s">
        <v>4</v>
      </c>
      <c r="CN85" s="81">
        <f t="shared" si="80"/>
        <v>0</v>
      </c>
      <c r="CO85" s="81">
        <f t="shared" si="81"/>
        <v>0</v>
      </c>
      <c r="CP85" s="81" t="s">
        <v>22</v>
      </c>
      <c r="CQ85" s="81">
        <f t="shared" si="82"/>
        <v>0</v>
      </c>
      <c r="CR85" s="81">
        <f t="shared" si="83"/>
        <v>0</v>
      </c>
      <c r="CS85" s="81" t="s">
        <v>21</v>
      </c>
      <c r="CT85" s="81">
        <f t="shared" si="84"/>
        <v>0</v>
      </c>
      <c r="CU85" s="81">
        <f t="shared" si="85"/>
        <v>0</v>
      </c>
      <c r="CV85" s="81" t="s">
        <v>998</v>
      </c>
      <c r="CW85" s="81">
        <f t="shared" si="86"/>
        <v>0</v>
      </c>
      <c r="CX85" s="81">
        <f t="shared" si="87"/>
        <v>0</v>
      </c>
      <c r="CY85" s="81" t="s">
        <v>19</v>
      </c>
      <c r="CZ85" s="81">
        <f t="shared" si="88"/>
        <v>0</v>
      </c>
      <c r="DA85" s="81">
        <f t="shared" si="89"/>
        <v>0</v>
      </c>
      <c r="DB85" s="81" t="s">
        <v>20</v>
      </c>
      <c r="DC85" s="81">
        <f t="shared" si="90"/>
        <v>0</v>
      </c>
      <c r="DD85" s="81">
        <f t="shared" si="91"/>
        <v>0</v>
      </c>
      <c r="DE85" s="81" t="s">
        <v>23</v>
      </c>
      <c r="DF85" s="81">
        <f t="shared" si="92"/>
        <v>0</v>
      </c>
      <c r="DG85" s="81">
        <f t="shared" si="93"/>
        <v>0</v>
      </c>
      <c r="DH85" s="81" t="s">
        <v>15</v>
      </c>
      <c r="DI85" s="81">
        <f t="shared" si="94"/>
        <v>0</v>
      </c>
      <c r="DJ85" s="81">
        <f t="shared" si="95"/>
        <v>0</v>
      </c>
      <c r="DK85" s="81" t="s">
        <v>5307</v>
      </c>
      <c r="DL85" s="81">
        <f t="shared" si="96"/>
        <v>0</v>
      </c>
      <c r="DM85" s="81">
        <f t="shared" si="97"/>
        <v>0</v>
      </c>
      <c r="DN85" s="81" t="s">
        <v>7</v>
      </c>
      <c r="DO85" s="81">
        <f t="shared" si="98"/>
        <v>0</v>
      </c>
      <c r="DP85" s="81">
        <f t="shared" si="99"/>
        <v>0</v>
      </c>
      <c r="DQ85" s="81" t="s">
        <v>1</v>
      </c>
      <c r="DR85" s="81">
        <f t="shared" si="100"/>
        <v>0</v>
      </c>
      <c r="DS85" s="81">
        <f t="shared" si="101"/>
        <v>0</v>
      </c>
    </row>
    <row r="86" spans="14:123" x14ac:dyDescent="0.3">
      <c r="N86" s="81">
        <f>IF(Q87=0,IF(Q86=0,,"x"),)</f>
        <v>0</v>
      </c>
      <c r="O86" s="81">
        <f t="shared" si="102"/>
        <v>0</v>
      </c>
      <c r="P86" s="81">
        <f t="shared" si="66"/>
        <v>0</v>
      </c>
      <c r="Q86" s="81">
        <f t="shared" si="103"/>
        <v>0</v>
      </c>
      <c r="R86" s="81">
        <f>IF(W86="",,SUM($W$4:W86))</f>
        <v>0</v>
      </c>
      <c r="S86" s="81">
        <f t="shared" si="67"/>
        <v>0</v>
      </c>
      <c r="T86" s="81">
        <f t="shared" si="104"/>
        <v>0</v>
      </c>
      <c r="U86" s="81">
        <f t="shared" si="68"/>
        <v>0</v>
      </c>
      <c r="V86" s="81" t="str">
        <f t="shared" ca="1" si="69"/>
        <v/>
      </c>
      <c r="X86" s="81">
        <f t="shared" si="61"/>
        <v>0</v>
      </c>
      <c r="Y86" s="81">
        <f t="shared" si="62"/>
        <v>0</v>
      </c>
      <c r="AE86" s="81">
        <v>86</v>
      </c>
      <c r="AI86" s="81">
        <v>83</v>
      </c>
      <c r="AJ86" s="81" t="str">
        <f t="shared" si="57"/>
        <v>Juli 25</v>
      </c>
      <c r="AK86" s="81" t="str">
        <f t="shared" si="106"/>
        <v>Juli</v>
      </c>
      <c r="AL86" s="81">
        <f t="shared" si="105"/>
        <v>25</v>
      </c>
      <c r="AM86" s="81" t="str">
        <f t="shared" si="70"/>
        <v>='Juli 25'!</v>
      </c>
      <c r="AN86" s="81" t="str">
        <f t="shared" si="63"/>
        <v>='Juli 25'!C27</v>
      </c>
      <c r="AO86" s="81" t="s">
        <v>1086</v>
      </c>
      <c r="AR86" s="81" t="s">
        <v>146</v>
      </c>
      <c r="AS86" s="83" t="str">
        <f t="shared" si="58"/>
        <v>='Juli 25'!C6</v>
      </c>
      <c r="AT86" s="83">
        <f t="shared" si="59"/>
        <v>0</v>
      </c>
      <c r="AV86" s="81" t="s">
        <v>447</v>
      </c>
      <c r="AW86" s="81" t="s">
        <v>2220</v>
      </c>
      <c r="AX86" s="81" t="s">
        <v>2221</v>
      </c>
      <c r="AY86" s="81" t="s">
        <v>2222</v>
      </c>
      <c r="AZ86" s="81" t="s">
        <v>2223</v>
      </c>
      <c r="BA86" s="81" t="s">
        <v>2224</v>
      </c>
      <c r="BB86" s="81" t="s">
        <v>2225</v>
      </c>
      <c r="BC86" s="81" t="s">
        <v>2226</v>
      </c>
      <c r="BD86" s="81" t="s">
        <v>2227</v>
      </c>
      <c r="BE86" s="81" t="s">
        <v>2228</v>
      </c>
      <c r="BF86" s="81" t="s">
        <v>2229</v>
      </c>
      <c r="BG86" s="81" t="s">
        <v>2230</v>
      </c>
      <c r="BH86" s="81" t="s">
        <v>4703</v>
      </c>
      <c r="BI86" s="81" t="s">
        <v>5007</v>
      </c>
      <c r="BJ86" s="81" t="s">
        <v>146</v>
      </c>
      <c r="BL86" s="81" t="s">
        <v>750</v>
      </c>
      <c r="BM86" s="81">
        <v>83</v>
      </c>
      <c r="BN86" s="81" t="str">
        <f t="shared" si="60"/>
        <v>='Juli 25'!C12</v>
      </c>
      <c r="BP86" s="81" t="str">
        <f t="shared" ca="1" si="71"/>
        <v/>
      </c>
      <c r="BR86" s="84">
        <f t="shared" si="64"/>
        <v>0</v>
      </c>
      <c r="BS86" s="84">
        <f t="shared" si="65"/>
        <v>0</v>
      </c>
      <c r="CA86" s="81" t="s">
        <v>2</v>
      </c>
      <c r="CB86" s="81">
        <f t="shared" si="72"/>
        <v>0</v>
      </c>
      <c r="CC86" s="81">
        <f t="shared" si="73"/>
        <v>0</v>
      </c>
      <c r="CD86" s="81" t="s">
        <v>16</v>
      </c>
      <c r="CE86" s="81">
        <f t="shared" si="74"/>
        <v>0</v>
      </c>
      <c r="CF86" s="81">
        <f t="shared" si="75"/>
        <v>0</v>
      </c>
      <c r="CG86" s="81" t="s">
        <v>5</v>
      </c>
      <c r="CH86" s="81">
        <f t="shared" si="76"/>
        <v>0</v>
      </c>
      <c r="CI86" s="81">
        <f t="shared" si="77"/>
        <v>0</v>
      </c>
      <c r="CJ86" s="81" t="s">
        <v>18</v>
      </c>
      <c r="CK86" s="81">
        <f t="shared" si="78"/>
        <v>0</v>
      </c>
      <c r="CL86" s="81">
        <f t="shared" si="79"/>
        <v>0</v>
      </c>
      <c r="CM86" s="81" t="s">
        <v>4</v>
      </c>
      <c r="CN86" s="81">
        <f t="shared" si="80"/>
        <v>0</v>
      </c>
      <c r="CO86" s="81">
        <f t="shared" si="81"/>
        <v>0</v>
      </c>
      <c r="CP86" s="81" t="s">
        <v>22</v>
      </c>
      <c r="CQ86" s="81">
        <f t="shared" si="82"/>
        <v>0</v>
      </c>
      <c r="CR86" s="81">
        <f t="shared" si="83"/>
        <v>0</v>
      </c>
      <c r="CS86" s="81" t="s">
        <v>21</v>
      </c>
      <c r="CT86" s="81">
        <f t="shared" si="84"/>
        <v>0</v>
      </c>
      <c r="CU86" s="81">
        <f t="shared" si="85"/>
        <v>0</v>
      </c>
      <c r="CV86" s="81" t="s">
        <v>998</v>
      </c>
      <c r="CW86" s="81">
        <f t="shared" si="86"/>
        <v>0</v>
      </c>
      <c r="CX86" s="81">
        <f t="shared" si="87"/>
        <v>0</v>
      </c>
      <c r="CY86" s="81" t="s">
        <v>19</v>
      </c>
      <c r="CZ86" s="81">
        <f t="shared" si="88"/>
        <v>0</v>
      </c>
      <c r="DA86" s="81">
        <f t="shared" si="89"/>
        <v>0</v>
      </c>
      <c r="DB86" s="81" t="s">
        <v>20</v>
      </c>
      <c r="DC86" s="81">
        <f t="shared" si="90"/>
        <v>0</v>
      </c>
      <c r="DD86" s="81">
        <f t="shared" si="91"/>
        <v>0</v>
      </c>
      <c r="DE86" s="81" t="s">
        <v>23</v>
      </c>
      <c r="DF86" s="81">
        <f t="shared" si="92"/>
        <v>0</v>
      </c>
      <c r="DG86" s="81">
        <f t="shared" si="93"/>
        <v>0</v>
      </c>
      <c r="DH86" s="81" t="s">
        <v>15</v>
      </c>
      <c r="DI86" s="81">
        <f t="shared" si="94"/>
        <v>0</v>
      </c>
      <c r="DJ86" s="81">
        <f t="shared" si="95"/>
        <v>0</v>
      </c>
      <c r="DK86" s="81" t="s">
        <v>5308</v>
      </c>
      <c r="DL86" s="81">
        <f t="shared" si="96"/>
        <v>0</v>
      </c>
      <c r="DM86" s="81">
        <f t="shared" si="97"/>
        <v>0</v>
      </c>
      <c r="DN86" s="81" t="s">
        <v>7</v>
      </c>
      <c r="DO86" s="81">
        <f t="shared" si="98"/>
        <v>0</v>
      </c>
      <c r="DP86" s="81">
        <f t="shared" si="99"/>
        <v>0</v>
      </c>
      <c r="DQ86" s="81" t="s">
        <v>1</v>
      </c>
      <c r="DR86" s="81">
        <f t="shared" si="100"/>
        <v>0</v>
      </c>
      <c r="DS86" s="81">
        <f t="shared" si="101"/>
        <v>0</v>
      </c>
    </row>
    <row r="87" spans="14:123" x14ac:dyDescent="0.3">
      <c r="N87" s="81">
        <f>IF(Q88=0,IF(Q87=0,,"x"),)</f>
        <v>0</v>
      </c>
      <c r="O87" s="81">
        <f t="shared" si="102"/>
        <v>0</v>
      </c>
      <c r="P87" s="81">
        <f t="shared" si="66"/>
        <v>0</v>
      </c>
      <c r="Q87" s="81">
        <f t="shared" si="103"/>
        <v>0</v>
      </c>
      <c r="R87" s="81">
        <f>IF(W87="",,SUM($W$4:W87))</f>
        <v>0</v>
      </c>
      <c r="S87" s="81">
        <f t="shared" si="67"/>
        <v>0</v>
      </c>
      <c r="T87" s="81">
        <f t="shared" si="104"/>
        <v>0</v>
      </c>
      <c r="U87" s="81">
        <f t="shared" si="68"/>
        <v>0</v>
      </c>
      <c r="V87" s="81" t="str">
        <f t="shared" ca="1" si="69"/>
        <v/>
      </c>
      <c r="X87" s="81">
        <f t="shared" si="61"/>
        <v>0</v>
      </c>
      <c r="Y87" s="81">
        <f t="shared" si="62"/>
        <v>0</v>
      </c>
      <c r="AE87" s="81">
        <v>87</v>
      </c>
      <c r="AI87" s="81">
        <v>84</v>
      </c>
      <c r="AJ87" s="81" t="str">
        <f t="shared" si="57"/>
        <v>Augusti 25</v>
      </c>
      <c r="AK87" s="81" t="str">
        <f t="shared" si="106"/>
        <v>Augusti</v>
      </c>
      <c r="AL87" s="81">
        <f t="shared" si="105"/>
        <v>25</v>
      </c>
      <c r="AM87" s="81" t="str">
        <f t="shared" si="70"/>
        <v>='Augusti 25'!</v>
      </c>
      <c r="AN87" s="81" t="str">
        <f t="shared" si="63"/>
        <v>='Augusti 25'!C27</v>
      </c>
      <c r="AO87" s="81" t="s">
        <v>1087</v>
      </c>
      <c r="AR87" s="81" t="s">
        <v>147</v>
      </c>
      <c r="AS87" s="83" t="str">
        <f t="shared" si="58"/>
        <v>='Augusti 25'!C6</v>
      </c>
      <c r="AT87" s="83">
        <f t="shared" si="59"/>
        <v>0</v>
      </c>
      <c r="AV87" s="81" t="s">
        <v>448</v>
      </c>
      <c r="AW87" s="81" t="s">
        <v>2231</v>
      </c>
      <c r="AX87" s="81" t="s">
        <v>2232</v>
      </c>
      <c r="AY87" s="81" t="s">
        <v>2233</v>
      </c>
      <c r="AZ87" s="81" t="s">
        <v>2234</v>
      </c>
      <c r="BA87" s="81" t="s">
        <v>2235</v>
      </c>
      <c r="BB87" s="81" t="s">
        <v>2236</v>
      </c>
      <c r="BC87" s="81" t="s">
        <v>2237</v>
      </c>
      <c r="BD87" s="81" t="s">
        <v>2238</v>
      </c>
      <c r="BE87" s="81" t="s">
        <v>2239</v>
      </c>
      <c r="BF87" s="81" t="s">
        <v>2240</v>
      </c>
      <c r="BG87" s="81" t="s">
        <v>2241</v>
      </c>
      <c r="BH87" s="81" t="s">
        <v>4704</v>
      </c>
      <c r="BI87" s="81" t="s">
        <v>5008</v>
      </c>
      <c r="BJ87" s="81" t="s">
        <v>147</v>
      </c>
      <c r="BL87" s="81" t="s">
        <v>751</v>
      </c>
      <c r="BM87" s="81">
        <v>84</v>
      </c>
      <c r="BN87" s="81" t="str">
        <f t="shared" si="60"/>
        <v>='Augusti 25'!C12</v>
      </c>
      <c r="BP87" s="81" t="str">
        <f t="shared" ca="1" si="71"/>
        <v/>
      </c>
      <c r="BR87" s="84">
        <f t="shared" si="64"/>
        <v>0</v>
      </c>
      <c r="BS87" s="84">
        <f t="shared" si="65"/>
        <v>0</v>
      </c>
      <c r="CA87" s="81" t="s">
        <v>2</v>
      </c>
      <c r="CB87" s="81">
        <f t="shared" si="72"/>
        <v>0</v>
      </c>
      <c r="CC87" s="81">
        <f t="shared" si="73"/>
        <v>0</v>
      </c>
      <c r="CD87" s="81" t="s">
        <v>16</v>
      </c>
      <c r="CE87" s="81">
        <f t="shared" si="74"/>
        <v>0</v>
      </c>
      <c r="CF87" s="81">
        <f t="shared" si="75"/>
        <v>0</v>
      </c>
      <c r="CG87" s="81" t="s">
        <v>5</v>
      </c>
      <c r="CH87" s="81">
        <f t="shared" si="76"/>
        <v>0</v>
      </c>
      <c r="CI87" s="81">
        <f t="shared" si="77"/>
        <v>0</v>
      </c>
      <c r="CJ87" s="81" t="s">
        <v>18</v>
      </c>
      <c r="CK87" s="81">
        <f t="shared" si="78"/>
        <v>0</v>
      </c>
      <c r="CL87" s="81">
        <f t="shared" si="79"/>
        <v>0</v>
      </c>
      <c r="CM87" s="81" t="s">
        <v>4</v>
      </c>
      <c r="CN87" s="81">
        <f t="shared" si="80"/>
        <v>0</v>
      </c>
      <c r="CO87" s="81">
        <f t="shared" si="81"/>
        <v>0</v>
      </c>
      <c r="CP87" s="81" t="s">
        <v>22</v>
      </c>
      <c r="CQ87" s="81">
        <f t="shared" si="82"/>
        <v>0</v>
      </c>
      <c r="CR87" s="81">
        <f t="shared" si="83"/>
        <v>0</v>
      </c>
      <c r="CS87" s="81" t="s">
        <v>21</v>
      </c>
      <c r="CT87" s="81">
        <f t="shared" si="84"/>
        <v>0</v>
      </c>
      <c r="CU87" s="81">
        <f t="shared" si="85"/>
        <v>0</v>
      </c>
      <c r="CV87" s="81" t="s">
        <v>998</v>
      </c>
      <c r="CW87" s="81">
        <f t="shared" si="86"/>
        <v>0</v>
      </c>
      <c r="CX87" s="81">
        <f t="shared" si="87"/>
        <v>0</v>
      </c>
      <c r="CY87" s="81" t="s">
        <v>19</v>
      </c>
      <c r="CZ87" s="81">
        <f t="shared" si="88"/>
        <v>0</v>
      </c>
      <c r="DA87" s="81">
        <f t="shared" si="89"/>
        <v>0</v>
      </c>
      <c r="DB87" s="81" t="s">
        <v>20</v>
      </c>
      <c r="DC87" s="81">
        <f t="shared" si="90"/>
        <v>0</v>
      </c>
      <c r="DD87" s="81">
        <f t="shared" si="91"/>
        <v>0</v>
      </c>
      <c r="DE87" s="81" t="s">
        <v>23</v>
      </c>
      <c r="DF87" s="81">
        <f t="shared" si="92"/>
        <v>0</v>
      </c>
      <c r="DG87" s="81">
        <f t="shared" si="93"/>
        <v>0</v>
      </c>
      <c r="DH87" s="81" t="s">
        <v>15</v>
      </c>
      <c r="DI87" s="81">
        <f t="shared" si="94"/>
        <v>0</v>
      </c>
      <c r="DJ87" s="81">
        <f t="shared" si="95"/>
        <v>0</v>
      </c>
      <c r="DK87" s="81" t="s">
        <v>5309</v>
      </c>
      <c r="DL87" s="81">
        <f t="shared" si="96"/>
        <v>0</v>
      </c>
      <c r="DM87" s="81">
        <f t="shared" si="97"/>
        <v>0</v>
      </c>
      <c r="DN87" s="81" t="s">
        <v>7</v>
      </c>
      <c r="DO87" s="81">
        <f t="shared" si="98"/>
        <v>0</v>
      </c>
      <c r="DP87" s="81">
        <f t="shared" si="99"/>
        <v>0</v>
      </c>
      <c r="DQ87" s="81" t="s">
        <v>1</v>
      </c>
      <c r="DR87" s="81">
        <f t="shared" si="100"/>
        <v>0</v>
      </c>
      <c r="DS87" s="81">
        <f t="shared" si="101"/>
        <v>0</v>
      </c>
    </row>
    <row r="88" spans="14:123" x14ac:dyDescent="0.3">
      <c r="N88" s="81">
        <f>IF(Q89=0,IF(Q88=0,,"x"),)</f>
        <v>0</v>
      </c>
      <c r="O88" s="81">
        <f t="shared" si="102"/>
        <v>0</v>
      </c>
      <c r="P88" s="81">
        <f t="shared" si="66"/>
        <v>0</v>
      </c>
      <c r="Q88" s="81">
        <f t="shared" si="103"/>
        <v>0</v>
      </c>
      <c r="R88" s="81">
        <f>IF(W88="",,SUM($W$4:W88))</f>
        <v>0</v>
      </c>
      <c r="S88" s="81">
        <f t="shared" si="67"/>
        <v>0</v>
      </c>
      <c r="T88" s="81">
        <f t="shared" si="104"/>
        <v>0</v>
      </c>
      <c r="U88" s="81">
        <f t="shared" si="68"/>
        <v>0</v>
      </c>
      <c r="V88" s="81" t="str">
        <f t="shared" ca="1" si="69"/>
        <v/>
      </c>
      <c r="X88" s="81">
        <f t="shared" si="61"/>
        <v>0</v>
      </c>
      <c r="Y88" s="81">
        <f t="shared" si="62"/>
        <v>0</v>
      </c>
      <c r="AE88" s="81">
        <v>88</v>
      </c>
      <c r="AI88" s="81">
        <v>85</v>
      </c>
      <c r="AJ88" s="81" t="str">
        <f t="shared" si="57"/>
        <v>September 25</v>
      </c>
      <c r="AK88" s="81" t="str">
        <f t="shared" si="106"/>
        <v>September</v>
      </c>
      <c r="AL88" s="81">
        <f t="shared" si="105"/>
        <v>25</v>
      </c>
      <c r="AM88" s="81" t="str">
        <f t="shared" si="70"/>
        <v>='September 25'!</v>
      </c>
      <c r="AN88" s="81" t="str">
        <f t="shared" si="63"/>
        <v>='September 25'!C27</v>
      </c>
      <c r="AO88" s="81" t="s">
        <v>1088</v>
      </c>
      <c r="AR88" s="81" t="s">
        <v>148</v>
      </c>
      <c r="AS88" s="83" t="str">
        <f t="shared" si="58"/>
        <v>='September 25'!C6</v>
      </c>
      <c r="AT88" s="83">
        <f t="shared" si="59"/>
        <v>0</v>
      </c>
      <c r="AV88" s="81" t="s">
        <v>449</v>
      </c>
      <c r="AW88" s="81" t="s">
        <v>2242</v>
      </c>
      <c r="AX88" s="81" t="s">
        <v>2243</v>
      </c>
      <c r="AY88" s="81" t="s">
        <v>2244</v>
      </c>
      <c r="AZ88" s="81" t="s">
        <v>2245</v>
      </c>
      <c r="BA88" s="81" t="s">
        <v>2246</v>
      </c>
      <c r="BB88" s="81" t="s">
        <v>2247</v>
      </c>
      <c r="BC88" s="81" t="s">
        <v>2248</v>
      </c>
      <c r="BD88" s="81" t="s">
        <v>2249</v>
      </c>
      <c r="BE88" s="81" t="s">
        <v>2250</v>
      </c>
      <c r="BF88" s="81" t="s">
        <v>2251</v>
      </c>
      <c r="BG88" s="81" t="s">
        <v>2252</v>
      </c>
      <c r="BH88" s="81" t="s">
        <v>4705</v>
      </c>
      <c r="BI88" s="81" t="s">
        <v>5009</v>
      </c>
      <c r="BJ88" s="81" t="s">
        <v>148</v>
      </c>
      <c r="BL88" s="81" t="s">
        <v>752</v>
      </c>
      <c r="BM88" s="81">
        <v>85</v>
      </c>
      <c r="BN88" s="81" t="str">
        <f t="shared" si="60"/>
        <v>='September 25'!C12</v>
      </c>
      <c r="BP88" s="81" t="str">
        <f t="shared" ca="1" si="71"/>
        <v/>
      </c>
      <c r="BR88" s="84">
        <f t="shared" si="64"/>
        <v>0</v>
      </c>
      <c r="BS88" s="84">
        <f t="shared" si="65"/>
        <v>0</v>
      </c>
      <c r="CA88" s="81" t="s">
        <v>2</v>
      </c>
      <c r="CB88" s="81">
        <f t="shared" si="72"/>
        <v>0</v>
      </c>
      <c r="CC88" s="81">
        <f t="shared" si="73"/>
        <v>0</v>
      </c>
      <c r="CD88" s="81" t="s">
        <v>16</v>
      </c>
      <c r="CE88" s="81">
        <f t="shared" si="74"/>
        <v>0</v>
      </c>
      <c r="CF88" s="81">
        <f t="shared" si="75"/>
        <v>0</v>
      </c>
      <c r="CG88" s="81" t="s">
        <v>5</v>
      </c>
      <c r="CH88" s="81">
        <f t="shared" si="76"/>
        <v>0</v>
      </c>
      <c r="CI88" s="81">
        <f t="shared" si="77"/>
        <v>0</v>
      </c>
      <c r="CJ88" s="81" t="s">
        <v>18</v>
      </c>
      <c r="CK88" s="81">
        <f t="shared" si="78"/>
        <v>0</v>
      </c>
      <c r="CL88" s="81">
        <f t="shared" si="79"/>
        <v>0</v>
      </c>
      <c r="CM88" s="81" t="s">
        <v>4</v>
      </c>
      <c r="CN88" s="81">
        <f t="shared" si="80"/>
        <v>0</v>
      </c>
      <c r="CO88" s="81">
        <f t="shared" si="81"/>
        <v>0</v>
      </c>
      <c r="CP88" s="81" t="s">
        <v>22</v>
      </c>
      <c r="CQ88" s="81">
        <f t="shared" si="82"/>
        <v>0</v>
      </c>
      <c r="CR88" s="81">
        <f t="shared" si="83"/>
        <v>0</v>
      </c>
      <c r="CS88" s="81" t="s">
        <v>21</v>
      </c>
      <c r="CT88" s="81">
        <f t="shared" si="84"/>
        <v>0</v>
      </c>
      <c r="CU88" s="81">
        <f t="shared" si="85"/>
        <v>0</v>
      </c>
      <c r="CV88" s="81" t="s">
        <v>998</v>
      </c>
      <c r="CW88" s="81">
        <f t="shared" si="86"/>
        <v>0</v>
      </c>
      <c r="CX88" s="81">
        <f t="shared" si="87"/>
        <v>0</v>
      </c>
      <c r="CY88" s="81" t="s">
        <v>19</v>
      </c>
      <c r="CZ88" s="81">
        <f t="shared" si="88"/>
        <v>0</v>
      </c>
      <c r="DA88" s="81">
        <f t="shared" si="89"/>
        <v>0</v>
      </c>
      <c r="DB88" s="81" t="s">
        <v>20</v>
      </c>
      <c r="DC88" s="81">
        <f t="shared" si="90"/>
        <v>0</v>
      </c>
      <c r="DD88" s="81">
        <f t="shared" si="91"/>
        <v>0</v>
      </c>
      <c r="DE88" s="81" t="s">
        <v>23</v>
      </c>
      <c r="DF88" s="81">
        <f t="shared" si="92"/>
        <v>0</v>
      </c>
      <c r="DG88" s="81">
        <f t="shared" si="93"/>
        <v>0</v>
      </c>
      <c r="DH88" s="81" t="s">
        <v>15</v>
      </c>
      <c r="DI88" s="81">
        <f t="shared" si="94"/>
        <v>0</v>
      </c>
      <c r="DJ88" s="81">
        <f t="shared" si="95"/>
        <v>0</v>
      </c>
      <c r="DK88" s="81" t="s">
        <v>5310</v>
      </c>
      <c r="DL88" s="81">
        <f t="shared" si="96"/>
        <v>0</v>
      </c>
      <c r="DM88" s="81">
        <f t="shared" si="97"/>
        <v>0</v>
      </c>
      <c r="DN88" s="81" t="s">
        <v>7</v>
      </c>
      <c r="DO88" s="81">
        <f t="shared" si="98"/>
        <v>0</v>
      </c>
      <c r="DP88" s="81">
        <f t="shared" si="99"/>
        <v>0</v>
      </c>
      <c r="DQ88" s="81" t="s">
        <v>1</v>
      </c>
      <c r="DR88" s="81">
        <f t="shared" si="100"/>
        <v>0</v>
      </c>
      <c r="DS88" s="81">
        <f t="shared" si="101"/>
        <v>0</v>
      </c>
    </row>
    <row r="89" spans="14:123" x14ac:dyDescent="0.3">
      <c r="N89" s="81">
        <f>IF(Q90=0,IF(Q89=0,,"x"),)</f>
        <v>0</v>
      </c>
      <c r="O89" s="81">
        <f t="shared" si="102"/>
        <v>0</v>
      </c>
      <c r="P89" s="81">
        <f t="shared" si="66"/>
        <v>0</v>
      </c>
      <c r="Q89" s="81">
        <f t="shared" si="103"/>
        <v>0</v>
      </c>
      <c r="R89" s="81">
        <f>IF(W89="",,SUM($W$4:W89))</f>
        <v>0</v>
      </c>
      <c r="S89" s="81">
        <f t="shared" si="67"/>
        <v>0</v>
      </c>
      <c r="T89" s="81">
        <f t="shared" si="104"/>
        <v>0</v>
      </c>
      <c r="U89" s="81">
        <f t="shared" si="68"/>
        <v>0</v>
      </c>
      <c r="V89" s="81" t="str">
        <f t="shared" ca="1" si="69"/>
        <v/>
      </c>
      <c r="X89" s="81">
        <f t="shared" si="61"/>
        <v>0</v>
      </c>
      <c r="Y89" s="81">
        <f t="shared" si="62"/>
        <v>0</v>
      </c>
      <c r="AE89" s="81">
        <v>89</v>
      </c>
      <c r="AI89" s="81">
        <v>86</v>
      </c>
      <c r="AJ89" s="81" t="str">
        <f t="shared" si="57"/>
        <v>Oktober 25</v>
      </c>
      <c r="AK89" s="81" t="str">
        <f t="shared" si="106"/>
        <v>Oktober</v>
      </c>
      <c r="AL89" s="81">
        <f t="shared" si="105"/>
        <v>25</v>
      </c>
      <c r="AM89" s="81" t="str">
        <f t="shared" si="70"/>
        <v>='Oktober 25'!</v>
      </c>
      <c r="AN89" s="81" t="str">
        <f t="shared" si="63"/>
        <v>='Oktober 25'!C27</v>
      </c>
      <c r="AO89" s="81" t="s">
        <v>1089</v>
      </c>
      <c r="AR89" s="81" t="s">
        <v>149</v>
      </c>
      <c r="AS89" s="83" t="str">
        <f t="shared" si="58"/>
        <v>='Oktober 25'!C6</v>
      </c>
      <c r="AT89" s="83">
        <f t="shared" si="59"/>
        <v>0</v>
      </c>
      <c r="AV89" s="81" t="s">
        <v>450</v>
      </c>
      <c r="AW89" s="81" t="s">
        <v>2253</v>
      </c>
      <c r="AX89" s="81" t="s">
        <v>2254</v>
      </c>
      <c r="AY89" s="81" t="s">
        <v>2255</v>
      </c>
      <c r="AZ89" s="81" t="s">
        <v>2256</v>
      </c>
      <c r="BA89" s="81" t="s">
        <v>2257</v>
      </c>
      <c r="BB89" s="81" t="s">
        <v>2258</v>
      </c>
      <c r="BC89" s="81" t="s">
        <v>2259</v>
      </c>
      <c r="BD89" s="81" t="s">
        <v>2260</v>
      </c>
      <c r="BE89" s="81" t="s">
        <v>2261</v>
      </c>
      <c r="BF89" s="81" t="s">
        <v>2262</v>
      </c>
      <c r="BG89" s="81" t="s">
        <v>2263</v>
      </c>
      <c r="BH89" s="81" t="s">
        <v>4706</v>
      </c>
      <c r="BI89" s="81" t="s">
        <v>5010</v>
      </c>
      <c r="BJ89" s="81" t="s">
        <v>149</v>
      </c>
      <c r="BL89" s="81" t="s">
        <v>753</v>
      </c>
      <c r="BM89" s="81">
        <v>86</v>
      </c>
      <c r="BN89" s="81" t="str">
        <f t="shared" si="60"/>
        <v>='Oktober 25'!C12</v>
      </c>
      <c r="BP89" s="81" t="str">
        <f t="shared" ca="1" si="71"/>
        <v/>
      </c>
      <c r="BR89" s="84">
        <f t="shared" si="64"/>
        <v>0</v>
      </c>
      <c r="BS89" s="84">
        <f t="shared" si="65"/>
        <v>0</v>
      </c>
      <c r="CA89" s="81" t="s">
        <v>2</v>
      </c>
      <c r="CB89" s="81">
        <f t="shared" si="72"/>
        <v>0</v>
      </c>
      <c r="CC89" s="81">
        <f t="shared" si="73"/>
        <v>0</v>
      </c>
      <c r="CD89" s="81" t="s">
        <v>16</v>
      </c>
      <c r="CE89" s="81">
        <f t="shared" si="74"/>
        <v>0</v>
      </c>
      <c r="CF89" s="81">
        <f t="shared" si="75"/>
        <v>0</v>
      </c>
      <c r="CG89" s="81" t="s">
        <v>5</v>
      </c>
      <c r="CH89" s="81">
        <f t="shared" si="76"/>
        <v>0</v>
      </c>
      <c r="CI89" s="81">
        <f t="shared" si="77"/>
        <v>0</v>
      </c>
      <c r="CJ89" s="81" t="s">
        <v>18</v>
      </c>
      <c r="CK89" s="81">
        <f t="shared" si="78"/>
        <v>0</v>
      </c>
      <c r="CL89" s="81">
        <f t="shared" si="79"/>
        <v>0</v>
      </c>
      <c r="CM89" s="81" t="s">
        <v>4</v>
      </c>
      <c r="CN89" s="81">
        <f t="shared" si="80"/>
        <v>0</v>
      </c>
      <c r="CO89" s="81">
        <f t="shared" si="81"/>
        <v>0</v>
      </c>
      <c r="CP89" s="81" t="s">
        <v>22</v>
      </c>
      <c r="CQ89" s="81">
        <f t="shared" si="82"/>
        <v>0</v>
      </c>
      <c r="CR89" s="81">
        <f t="shared" si="83"/>
        <v>0</v>
      </c>
      <c r="CS89" s="81" t="s">
        <v>21</v>
      </c>
      <c r="CT89" s="81">
        <f t="shared" si="84"/>
        <v>0</v>
      </c>
      <c r="CU89" s="81">
        <f t="shared" si="85"/>
        <v>0</v>
      </c>
      <c r="CV89" s="81" t="s">
        <v>998</v>
      </c>
      <c r="CW89" s="81">
        <f t="shared" si="86"/>
        <v>0</v>
      </c>
      <c r="CX89" s="81">
        <f t="shared" si="87"/>
        <v>0</v>
      </c>
      <c r="CY89" s="81" t="s">
        <v>19</v>
      </c>
      <c r="CZ89" s="81">
        <f t="shared" si="88"/>
        <v>0</v>
      </c>
      <c r="DA89" s="81">
        <f t="shared" si="89"/>
        <v>0</v>
      </c>
      <c r="DB89" s="81" t="s">
        <v>20</v>
      </c>
      <c r="DC89" s="81">
        <f t="shared" si="90"/>
        <v>0</v>
      </c>
      <c r="DD89" s="81">
        <f t="shared" si="91"/>
        <v>0</v>
      </c>
      <c r="DE89" s="81" t="s">
        <v>23</v>
      </c>
      <c r="DF89" s="81">
        <f t="shared" si="92"/>
        <v>0</v>
      </c>
      <c r="DG89" s="81">
        <f t="shared" si="93"/>
        <v>0</v>
      </c>
      <c r="DH89" s="81" t="s">
        <v>15</v>
      </c>
      <c r="DI89" s="81">
        <f t="shared" si="94"/>
        <v>0</v>
      </c>
      <c r="DJ89" s="81">
        <f t="shared" si="95"/>
        <v>0</v>
      </c>
      <c r="DK89" s="81" t="s">
        <v>5311</v>
      </c>
      <c r="DL89" s="81">
        <f t="shared" si="96"/>
        <v>0</v>
      </c>
      <c r="DM89" s="81">
        <f t="shared" si="97"/>
        <v>0</v>
      </c>
      <c r="DN89" s="81" t="s">
        <v>7</v>
      </c>
      <c r="DO89" s="81">
        <f t="shared" si="98"/>
        <v>0</v>
      </c>
      <c r="DP89" s="81">
        <f t="shared" si="99"/>
        <v>0</v>
      </c>
      <c r="DQ89" s="81" t="s">
        <v>1</v>
      </c>
      <c r="DR89" s="81">
        <f t="shared" si="100"/>
        <v>0</v>
      </c>
      <c r="DS89" s="81">
        <f t="shared" si="101"/>
        <v>0</v>
      </c>
    </row>
    <row r="90" spans="14:123" x14ac:dyDescent="0.3">
      <c r="N90" s="81">
        <f>IF(Q91=0,IF(Q90=0,,"x"),)</f>
        <v>0</v>
      </c>
      <c r="O90" s="81">
        <f t="shared" si="102"/>
        <v>0</v>
      </c>
      <c r="P90" s="81">
        <f t="shared" si="66"/>
        <v>0</v>
      </c>
      <c r="Q90" s="81">
        <f t="shared" si="103"/>
        <v>0</v>
      </c>
      <c r="R90" s="81">
        <f>IF(W90="",,SUM($W$4:W90))</f>
        <v>0</v>
      </c>
      <c r="S90" s="81">
        <f t="shared" si="67"/>
        <v>0</v>
      </c>
      <c r="T90" s="81">
        <f t="shared" si="104"/>
        <v>0</v>
      </c>
      <c r="U90" s="81">
        <f t="shared" si="68"/>
        <v>0</v>
      </c>
      <c r="V90" s="81" t="str">
        <f t="shared" ca="1" si="69"/>
        <v/>
      </c>
      <c r="X90" s="81">
        <f t="shared" si="61"/>
        <v>0</v>
      </c>
      <c r="Y90" s="81">
        <f t="shared" si="62"/>
        <v>0</v>
      </c>
      <c r="AE90" s="81">
        <v>90</v>
      </c>
      <c r="AI90" s="81">
        <v>87</v>
      </c>
      <c r="AJ90" s="81" t="str">
        <f t="shared" si="57"/>
        <v>November 25</v>
      </c>
      <c r="AK90" s="81" t="str">
        <f t="shared" si="106"/>
        <v>November</v>
      </c>
      <c r="AL90" s="81">
        <f t="shared" si="105"/>
        <v>25</v>
      </c>
      <c r="AM90" s="81" t="str">
        <f t="shared" si="70"/>
        <v>='November 25'!</v>
      </c>
      <c r="AN90" s="81" t="str">
        <f t="shared" si="63"/>
        <v>='November 25'!C27</v>
      </c>
      <c r="AO90" s="81" t="s">
        <v>1090</v>
      </c>
      <c r="AR90" s="81" t="s">
        <v>150</v>
      </c>
      <c r="AS90" s="83" t="str">
        <f t="shared" si="58"/>
        <v>='November 25'!C6</v>
      </c>
      <c r="AT90" s="83">
        <f t="shared" si="59"/>
        <v>0</v>
      </c>
      <c r="AV90" s="81" t="s">
        <v>451</v>
      </c>
      <c r="AW90" s="81" t="s">
        <v>2264</v>
      </c>
      <c r="AX90" s="81" t="s">
        <v>2265</v>
      </c>
      <c r="AY90" s="81" t="s">
        <v>2266</v>
      </c>
      <c r="AZ90" s="81" t="s">
        <v>2267</v>
      </c>
      <c r="BA90" s="81" t="s">
        <v>2268</v>
      </c>
      <c r="BB90" s="81" t="s">
        <v>2269</v>
      </c>
      <c r="BC90" s="81" t="s">
        <v>2270</v>
      </c>
      <c r="BD90" s="81" t="s">
        <v>2271</v>
      </c>
      <c r="BE90" s="81" t="s">
        <v>2272</v>
      </c>
      <c r="BF90" s="81" t="s">
        <v>2273</v>
      </c>
      <c r="BG90" s="81" t="s">
        <v>2274</v>
      </c>
      <c r="BH90" s="81" t="s">
        <v>4707</v>
      </c>
      <c r="BI90" s="81" t="s">
        <v>5011</v>
      </c>
      <c r="BJ90" s="81" t="s">
        <v>150</v>
      </c>
      <c r="BL90" s="81" t="s">
        <v>754</v>
      </c>
      <c r="BM90" s="81">
        <v>87</v>
      </c>
      <c r="BN90" s="81" t="str">
        <f t="shared" si="60"/>
        <v>='November 25'!C12</v>
      </c>
      <c r="BP90" s="81" t="str">
        <f t="shared" ca="1" si="71"/>
        <v/>
      </c>
      <c r="BR90" s="84">
        <f t="shared" si="64"/>
        <v>0</v>
      </c>
      <c r="BS90" s="84">
        <f t="shared" si="65"/>
        <v>0</v>
      </c>
      <c r="CA90" s="81" t="s">
        <v>2</v>
      </c>
      <c r="CB90" s="81">
        <f t="shared" si="72"/>
        <v>0</v>
      </c>
      <c r="CC90" s="81">
        <f t="shared" si="73"/>
        <v>0</v>
      </c>
      <c r="CD90" s="81" t="s">
        <v>16</v>
      </c>
      <c r="CE90" s="81">
        <f t="shared" si="74"/>
        <v>0</v>
      </c>
      <c r="CF90" s="81">
        <f t="shared" si="75"/>
        <v>0</v>
      </c>
      <c r="CG90" s="81" t="s">
        <v>5</v>
      </c>
      <c r="CH90" s="81">
        <f t="shared" si="76"/>
        <v>0</v>
      </c>
      <c r="CI90" s="81">
        <f t="shared" si="77"/>
        <v>0</v>
      </c>
      <c r="CJ90" s="81" t="s">
        <v>18</v>
      </c>
      <c r="CK90" s="81">
        <f t="shared" si="78"/>
        <v>0</v>
      </c>
      <c r="CL90" s="81">
        <f t="shared" si="79"/>
        <v>0</v>
      </c>
      <c r="CM90" s="81" t="s">
        <v>4</v>
      </c>
      <c r="CN90" s="81">
        <f t="shared" si="80"/>
        <v>0</v>
      </c>
      <c r="CO90" s="81">
        <f t="shared" si="81"/>
        <v>0</v>
      </c>
      <c r="CP90" s="81" t="s">
        <v>22</v>
      </c>
      <c r="CQ90" s="81">
        <f t="shared" si="82"/>
        <v>0</v>
      </c>
      <c r="CR90" s="81">
        <f t="shared" si="83"/>
        <v>0</v>
      </c>
      <c r="CS90" s="81" t="s">
        <v>21</v>
      </c>
      <c r="CT90" s="81">
        <f t="shared" si="84"/>
        <v>0</v>
      </c>
      <c r="CU90" s="81">
        <f t="shared" si="85"/>
        <v>0</v>
      </c>
      <c r="CV90" s="81" t="s">
        <v>998</v>
      </c>
      <c r="CW90" s="81">
        <f t="shared" si="86"/>
        <v>0</v>
      </c>
      <c r="CX90" s="81">
        <f t="shared" si="87"/>
        <v>0</v>
      </c>
      <c r="CY90" s="81" t="s">
        <v>19</v>
      </c>
      <c r="CZ90" s="81">
        <f t="shared" si="88"/>
        <v>0</v>
      </c>
      <c r="DA90" s="81">
        <f t="shared" si="89"/>
        <v>0</v>
      </c>
      <c r="DB90" s="81" t="s">
        <v>20</v>
      </c>
      <c r="DC90" s="81">
        <f t="shared" si="90"/>
        <v>0</v>
      </c>
      <c r="DD90" s="81">
        <f t="shared" si="91"/>
        <v>0</v>
      </c>
      <c r="DE90" s="81" t="s">
        <v>23</v>
      </c>
      <c r="DF90" s="81">
        <f t="shared" si="92"/>
        <v>0</v>
      </c>
      <c r="DG90" s="81">
        <f t="shared" si="93"/>
        <v>0</v>
      </c>
      <c r="DH90" s="81" t="s">
        <v>15</v>
      </c>
      <c r="DI90" s="81">
        <f t="shared" si="94"/>
        <v>0</v>
      </c>
      <c r="DJ90" s="81">
        <f t="shared" si="95"/>
        <v>0</v>
      </c>
      <c r="DK90" s="81" t="s">
        <v>5312</v>
      </c>
      <c r="DL90" s="81">
        <f t="shared" si="96"/>
        <v>0</v>
      </c>
      <c r="DM90" s="81">
        <f t="shared" si="97"/>
        <v>0</v>
      </c>
      <c r="DN90" s="81" t="s">
        <v>7</v>
      </c>
      <c r="DO90" s="81">
        <f t="shared" si="98"/>
        <v>0</v>
      </c>
      <c r="DP90" s="81">
        <f t="shared" si="99"/>
        <v>0</v>
      </c>
      <c r="DQ90" s="81" t="s">
        <v>1</v>
      </c>
      <c r="DR90" s="81">
        <f t="shared" si="100"/>
        <v>0</v>
      </c>
      <c r="DS90" s="81">
        <f t="shared" si="101"/>
        <v>0</v>
      </c>
    </row>
    <row r="91" spans="14:123" x14ac:dyDescent="0.3">
      <c r="N91" s="81">
        <f>IF(Q92=0,IF(Q91=0,,"x"),)</f>
        <v>0</v>
      </c>
      <c r="O91" s="81">
        <f t="shared" si="102"/>
        <v>0</v>
      </c>
      <c r="P91" s="81">
        <f t="shared" si="66"/>
        <v>0</v>
      </c>
      <c r="Q91" s="81">
        <f t="shared" si="103"/>
        <v>0</v>
      </c>
      <c r="R91" s="81">
        <f>IF(W91="",,SUM($W$4:W91))</f>
        <v>0</v>
      </c>
      <c r="S91" s="81">
        <f t="shared" si="67"/>
        <v>0</v>
      </c>
      <c r="T91" s="81">
        <f t="shared" si="104"/>
        <v>0</v>
      </c>
      <c r="U91" s="81">
        <f t="shared" si="68"/>
        <v>0</v>
      </c>
      <c r="V91" s="81" t="str">
        <f t="shared" ca="1" si="69"/>
        <v/>
      </c>
      <c r="X91" s="81">
        <f t="shared" si="61"/>
        <v>0</v>
      </c>
      <c r="Y91" s="81">
        <f t="shared" si="62"/>
        <v>0</v>
      </c>
      <c r="AE91" s="81">
        <v>91</v>
      </c>
      <c r="AI91" s="81">
        <v>88</v>
      </c>
      <c r="AJ91" s="81" t="str">
        <f t="shared" si="57"/>
        <v>December 25</v>
      </c>
      <c r="AK91" s="81" t="str">
        <f t="shared" si="106"/>
        <v>December</v>
      </c>
      <c r="AL91" s="81">
        <f t="shared" si="105"/>
        <v>25</v>
      </c>
      <c r="AM91" s="81" t="str">
        <f t="shared" si="70"/>
        <v>='December 25'!</v>
      </c>
      <c r="AN91" s="81" t="str">
        <f t="shared" si="63"/>
        <v>='December 25'!C27</v>
      </c>
      <c r="AO91" s="81" t="s">
        <v>1091</v>
      </c>
      <c r="AR91" s="81" t="s">
        <v>151</v>
      </c>
      <c r="AS91" s="83" t="str">
        <f t="shared" si="58"/>
        <v>='December 25'!C6</v>
      </c>
      <c r="AT91" s="83">
        <f t="shared" si="59"/>
        <v>0</v>
      </c>
      <c r="AV91" s="81" t="s">
        <v>452</v>
      </c>
      <c r="AW91" s="81" t="s">
        <v>2275</v>
      </c>
      <c r="AX91" s="81" t="s">
        <v>2276</v>
      </c>
      <c r="AY91" s="81" t="s">
        <v>2277</v>
      </c>
      <c r="AZ91" s="81" t="s">
        <v>2278</v>
      </c>
      <c r="BA91" s="81" t="s">
        <v>2279</v>
      </c>
      <c r="BB91" s="81" t="s">
        <v>2280</v>
      </c>
      <c r="BC91" s="81" t="s">
        <v>2281</v>
      </c>
      <c r="BD91" s="81" t="s">
        <v>2282</v>
      </c>
      <c r="BE91" s="81" t="s">
        <v>2283</v>
      </c>
      <c r="BF91" s="81" t="s">
        <v>2284</v>
      </c>
      <c r="BG91" s="81" t="s">
        <v>2285</v>
      </c>
      <c r="BH91" s="81" t="s">
        <v>4708</v>
      </c>
      <c r="BI91" s="81" t="s">
        <v>5012</v>
      </c>
      <c r="BJ91" s="81" t="s">
        <v>151</v>
      </c>
      <c r="BL91" s="81" t="s">
        <v>755</v>
      </c>
      <c r="BM91" s="81">
        <v>88</v>
      </c>
      <c r="BN91" s="81" t="str">
        <f t="shared" si="60"/>
        <v>='December 25'!C12</v>
      </c>
      <c r="BP91" s="81" t="str">
        <f t="shared" ca="1" si="71"/>
        <v/>
      </c>
      <c r="BR91" s="84">
        <f t="shared" si="64"/>
        <v>0</v>
      </c>
      <c r="BS91" s="84">
        <f t="shared" si="65"/>
        <v>0</v>
      </c>
      <c r="CA91" s="81" t="s">
        <v>2</v>
      </c>
      <c r="CB91" s="81">
        <f t="shared" si="72"/>
        <v>0</v>
      </c>
      <c r="CC91" s="81">
        <f t="shared" si="73"/>
        <v>0</v>
      </c>
      <c r="CD91" s="81" t="s">
        <v>16</v>
      </c>
      <c r="CE91" s="81">
        <f t="shared" si="74"/>
        <v>0</v>
      </c>
      <c r="CF91" s="81">
        <f t="shared" si="75"/>
        <v>0</v>
      </c>
      <c r="CG91" s="81" t="s">
        <v>5</v>
      </c>
      <c r="CH91" s="81">
        <f t="shared" si="76"/>
        <v>0</v>
      </c>
      <c r="CI91" s="81">
        <f t="shared" si="77"/>
        <v>0</v>
      </c>
      <c r="CJ91" s="81" t="s">
        <v>18</v>
      </c>
      <c r="CK91" s="81">
        <f t="shared" si="78"/>
        <v>0</v>
      </c>
      <c r="CL91" s="81">
        <f t="shared" si="79"/>
        <v>0</v>
      </c>
      <c r="CM91" s="81" t="s">
        <v>4</v>
      </c>
      <c r="CN91" s="81">
        <f t="shared" si="80"/>
        <v>0</v>
      </c>
      <c r="CO91" s="81">
        <f t="shared" si="81"/>
        <v>0</v>
      </c>
      <c r="CP91" s="81" t="s">
        <v>22</v>
      </c>
      <c r="CQ91" s="81">
        <f t="shared" si="82"/>
        <v>0</v>
      </c>
      <c r="CR91" s="81">
        <f t="shared" si="83"/>
        <v>0</v>
      </c>
      <c r="CS91" s="81" t="s">
        <v>21</v>
      </c>
      <c r="CT91" s="81">
        <f t="shared" si="84"/>
        <v>0</v>
      </c>
      <c r="CU91" s="81">
        <f t="shared" si="85"/>
        <v>0</v>
      </c>
      <c r="CV91" s="81" t="s">
        <v>998</v>
      </c>
      <c r="CW91" s="81">
        <f t="shared" si="86"/>
        <v>0</v>
      </c>
      <c r="CX91" s="81">
        <f t="shared" si="87"/>
        <v>0</v>
      </c>
      <c r="CY91" s="81" t="s">
        <v>19</v>
      </c>
      <c r="CZ91" s="81">
        <f t="shared" si="88"/>
        <v>0</v>
      </c>
      <c r="DA91" s="81">
        <f t="shared" si="89"/>
        <v>0</v>
      </c>
      <c r="DB91" s="81" t="s">
        <v>20</v>
      </c>
      <c r="DC91" s="81">
        <f t="shared" si="90"/>
        <v>0</v>
      </c>
      <c r="DD91" s="81">
        <f t="shared" si="91"/>
        <v>0</v>
      </c>
      <c r="DE91" s="81" t="s">
        <v>23</v>
      </c>
      <c r="DF91" s="81">
        <f t="shared" si="92"/>
        <v>0</v>
      </c>
      <c r="DG91" s="81">
        <f t="shared" si="93"/>
        <v>0</v>
      </c>
      <c r="DH91" s="81" t="s">
        <v>15</v>
      </c>
      <c r="DI91" s="81">
        <f t="shared" si="94"/>
        <v>0</v>
      </c>
      <c r="DJ91" s="81">
        <f t="shared" si="95"/>
        <v>0</v>
      </c>
      <c r="DK91" s="81" t="s">
        <v>5313</v>
      </c>
      <c r="DL91" s="81">
        <f t="shared" si="96"/>
        <v>0</v>
      </c>
      <c r="DM91" s="81">
        <f t="shared" si="97"/>
        <v>0</v>
      </c>
      <c r="DN91" s="81" t="s">
        <v>7</v>
      </c>
      <c r="DO91" s="81">
        <f t="shared" si="98"/>
        <v>0</v>
      </c>
      <c r="DP91" s="81">
        <f t="shared" si="99"/>
        <v>0</v>
      </c>
      <c r="DQ91" s="81" t="s">
        <v>1</v>
      </c>
      <c r="DR91" s="81">
        <f t="shared" si="100"/>
        <v>0</v>
      </c>
      <c r="DS91" s="81">
        <f t="shared" si="101"/>
        <v>0</v>
      </c>
    </row>
    <row r="92" spans="14:123" x14ac:dyDescent="0.3">
      <c r="N92" s="81">
        <f>IF(Q93=0,IF(Q92=0,,"x"),)</f>
        <v>0</v>
      </c>
      <c r="O92" s="81">
        <f t="shared" si="102"/>
        <v>0</v>
      </c>
      <c r="P92" s="81">
        <f t="shared" si="66"/>
        <v>0</v>
      </c>
      <c r="Q92" s="81">
        <f t="shared" si="103"/>
        <v>0</v>
      </c>
      <c r="R92" s="81">
        <f>IF(W92="",,SUM($W$4:W92))</f>
        <v>0</v>
      </c>
      <c r="S92" s="81">
        <f t="shared" si="67"/>
        <v>0</v>
      </c>
      <c r="T92" s="81">
        <f t="shared" si="104"/>
        <v>0</v>
      </c>
      <c r="U92" s="81">
        <f t="shared" si="68"/>
        <v>0</v>
      </c>
      <c r="V92" s="81" t="str">
        <f t="shared" ca="1" si="69"/>
        <v/>
      </c>
      <c r="X92" s="81">
        <f t="shared" si="61"/>
        <v>0</v>
      </c>
      <c r="Y92" s="81">
        <f t="shared" si="62"/>
        <v>0</v>
      </c>
      <c r="AE92" s="81">
        <v>92</v>
      </c>
      <c r="AI92" s="81">
        <v>89</v>
      </c>
      <c r="AJ92" s="81" t="str">
        <f t="shared" si="57"/>
        <v>Januari 26</v>
      </c>
      <c r="AK92" s="81" t="str">
        <f t="shared" si="106"/>
        <v>Januari</v>
      </c>
      <c r="AL92" s="81">
        <f t="shared" si="105"/>
        <v>26</v>
      </c>
      <c r="AM92" s="81" t="str">
        <f t="shared" si="70"/>
        <v>='Januari 26'!</v>
      </c>
      <c r="AN92" s="81" t="str">
        <f t="shared" si="63"/>
        <v>='Januari 26'!C27</v>
      </c>
      <c r="AO92" s="81" t="s">
        <v>1092</v>
      </c>
      <c r="AR92" s="81" t="s">
        <v>152</v>
      </c>
      <c r="AS92" s="83" t="str">
        <f t="shared" si="58"/>
        <v>='Januari 26'!C6</v>
      </c>
      <c r="AT92" s="83">
        <f t="shared" si="59"/>
        <v>0</v>
      </c>
      <c r="AV92" s="81" t="s">
        <v>453</v>
      </c>
      <c r="AW92" s="81" t="s">
        <v>2286</v>
      </c>
      <c r="AX92" s="81" t="s">
        <v>2287</v>
      </c>
      <c r="AY92" s="81" t="s">
        <v>2288</v>
      </c>
      <c r="AZ92" s="81" t="s">
        <v>2289</v>
      </c>
      <c r="BA92" s="81" t="s">
        <v>2290</v>
      </c>
      <c r="BB92" s="81" t="s">
        <v>2291</v>
      </c>
      <c r="BC92" s="81" t="s">
        <v>2292</v>
      </c>
      <c r="BD92" s="81" t="s">
        <v>2293</v>
      </c>
      <c r="BE92" s="81" t="s">
        <v>2294</v>
      </c>
      <c r="BF92" s="81" t="s">
        <v>2295</v>
      </c>
      <c r="BG92" s="81" t="s">
        <v>2296</v>
      </c>
      <c r="BH92" s="81" t="s">
        <v>4709</v>
      </c>
      <c r="BI92" s="81" t="s">
        <v>5013</v>
      </c>
      <c r="BJ92" s="81" t="s">
        <v>152</v>
      </c>
      <c r="BL92" s="81" t="s">
        <v>756</v>
      </c>
      <c r="BM92" s="81">
        <v>89</v>
      </c>
      <c r="BN92" s="81" t="str">
        <f t="shared" si="60"/>
        <v>='Januari 26'!C12</v>
      </c>
      <c r="BP92" s="81" t="str">
        <f t="shared" ca="1" si="71"/>
        <v/>
      </c>
      <c r="BR92" s="84">
        <f t="shared" si="64"/>
        <v>0</v>
      </c>
      <c r="BS92" s="84">
        <f t="shared" si="65"/>
        <v>0</v>
      </c>
      <c r="CA92" s="81" t="s">
        <v>2</v>
      </c>
      <c r="CB92" s="81">
        <f t="shared" si="72"/>
        <v>0</v>
      </c>
      <c r="CC92" s="81">
        <f t="shared" si="73"/>
        <v>0</v>
      </c>
      <c r="CD92" s="81" t="s">
        <v>16</v>
      </c>
      <c r="CE92" s="81">
        <f t="shared" si="74"/>
        <v>0</v>
      </c>
      <c r="CF92" s="81">
        <f t="shared" si="75"/>
        <v>0</v>
      </c>
      <c r="CG92" s="81" t="s">
        <v>5</v>
      </c>
      <c r="CH92" s="81">
        <f t="shared" si="76"/>
        <v>0</v>
      </c>
      <c r="CI92" s="81">
        <f t="shared" si="77"/>
        <v>0</v>
      </c>
      <c r="CJ92" s="81" t="s">
        <v>18</v>
      </c>
      <c r="CK92" s="81">
        <f t="shared" si="78"/>
        <v>0</v>
      </c>
      <c r="CL92" s="81">
        <f t="shared" si="79"/>
        <v>0</v>
      </c>
      <c r="CM92" s="81" t="s">
        <v>4</v>
      </c>
      <c r="CN92" s="81">
        <f t="shared" si="80"/>
        <v>0</v>
      </c>
      <c r="CO92" s="81">
        <f t="shared" si="81"/>
        <v>0</v>
      </c>
      <c r="CP92" s="81" t="s">
        <v>22</v>
      </c>
      <c r="CQ92" s="81">
        <f t="shared" si="82"/>
        <v>0</v>
      </c>
      <c r="CR92" s="81">
        <f t="shared" si="83"/>
        <v>0</v>
      </c>
      <c r="CS92" s="81" t="s">
        <v>21</v>
      </c>
      <c r="CT92" s="81">
        <f t="shared" si="84"/>
        <v>0</v>
      </c>
      <c r="CU92" s="81">
        <f t="shared" si="85"/>
        <v>0</v>
      </c>
      <c r="CV92" s="81" t="s">
        <v>998</v>
      </c>
      <c r="CW92" s="81">
        <f t="shared" si="86"/>
        <v>0</v>
      </c>
      <c r="CX92" s="81">
        <f t="shared" si="87"/>
        <v>0</v>
      </c>
      <c r="CY92" s="81" t="s">
        <v>19</v>
      </c>
      <c r="CZ92" s="81">
        <f t="shared" si="88"/>
        <v>0</v>
      </c>
      <c r="DA92" s="81">
        <f t="shared" si="89"/>
        <v>0</v>
      </c>
      <c r="DB92" s="81" t="s">
        <v>20</v>
      </c>
      <c r="DC92" s="81">
        <f t="shared" si="90"/>
        <v>0</v>
      </c>
      <c r="DD92" s="81">
        <f t="shared" si="91"/>
        <v>0</v>
      </c>
      <c r="DE92" s="81" t="s">
        <v>23</v>
      </c>
      <c r="DF92" s="81">
        <f t="shared" si="92"/>
        <v>0</v>
      </c>
      <c r="DG92" s="81">
        <f t="shared" si="93"/>
        <v>0</v>
      </c>
      <c r="DH92" s="81" t="s">
        <v>15</v>
      </c>
      <c r="DI92" s="81">
        <f t="shared" si="94"/>
        <v>0</v>
      </c>
      <c r="DJ92" s="81">
        <f t="shared" si="95"/>
        <v>0</v>
      </c>
      <c r="DK92" s="81" t="s">
        <v>5314</v>
      </c>
      <c r="DL92" s="81">
        <f t="shared" si="96"/>
        <v>0</v>
      </c>
      <c r="DM92" s="81">
        <f t="shared" si="97"/>
        <v>0</v>
      </c>
      <c r="DN92" s="81" t="s">
        <v>7</v>
      </c>
      <c r="DO92" s="81">
        <f t="shared" si="98"/>
        <v>0</v>
      </c>
      <c r="DP92" s="81">
        <f t="shared" si="99"/>
        <v>0</v>
      </c>
      <c r="DQ92" s="81" t="s">
        <v>1</v>
      </c>
      <c r="DR92" s="81">
        <f t="shared" si="100"/>
        <v>0</v>
      </c>
      <c r="DS92" s="81">
        <f t="shared" si="101"/>
        <v>0</v>
      </c>
    </row>
    <row r="93" spans="14:123" x14ac:dyDescent="0.3">
      <c r="N93" s="81">
        <f>IF(Q94=0,IF(Q93=0,,"x"),)</f>
        <v>0</v>
      </c>
      <c r="O93" s="81">
        <f t="shared" si="102"/>
        <v>0</v>
      </c>
      <c r="P93" s="81">
        <f t="shared" si="66"/>
        <v>0</v>
      </c>
      <c r="Q93" s="81">
        <f t="shared" si="103"/>
        <v>0</v>
      </c>
      <c r="R93" s="81">
        <f>IF(W93="",,SUM($W$4:W93))</f>
        <v>0</v>
      </c>
      <c r="S93" s="81">
        <f t="shared" si="67"/>
        <v>0</v>
      </c>
      <c r="T93" s="81">
        <f t="shared" si="104"/>
        <v>0</v>
      </c>
      <c r="U93" s="81">
        <f t="shared" si="68"/>
        <v>0</v>
      </c>
      <c r="V93" s="81" t="str">
        <f t="shared" ca="1" si="69"/>
        <v/>
      </c>
      <c r="X93" s="81">
        <f t="shared" si="61"/>
        <v>0</v>
      </c>
      <c r="Y93" s="81">
        <f t="shared" si="62"/>
        <v>0</v>
      </c>
      <c r="AE93" s="81">
        <v>93</v>
      </c>
      <c r="AI93" s="81">
        <v>90</v>
      </c>
      <c r="AJ93" s="81" t="str">
        <f t="shared" si="57"/>
        <v>Februari 26</v>
      </c>
      <c r="AK93" s="81" t="str">
        <f t="shared" si="106"/>
        <v>Februari</v>
      </c>
      <c r="AL93" s="81">
        <f t="shared" si="105"/>
        <v>26</v>
      </c>
      <c r="AM93" s="81" t="str">
        <f t="shared" si="70"/>
        <v>='Februari 26'!</v>
      </c>
      <c r="AN93" s="81" t="str">
        <f t="shared" si="63"/>
        <v>='Februari 26'!C27</v>
      </c>
      <c r="AO93" s="81" t="s">
        <v>1093</v>
      </c>
      <c r="AR93" s="81" t="s">
        <v>153</v>
      </c>
      <c r="AS93" s="83" t="str">
        <f t="shared" si="58"/>
        <v>='Februari 26'!C6</v>
      </c>
      <c r="AT93" s="83">
        <f t="shared" si="59"/>
        <v>0</v>
      </c>
      <c r="AV93" s="81" t="s">
        <v>454</v>
      </c>
      <c r="AW93" s="81" t="s">
        <v>2297</v>
      </c>
      <c r="AX93" s="81" t="s">
        <v>2298</v>
      </c>
      <c r="AY93" s="81" t="s">
        <v>2299</v>
      </c>
      <c r="AZ93" s="81" t="s">
        <v>2300</v>
      </c>
      <c r="BA93" s="81" t="s">
        <v>2301</v>
      </c>
      <c r="BB93" s="81" t="s">
        <v>2302</v>
      </c>
      <c r="BC93" s="81" t="s">
        <v>2303</v>
      </c>
      <c r="BD93" s="81" t="s">
        <v>2304</v>
      </c>
      <c r="BE93" s="81" t="s">
        <v>2305</v>
      </c>
      <c r="BF93" s="81" t="s">
        <v>2306</v>
      </c>
      <c r="BG93" s="81" t="s">
        <v>2307</v>
      </c>
      <c r="BH93" s="81" t="s">
        <v>4710</v>
      </c>
      <c r="BI93" s="81" t="s">
        <v>5014</v>
      </c>
      <c r="BJ93" s="81" t="s">
        <v>153</v>
      </c>
      <c r="BL93" s="81" t="s">
        <v>757</v>
      </c>
      <c r="BM93" s="81">
        <v>90</v>
      </c>
      <c r="BN93" s="81" t="str">
        <f t="shared" si="60"/>
        <v>='Februari 26'!C12</v>
      </c>
      <c r="BP93" s="81" t="str">
        <f t="shared" ca="1" si="71"/>
        <v/>
      </c>
      <c r="BR93" s="84">
        <f t="shared" si="64"/>
        <v>0</v>
      </c>
      <c r="BS93" s="84">
        <f t="shared" si="65"/>
        <v>0</v>
      </c>
      <c r="CA93" s="81" t="s">
        <v>2</v>
      </c>
      <c r="CB93" s="81">
        <f t="shared" si="72"/>
        <v>0</v>
      </c>
      <c r="CC93" s="81">
        <f t="shared" si="73"/>
        <v>0</v>
      </c>
      <c r="CD93" s="81" t="s">
        <v>16</v>
      </c>
      <c r="CE93" s="81">
        <f t="shared" si="74"/>
        <v>0</v>
      </c>
      <c r="CF93" s="81">
        <f t="shared" si="75"/>
        <v>0</v>
      </c>
      <c r="CG93" s="81" t="s">
        <v>5</v>
      </c>
      <c r="CH93" s="81">
        <f t="shared" si="76"/>
        <v>0</v>
      </c>
      <c r="CI93" s="81">
        <f t="shared" si="77"/>
        <v>0</v>
      </c>
      <c r="CJ93" s="81" t="s">
        <v>18</v>
      </c>
      <c r="CK93" s="81">
        <f t="shared" si="78"/>
        <v>0</v>
      </c>
      <c r="CL93" s="81">
        <f t="shared" si="79"/>
        <v>0</v>
      </c>
      <c r="CM93" s="81" t="s">
        <v>4</v>
      </c>
      <c r="CN93" s="81">
        <f t="shared" si="80"/>
        <v>0</v>
      </c>
      <c r="CO93" s="81">
        <f t="shared" si="81"/>
        <v>0</v>
      </c>
      <c r="CP93" s="81" t="s">
        <v>22</v>
      </c>
      <c r="CQ93" s="81">
        <f t="shared" si="82"/>
        <v>0</v>
      </c>
      <c r="CR93" s="81">
        <f t="shared" si="83"/>
        <v>0</v>
      </c>
      <c r="CS93" s="81" t="s">
        <v>21</v>
      </c>
      <c r="CT93" s="81">
        <f t="shared" si="84"/>
        <v>0</v>
      </c>
      <c r="CU93" s="81">
        <f t="shared" si="85"/>
        <v>0</v>
      </c>
      <c r="CV93" s="81" t="s">
        <v>998</v>
      </c>
      <c r="CW93" s="81">
        <f t="shared" si="86"/>
        <v>0</v>
      </c>
      <c r="CX93" s="81">
        <f t="shared" si="87"/>
        <v>0</v>
      </c>
      <c r="CY93" s="81" t="s">
        <v>19</v>
      </c>
      <c r="CZ93" s="81">
        <f t="shared" si="88"/>
        <v>0</v>
      </c>
      <c r="DA93" s="81">
        <f t="shared" si="89"/>
        <v>0</v>
      </c>
      <c r="DB93" s="81" t="s">
        <v>20</v>
      </c>
      <c r="DC93" s="81">
        <f t="shared" si="90"/>
        <v>0</v>
      </c>
      <c r="DD93" s="81">
        <f t="shared" si="91"/>
        <v>0</v>
      </c>
      <c r="DE93" s="81" t="s">
        <v>23</v>
      </c>
      <c r="DF93" s="81">
        <f t="shared" si="92"/>
        <v>0</v>
      </c>
      <c r="DG93" s="81">
        <f t="shared" si="93"/>
        <v>0</v>
      </c>
      <c r="DH93" s="81" t="s">
        <v>15</v>
      </c>
      <c r="DI93" s="81">
        <f t="shared" si="94"/>
        <v>0</v>
      </c>
      <c r="DJ93" s="81">
        <f t="shared" si="95"/>
        <v>0</v>
      </c>
      <c r="DK93" s="81" t="s">
        <v>5315</v>
      </c>
      <c r="DL93" s="81">
        <f t="shared" si="96"/>
        <v>0</v>
      </c>
      <c r="DM93" s="81">
        <f t="shared" si="97"/>
        <v>0</v>
      </c>
      <c r="DN93" s="81" t="s">
        <v>7</v>
      </c>
      <c r="DO93" s="81">
        <f t="shared" si="98"/>
        <v>0</v>
      </c>
      <c r="DP93" s="81">
        <f t="shared" si="99"/>
        <v>0</v>
      </c>
      <c r="DQ93" s="81" t="s">
        <v>1</v>
      </c>
      <c r="DR93" s="81">
        <f t="shared" si="100"/>
        <v>0</v>
      </c>
      <c r="DS93" s="81">
        <f t="shared" si="101"/>
        <v>0</v>
      </c>
    </row>
    <row r="94" spans="14:123" x14ac:dyDescent="0.3">
      <c r="N94" s="81">
        <f>IF(Q95=0,IF(Q94=0,,"x"),)</f>
        <v>0</v>
      </c>
      <c r="O94" s="81">
        <f t="shared" si="102"/>
        <v>0</v>
      </c>
      <c r="P94" s="81">
        <f t="shared" si="66"/>
        <v>0</v>
      </c>
      <c r="Q94" s="81">
        <f t="shared" si="103"/>
        <v>0</v>
      </c>
      <c r="R94" s="81">
        <f>IF(W94="",,SUM($W$4:W94))</f>
        <v>0</v>
      </c>
      <c r="S94" s="81">
        <f t="shared" si="67"/>
        <v>0</v>
      </c>
      <c r="T94" s="81">
        <f t="shared" si="104"/>
        <v>0</v>
      </c>
      <c r="U94" s="81">
        <f t="shared" si="68"/>
        <v>0</v>
      </c>
      <c r="V94" s="81" t="str">
        <f t="shared" ca="1" si="69"/>
        <v/>
      </c>
      <c r="X94" s="81">
        <f t="shared" si="61"/>
        <v>0</v>
      </c>
      <c r="Y94" s="81">
        <f t="shared" si="62"/>
        <v>0</v>
      </c>
      <c r="AE94" s="81">
        <v>94</v>
      </c>
      <c r="AI94" s="81">
        <v>91</v>
      </c>
      <c r="AJ94" s="81" t="str">
        <f t="shared" si="57"/>
        <v>Mars 26</v>
      </c>
      <c r="AK94" s="81" t="str">
        <f t="shared" si="106"/>
        <v>Mars</v>
      </c>
      <c r="AL94" s="81">
        <f t="shared" si="105"/>
        <v>26</v>
      </c>
      <c r="AM94" s="81" t="str">
        <f t="shared" si="70"/>
        <v>='Mars 26'!</v>
      </c>
      <c r="AN94" s="81" t="str">
        <f t="shared" si="63"/>
        <v>='Mars 26'!C27</v>
      </c>
      <c r="AO94" s="81" t="s">
        <v>1094</v>
      </c>
      <c r="AR94" s="81" t="s">
        <v>154</v>
      </c>
      <c r="AS94" s="83" t="str">
        <f t="shared" si="58"/>
        <v>='Mars 26'!C6</v>
      </c>
      <c r="AT94" s="83">
        <f t="shared" si="59"/>
        <v>0</v>
      </c>
      <c r="AV94" s="81" t="s">
        <v>455</v>
      </c>
      <c r="AW94" s="81" t="s">
        <v>2308</v>
      </c>
      <c r="AX94" s="81" t="s">
        <v>2309</v>
      </c>
      <c r="AY94" s="81" t="s">
        <v>2310</v>
      </c>
      <c r="AZ94" s="81" t="s">
        <v>2311</v>
      </c>
      <c r="BA94" s="81" t="s">
        <v>2312</v>
      </c>
      <c r="BB94" s="81" t="s">
        <v>2313</v>
      </c>
      <c r="BC94" s="81" t="s">
        <v>2314</v>
      </c>
      <c r="BD94" s="81" t="s">
        <v>2315</v>
      </c>
      <c r="BE94" s="81" t="s">
        <v>2316</v>
      </c>
      <c r="BF94" s="81" t="s">
        <v>2317</v>
      </c>
      <c r="BG94" s="81" t="s">
        <v>2318</v>
      </c>
      <c r="BH94" s="81" t="s">
        <v>4711</v>
      </c>
      <c r="BI94" s="81" t="s">
        <v>5015</v>
      </c>
      <c r="BJ94" s="81" t="s">
        <v>154</v>
      </c>
      <c r="BL94" s="81" t="s">
        <v>758</v>
      </c>
      <c r="BM94" s="81">
        <v>91</v>
      </c>
      <c r="BN94" s="81" t="str">
        <f t="shared" si="60"/>
        <v>='Mars 26'!C12</v>
      </c>
      <c r="BP94" s="81" t="str">
        <f t="shared" ca="1" si="71"/>
        <v/>
      </c>
      <c r="BR94" s="84">
        <f t="shared" si="64"/>
        <v>0</v>
      </c>
      <c r="BS94" s="84">
        <f t="shared" si="65"/>
        <v>0</v>
      </c>
      <c r="CA94" s="81" t="s">
        <v>2</v>
      </c>
      <c r="CB94" s="81">
        <f t="shared" si="72"/>
        <v>0</v>
      </c>
      <c r="CC94" s="81">
        <f t="shared" si="73"/>
        <v>0</v>
      </c>
      <c r="CD94" s="81" t="s">
        <v>16</v>
      </c>
      <c r="CE94" s="81">
        <f t="shared" si="74"/>
        <v>0</v>
      </c>
      <c r="CF94" s="81">
        <f t="shared" si="75"/>
        <v>0</v>
      </c>
      <c r="CG94" s="81" t="s">
        <v>5</v>
      </c>
      <c r="CH94" s="81">
        <f t="shared" si="76"/>
        <v>0</v>
      </c>
      <c r="CI94" s="81">
        <f t="shared" si="77"/>
        <v>0</v>
      </c>
      <c r="CJ94" s="81" t="s">
        <v>18</v>
      </c>
      <c r="CK94" s="81">
        <f t="shared" si="78"/>
        <v>0</v>
      </c>
      <c r="CL94" s="81">
        <f t="shared" si="79"/>
        <v>0</v>
      </c>
      <c r="CM94" s="81" t="s">
        <v>4</v>
      </c>
      <c r="CN94" s="81">
        <f t="shared" si="80"/>
        <v>0</v>
      </c>
      <c r="CO94" s="81">
        <f t="shared" si="81"/>
        <v>0</v>
      </c>
      <c r="CP94" s="81" t="s">
        <v>22</v>
      </c>
      <c r="CQ94" s="81">
        <f t="shared" si="82"/>
        <v>0</v>
      </c>
      <c r="CR94" s="81">
        <f t="shared" si="83"/>
        <v>0</v>
      </c>
      <c r="CS94" s="81" t="s">
        <v>21</v>
      </c>
      <c r="CT94" s="81">
        <f t="shared" si="84"/>
        <v>0</v>
      </c>
      <c r="CU94" s="81">
        <f t="shared" si="85"/>
        <v>0</v>
      </c>
      <c r="CV94" s="81" t="s">
        <v>998</v>
      </c>
      <c r="CW94" s="81">
        <f t="shared" si="86"/>
        <v>0</v>
      </c>
      <c r="CX94" s="81">
        <f t="shared" si="87"/>
        <v>0</v>
      </c>
      <c r="CY94" s="81" t="s">
        <v>19</v>
      </c>
      <c r="CZ94" s="81">
        <f t="shared" si="88"/>
        <v>0</v>
      </c>
      <c r="DA94" s="81">
        <f t="shared" si="89"/>
        <v>0</v>
      </c>
      <c r="DB94" s="81" t="s">
        <v>20</v>
      </c>
      <c r="DC94" s="81">
        <f t="shared" si="90"/>
        <v>0</v>
      </c>
      <c r="DD94" s="81">
        <f t="shared" si="91"/>
        <v>0</v>
      </c>
      <c r="DE94" s="81" t="s">
        <v>23</v>
      </c>
      <c r="DF94" s="81">
        <f t="shared" si="92"/>
        <v>0</v>
      </c>
      <c r="DG94" s="81">
        <f t="shared" si="93"/>
        <v>0</v>
      </c>
      <c r="DH94" s="81" t="s">
        <v>15</v>
      </c>
      <c r="DI94" s="81">
        <f t="shared" si="94"/>
        <v>0</v>
      </c>
      <c r="DJ94" s="81">
        <f t="shared" si="95"/>
        <v>0</v>
      </c>
      <c r="DK94" s="81" t="s">
        <v>5316</v>
      </c>
      <c r="DL94" s="81">
        <f t="shared" si="96"/>
        <v>0</v>
      </c>
      <c r="DM94" s="81">
        <f t="shared" si="97"/>
        <v>0</v>
      </c>
      <c r="DN94" s="81" t="s">
        <v>7</v>
      </c>
      <c r="DO94" s="81">
        <f t="shared" si="98"/>
        <v>0</v>
      </c>
      <c r="DP94" s="81">
        <f t="shared" si="99"/>
        <v>0</v>
      </c>
      <c r="DQ94" s="81" t="s">
        <v>1</v>
      </c>
      <c r="DR94" s="81">
        <f t="shared" si="100"/>
        <v>0</v>
      </c>
      <c r="DS94" s="81">
        <f t="shared" si="101"/>
        <v>0</v>
      </c>
    </row>
    <row r="95" spans="14:123" x14ac:dyDescent="0.3">
      <c r="N95" s="81">
        <f>IF(Q96=0,IF(Q95=0,,"x"),)</f>
        <v>0</v>
      </c>
      <c r="O95" s="81">
        <f t="shared" si="102"/>
        <v>0</v>
      </c>
      <c r="P95" s="81">
        <f t="shared" si="66"/>
        <v>0</v>
      </c>
      <c r="Q95" s="81">
        <f t="shared" si="103"/>
        <v>0</v>
      </c>
      <c r="R95" s="81">
        <f>IF(W95="",,SUM($W$4:W95))</f>
        <v>0</v>
      </c>
      <c r="S95" s="81">
        <f t="shared" si="67"/>
        <v>0</v>
      </c>
      <c r="T95" s="81">
        <f t="shared" si="104"/>
        <v>0</v>
      </c>
      <c r="U95" s="81">
        <f t="shared" si="68"/>
        <v>0</v>
      </c>
      <c r="V95" s="81" t="str">
        <f t="shared" ca="1" si="69"/>
        <v/>
      </c>
      <c r="X95" s="81">
        <f t="shared" si="61"/>
        <v>0</v>
      </c>
      <c r="Y95" s="81">
        <f t="shared" si="62"/>
        <v>0</v>
      </c>
      <c r="AE95" s="81">
        <v>95</v>
      </c>
      <c r="AI95" s="81">
        <v>92</v>
      </c>
      <c r="AJ95" s="81" t="str">
        <f t="shared" si="57"/>
        <v>April 26</v>
      </c>
      <c r="AK95" s="81" t="str">
        <f t="shared" si="106"/>
        <v>April</v>
      </c>
      <c r="AL95" s="81">
        <f t="shared" si="105"/>
        <v>26</v>
      </c>
      <c r="AM95" s="81" t="str">
        <f t="shared" si="70"/>
        <v>='April 26'!</v>
      </c>
      <c r="AN95" s="81" t="str">
        <f t="shared" si="63"/>
        <v>='April 26'!C27</v>
      </c>
      <c r="AO95" s="81" t="s">
        <v>1095</v>
      </c>
      <c r="AR95" s="81" t="s">
        <v>155</v>
      </c>
      <c r="AS95" s="83" t="str">
        <f t="shared" si="58"/>
        <v>='April 26'!C6</v>
      </c>
      <c r="AT95" s="83">
        <f t="shared" si="59"/>
        <v>0</v>
      </c>
      <c r="AV95" s="81" t="s">
        <v>456</v>
      </c>
      <c r="AW95" s="81" t="s">
        <v>2319</v>
      </c>
      <c r="AX95" s="81" t="s">
        <v>2320</v>
      </c>
      <c r="AY95" s="81" t="s">
        <v>2321</v>
      </c>
      <c r="AZ95" s="81" t="s">
        <v>2322</v>
      </c>
      <c r="BA95" s="81" t="s">
        <v>2323</v>
      </c>
      <c r="BB95" s="81" t="s">
        <v>2324</v>
      </c>
      <c r="BC95" s="81" t="s">
        <v>2325</v>
      </c>
      <c r="BD95" s="81" t="s">
        <v>2326</v>
      </c>
      <c r="BE95" s="81" t="s">
        <v>2327</v>
      </c>
      <c r="BF95" s="81" t="s">
        <v>2328</v>
      </c>
      <c r="BG95" s="81" t="s">
        <v>2329</v>
      </c>
      <c r="BH95" s="81" t="s">
        <v>4712</v>
      </c>
      <c r="BI95" s="81" t="s">
        <v>5016</v>
      </c>
      <c r="BJ95" s="81" t="s">
        <v>155</v>
      </c>
      <c r="BL95" s="81" t="s">
        <v>759</v>
      </c>
      <c r="BM95" s="81">
        <v>92</v>
      </c>
      <c r="BN95" s="81" t="str">
        <f t="shared" si="60"/>
        <v>='April 26'!C12</v>
      </c>
      <c r="BP95" s="81" t="str">
        <f t="shared" ca="1" si="71"/>
        <v/>
      </c>
      <c r="BR95" s="84">
        <f t="shared" si="64"/>
        <v>0</v>
      </c>
      <c r="BS95" s="84">
        <f t="shared" si="65"/>
        <v>0</v>
      </c>
      <c r="CA95" s="81" t="s">
        <v>2</v>
      </c>
      <c r="CB95" s="81">
        <f t="shared" si="72"/>
        <v>0</v>
      </c>
      <c r="CC95" s="81">
        <f t="shared" si="73"/>
        <v>0</v>
      </c>
      <c r="CD95" s="81" t="s">
        <v>16</v>
      </c>
      <c r="CE95" s="81">
        <f t="shared" si="74"/>
        <v>0</v>
      </c>
      <c r="CF95" s="81">
        <f t="shared" si="75"/>
        <v>0</v>
      </c>
      <c r="CG95" s="81" t="s">
        <v>5</v>
      </c>
      <c r="CH95" s="81">
        <f t="shared" si="76"/>
        <v>0</v>
      </c>
      <c r="CI95" s="81">
        <f t="shared" si="77"/>
        <v>0</v>
      </c>
      <c r="CJ95" s="81" t="s">
        <v>18</v>
      </c>
      <c r="CK95" s="81">
        <f t="shared" si="78"/>
        <v>0</v>
      </c>
      <c r="CL95" s="81">
        <f t="shared" si="79"/>
        <v>0</v>
      </c>
      <c r="CM95" s="81" t="s">
        <v>4</v>
      </c>
      <c r="CN95" s="81">
        <f t="shared" si="80"/>
        <v>0</v>
      </c>
      <c r="CO95" s="81">
        <f t="shared" si="81"/>
        <v>0</v>
      </c>
      <c r="CP95" s="81" t="s">
        <v>22</v>
      </c>
      <c r="CQ95" s="81">
        <f t="shared" si="82"/>
        <v>0</v>
      </c>
      <c r="CR95" s="81">
        <f t="shared" si="83"/>
        <v>0</v>
      </c>
      <c r="CS95" s="81" t="s">
        <v>21</v>
      </c>
      <c r="CT95" s="81">
        <f t="shared" si="84"/>
        <v>0</v>
      </c>
      <c r="CU95" s="81">
        <f t="shared" si="85"/>
        <v>0</v>
      </c>
      <c r="CV95" s="81" t="s">
        <v>998</v>
      </c>
      <c r="CW95" s="81">
        <f t="shared" si="86"/>
        <v>0</v>
      </c>
      <c r="CX95" s="81">
        <f t="shared" si="87"/>
        <v>0</v>
      </c>
      <c r="CY95" s="81" t="s">
        <v>19</v>
      </c>
      <c r="CZ95" s="81">
        <f t="shared" si="88"/>
        <v>0</v>
      </c>
      <c r="DA95" s="81">
        <f t="shared" si="89"/>
        <v>0</v>
      </c>
      <c r="DB95" s="81" t="s">
        <v>20</v>
      </c>
      <c r="DC95" s="81">
        <f t="shared" si="90"/>
        <v>0</v>
      </c>
      <c r="DD95" s="81">
        <f t="shared" si="91"/>
        <v>0</v>
      </c>
      <c r="DE95" s="81" t="s">
        <v>23</v>
      </c>
      <c r="DF95" s="81">
        <f t="shared" si="92"/>
        <v>0</v>
      </c>
      <c r="DG95" s="81">
        <f t="shared" si="93"/>
        <v>0</v>
      </c>
      <c r="DH95" s="81" t="s">
        <v>15</v>
      </c>
      <c r="DI95" s="81">
        <f t="shared" si="94"/>
        <v>0</v>
      </c>
      <c r="DJ95" s="81">
        <f t="shared" si="95"/>
        <v>0</v>
      </c>
      <c r="DK95" s="81" t="s">
        <v>5317</v>
      </c>
      <c r="DL95" s="81">
        <f t="shared" si="96"/>
        <v>0</v>
      </c>
      <c r="DM95" s="81">
        <f t="shared" si="97"/>
        <v>0</v>
      </c>
      <c r="DN95" s="81" t="s">
        <v>7</v>
      </c>
      <c r="DO95" s="81">
        <f t="shared" si="98"/>
        <v>0</v>
      </c>
      <c r="DP95" s="81">
        <f t="shared" si="99"/>
        <v>0</v>
      </c>
      <c r="DQ95" s="81" t="s">
        <v>1</v>
      </c>
      <c r="DR95" s="81">
        <f t="shared" si="100"/>
        <v>0</v>
      </c>
      <c r="DS95" s="81">
        <f t="shared" si="101"/>
        <v>0</v>
      </c>
    </row>
    <row r="96" spans="14:123" x14ac:dyDescent="0.3">
      <c r="N96" s="81">
        <f>IF(Q97=0,IF(Q96=0,,"x"),)</f>
        <v>0</v>
      </c>
      <c r="O96" s="81">
        <f t="shared" si="102"/>
        <v>0</v>
      </c>
      <c r="P96" s="81">
        <f t="shared" si="66"/>
        <v>0</v>
      </c>
      <c r="Q96" s="81">
        <f t="shared" si="103"/>
        <v>0</v>
      </c>
      <c r="R96" s="81">
        <f>IF(W96="",,SUM($W$4:W96))</f>
        <v>0</v>
      </c>
      <c r="S96" s="81">
        <f t="shared" si="67"/>
        <v>0</v>
      </c>
      <c r="T96" s="81">
        <f t="shared" si="104"/>
        <v>0</v>
      </c>
      <c r="U96" s="81">
        <f t="shared" si="68"/>
        <v>0</v>
      </c>
      <c r="V96" s="81" t="str">
        <f t="shared" ca="1" si="69"/>
        <v/>
      </c>
      <c r="X96" s="81">
        <f t="shared" si="61"/>
        <v>0</v>
      </c>
      <c r="Y96" s="81">
        <f t="shared" si="62"/>
        <v>0</v>
      </c>
      <c r="AE96" s="81">
        <v>96</v>
      </c>
      <c r="AI96" s="81">
        <v>93</v>
      </c>
      <c r="AJ96" s="81" t="str">
        <f t="shared" si="57"/>
        <v>Maj 26</v>
      </c>
      <c r="AK96" s="81" t="str">
        <f t="shared" si="106"/>
        <v>Maj</v>
      </c>
      <c r="AL96" s="81">
        <f t="shared" si="105"/>
        <v>26</v>
      </c>
      <c r="AM96" s="81" t="str">
        <f t="shared" si="70"/>
        <v>='Maj 26'!</v>
      </c>
      <c r="AN96" s="81" t="str">
        <f t="shared" si="63"/>
        <v>='Maj 26'!C27</v>
      </c>
      <c r="AO96" s="81" t="s">
        <v>1096</v>
      </c>
      <c r="AR96" s="81" t="s">
        <v>156</v>
      </c>
      <c r="AS96" s="83" t="str">
        <f t="shared" si="58"/>
        <v>='Maj 26'!C6</v>
      </c>
      <c r="AT96" s="83">
        <f t="shared" si="59"/>
        <v>0</v>
      </c>
      <c r="AV96" s="81" t="s">
        <v>457</v>
      </c>
      <c r="AW96" s="81" t="s">
        <v>2330</v>
      </c>
      <c r="AX96" s="81" t="s">
        <v>2331</v>
      </c>
      <c r="AY96" s="81" t="s">
        <v>2332</v>
      </c>
      <c r="AZ96" s="81" t="s">
        <v>2333</v>
      </c>
      <c r="BA96" s="81" t="s">
        <v>2334</v>
      </c>
      <c r="BB96" s="81" t="s">
        <v>2335</v>
      </c>
      <c r="BC96" s="81" t="s">
        <v>2336</v>
      </c>
      <c r="BD96" s="81" t="s">
        <v>2337</v>
      </c>
      <c r="BE96" s="81" t="s">
        <v>2338</v>
      </c>
      <c r="BF96" s="81" t="s">
        <v>2339</v>
      </c>
      <c r="BG96" s="81" t="s">
        <v>2340</v>
      </c>
      <c r="BH96" s="81" t="s">
        <v>4713</v>
      </c>
      <c r="BI96" s="81" t="s">
        <v>5017</v>
      </c>
      <c r="BJ96" s="81" t="s">
        <v>156</v>
      </c>
      <c r="BL96" s="81" t="s">
        <v>760</v>
      </c>
      <c r="BM96" s="81">
        <v>93</v>
      </c>
      <c r="BN96" s="81" t="str">
        <f t="shared" si="60"/>
        <v>='Maj 26'!C12</v>
      </c>
      <c r="BP96" s="81" t="str">
        <f t="shared" ca="1" si="71"/>
        <v/>
      </c>
      <c r="BR96" s="84">
        <f t="shared" si="64"/>
        <v>0</v>
      </c>
      <c r="BS96" s="84">
        <f t="shared" si="65"/>
        <v>0</v>
      </c>
      <c r="CA96" s="81" t="s">
        <v>2</v>
      </c>
      <c r="CB96" s="81">
        <f t="shared" si="72"/>
        <v>0</v>
      </c>
      <c r="CC96" s="81">
        <f t="shared" si="73"/>
        <v>0</v>
      </c>
      <c r="CD96" s="81" t="s">
        <v>16</v>
      </c>
      <c r="CE96" s="81">
        <f t="shared" si="74"/>
        <v>0</v>
      </c>
      <c r="CF96" s="81">
        <f t="shared" si="75"/>
        <v>0</v>
      </c>
      <c r="CG96" s="81" t="s">
        <v>5</v>
      </c>
      <c r="CH96" s="81">
        <f t="shared" si="76"/>
        <v>0</v>
      </c>
      <c r="CI96" s="81">
        <f t="shared" si="77"/>
        <v>0</v>
      </c>
      <c r="CJ96" s="81" t="s">
        <v>18</v>
      </c>
      <c r="CK96" s="81">
        <f t="shared" si="78"/>
        <v>0</v>
      </c>
      <c r="CL96" s="81">
        <f t="shared" si="79"/>
        <v>0</v>
      </c>
      <c r="CM96" s="81" t="s">
        <v>4</v>
      </c>
      <c r="CN96" s="81">
        <f t="shared" si="80"/>
        <v>0</v>
      </c>
      <c r="CO96" s="81">
        <f t="shared" si="81"/>
        <v>0</v>
      </c>
      <c r="CP96" s="81" t="s">
        <v>22</v>
      </c>
      <c r="CQ96" s="81">
        <f t="shared" si="82"/>
        <v>0</v>
      </c>
      <c r="CR96" s="81">
        <f t="shared" si="83"/>
        <v>0</v>
      </c>
      <c r="CS96" s="81" t="s">
        <v>21</v>
      </c>
      <c r="CT96" s="81">
        <f t="shared" si="84"/>
        <v>0</v>
      </c>
      <c r="CU96" s="81">
        <f t="shared" si="85"/>
        <v>0</v>
      </c>
      <c r="CV96" s="81" t="s">
        <v>998</v>
      </c>
      <c r="CW96" s="81">
        <f t="shared" si="86"/>
        <v>0</v>
      </c>
      <c r="CX96" s="81">
        <f t="shared" si="87"/>
        <v>0</v>
      </c>
      <c r="CY96" s="81" t="s">
        <v>19</v>
      </c>
      <c r="CZ96" s="81">
        <f t="shared" si="88"/>
        <v>0</v>
      </c>
      <c r="DA96" s="81">
        <f t="shared" si="89"/>
        <v>0</v>
      </c>
      <c r="DB96" s="81" t="s">
        <v>20</v>
      </c>
      <c r="DC96" s="81">
        <f t="shared" si="90"/>
        <v>0</v>
      </c>
      <c r="DD96" s="81">
        <f t="shared" si="91"/>
        <v>0</v>
      </c>
      <c r="DE96" s="81" t="s">
        <v>23</v>
      </c>
      <c r="DF96" s="81">
        <f t="shared" si="92"/>
        <v>0</v>
      </c>
      <c r="DG96" s="81">
        <f t="shared" si="93"/>
        <v>0</v>
      </c>
      <c r="DH96" s="81" t="s">
        <v>15</v>
      </c>
      <c r="DI96" s="81">
        <f t="shared" si="94"/>
        <v>0</v>
      </c>
      <c r="DJ96" s="81">
        <f t="shared" si="95"/>
        <v>0</v>
      </c>
      <c r="DK96" s="81" t="s">
        <v>5318</v>
      </c>
      <c r="DL96" s="81">
        <f t="shared" si="96"/>
        <v>0</v>
      </c>
      <c r="DM96" s="81">
        <f t="shared" si="97"/>
        <v>0</v>
      </c>
      <c r="DN96" s="81" t="s">
        <v>7</v>
      </c>
      <c r="DO96" s="81">
        <f t="shared" si="98"/>
        <v>0</v>
      </c>
      <c r="DP96" s="81">
        <f t="shared" si="99"/>
        <v>0</v>
      </c>
      <c r="DQ96" s="81" t="s">
        <v>1</v>
      </c>
      <c r="DR96" s="81">
        <f t="shared" si="100"/>
        <v>0</v>
      </c>
      <c r="DS96" s="81">
        <f t="shared" si="101"/>
        <v>0</v>
      </c>
    </row>
    <row r="97" spans="14:123" x14ac:dyDescent="0.3">
      <c r="N97" s="81">
        <f>IF(Q98=0,IF(Q97=0,,"x"),)</f>
        <v>0</v>
      </c>
      <c r="O97" s="81">
        <f t="shared" si="102"/>
        <v>0</v>
      </c>
      <c r="P97" s="81">
        <f t="shared" si="66"/>
        <v>0</v>
      </c>
      <c r="Q97" s="81">
        <f t="shared" si="103"/>
        <v>0</v>
      </c>
      <c r="R97" s="81">
        <f>IF(W97="",,SUM($W$4:W97))</f>
        <v>0</v>
      </c>
      <c r="S97" s="81">
        <f t="shared" si="67"/>
        <v>0</v>
      </c>
      <c r="T97" s="81">
        <f t="shared" si="104"/>
        <v>0</v>
      </c>
      <c r="U97" s="81">
        <f t="shared" si="68"/>
        <v>0</v>
      </c>
      <c r="V97" s="81" t="str">
        <f t="shared" ca="1" si="69"/>
        <v/>
      </c>
      <c r="X97" s="81">
        <f t="shared" si="61"/>
        <v>0</v>
      </c>
      <c r="Y97" s="81">
        <f t="shared" si="62"/>
        <v>0</v>
      </c>
      <c r="AE97" s="81">
        <v>97</v>
      </c>
      <c r="AI97" s="81">
        <v>94</v>
      </c>
      <c r="AJ97" s="81" t="str">
        <f t="shared" si="57"/>
        <v>Juni 26</v>
      </c>
      <c r="AK97" s="81" t="str">
        <f t="shared" si="106"/>
        <v>Juni</v>
      </c>
      <c r="AL97" s="81">
        <f t="shared" si="105"/>
        <v>26</v>
      </c>
      <c r="AM97" s="81" t="str">
        <f t="shared" si="70"/>
        <v>='Juni 26'!</v>
      </c>
      <c r="AN97" s="81" t="str">
        <f t="shared" si="63"/>
        <v>='Juni 26'!C27</v>
      </c>
      <c r="AO97" s="81" t="s">
        <v>1097</v>
      </c>
      <c r="AR97" s="81" t="s">
        <v>157</v>
      </c>
      <c r="AS97" s="83" t="str">
        <f t="shared" si="58"/>
        <v>='Juni 26'!C6</v>
      </c>
      <c r="AT97" s="83">
        <f t="shared" si="59"/>
        <v>0</v>
      </c>
      <c r="AV97" s="81" t="s">
        <v>458</v>
      </c>
      <c r="AW97" s="81" t="s">
        <v>2341</v>
      </c>
      <c r="AX97" s="81" t="s">
        <v>2342</v>
      </c>
      <c r="AY97" s="81" t="s">
        <v>2343</v>
      </c>
      <c r="AZ97" s="81" t="s">
        <v>2344</v>
      </c>
      <c r="BA97" s="81" t="s">
        <v>2345</v>
      </c>
      <c r="BB97" s="81" t="s">
        <v>2346</v>
      </c>
      <c r="BC97" s="81" t="s">
        <v>2347</v>
      </c>
      <c r="BD97" s="81" t="s">
        <v>2348</v>
      </c>
      <c r="BE97" s="81" t="s">
        <v>2349</v>
      </c>
      <c r="BF97" s="81" t="s">
        <v>2350</v>
      </c>
      <c r="BG97" s="81" t="s">
        <v>2351</v>
      </c>
      <c r="BH97" s="81" t="s">
        <v>4714</v>
      </c>
      <c r="BI97" s="81" t="s">
        <v>5018</v>
      </c>
      <c r="BJ97" s="81" t="s">
        <v>157</v>
      </c>
      <c r="BL97" s="81" t="s">
        <v>761</v>
      </c>
      <c r="BM97" s="81">
        <v>94</v>
      </c>
      <c r="BN97" s="81" t="str">
        <f t="shared" si="60"/>
        <v>='Juni 26'!C12</v>
      </c>
      <c r="BP97" s="81" t="str">
        <f t="shared" ca="1" si="71"/>
        <v/>
      </c>
      <c r="BR97" s="84">
        <f t="shared" si="64"/>
        <v>0</v>
      </c>
      <c r="BS97" s="84">
        <f t="shared" si="65"/>
        <v>0</v>
      </c>
      <c r="CA97" s="81" t="s">
        <v>2</v>
      </c>
      <c r="CB97" s="81">
        <f t="shared" si="72"/>
        <v>0</v>
      </c>
      <c r="CC97" s="81">
        <f t="shared" si="73"/>
        <v>0</v>
      </c>
      <c r="CD97" s="81" t="s">
        <v>16</v>
      </c>
      <c r="CE97" s="81">
        <f t="shared" si="74"/>
        <v>0</v>
      </c>
      <c r="CF97" s="81">
        <f t="shared" si="75"/>
        <v>0</v>
      </c>
      <c r="CG97" s="81" t="s">
        <v>5</v>
      </c>
      <c r="CH97" s="81">
        <f t="shared" si="76"/>
        <v>0</v>
      </c>
      <c r="CI97" s="81">
        <f t="shared" si="77"/>
        <v>0</v>
      </c>
      <c r="CJ97" s="81" t="s">
        <v>18</v>
      </c>
      <c r="CK97" s="81">
        <f t="shared" si="78"/>
        <v>0</v>
      </c>
      <c r="CL97" s="81">
        <f t="shared" si="79"/>
        <v>0</v>
      </c>
      <c r="CM97" s="81" t="s">
        <v>4</v>
      </c>
      <c r="CN97" s="81">
        <f t="shared" si="80"/>
        <v>0</v>
      </c>
      <c r="CO97" s="81">
        <f t="shared" si="81"/>
        <v>0</v>
      </c>
      <c r="CP97" s="81" t="s">
        <v>22</v>
      </c>
      <c r="CQ97" s="81">
        <f t="shared" si="82"/>
        <v>0</v>
      </c>
      <c r="CR97" s="81">
        <f t="shared" si="83"/>
        <v>0</v>
      </c>
      <c r="CS97" s="81" t="s">
        <v>21</v>
      </c>
      <c r="CT97" s="81">
        <f t="shared" si="84"/>
        <v>0</v>
      </c>
      <c r="CU97" s="81">
        <f t="shared" si="85"/>
        <v>0</v>
      </c>
      <c r="CV97" s="81" t="s">
        <v>998</v>
      </c>
      <c r="CW97" s="81">
        <f t="shared" si="86"/>
        <v>0</v>
      </c>
      <c r="CX97" s="81">
        <f t="shared" si="87"/>
        <v>0</v>
      </c>
      <c r="CY97" s="81" t="s">
        <v>19</v>
      </c>
      <c r="CZ97" s="81">
        <f t="shared" si="88"/>
        <v>0</v>
      </c>
      <c r="DA97" s="81">
        <f t="shared" si="89"/>
        <v>0</v>
      </c>
      <c r="DB97" s="81" t="s">
        <v>20</v>
      </c>
      <c r="DC97" s="81">
        <f t="shared" si="90"/>
        <v>0</v>
      </c>
      <c r="DD97" s="81">
        <f t="shared" si="91"/>
        <v>0</v>
      </c>
      <c r="DE97" s="81" t="s">
        <v>23</v>
      </c>
      <c r="DF97" s="81">
        <f t="shared" si="92"/>
        <v>0</v>
      </c>
      <c r="DG97" s="81">
        <f t="shared" si="93"/>
        <v>0</v>
      </c>
      <c r="DH97" s="81" t="s">
        <v>15</v>
      </c>
      <c r="DI97" s="81">
        <f t="shared" si="94"/>
        <v>0</v>
      </c>
      <c r="DJ97" s="81">
        <f t="shared" si="95"/>
        <v>0</v>
      </c>
      <c r="DK97" s="81" t="s">
        <v>5319</v>
      </c>
      <c r="DL97" s="81">
        <f t="shared" si="96"/>
        <v>0</v>
      </c>
      <c r="DM97" s="81">
        <f t="shared" si="97"/>
        <v>0</v>
      </c>
      <c r="DN97" s="81" t="s">
        <v>7</v>
      </c>
      <c r="DO97" s="81">
        <f t="shared" si="98"/>
        <v>0</v>
      </c>
      <c r="DP97" s="81">
        <f t="shared" si="99"/>
        <v>0</v>
      </c>
      <c r="DQ97" s="81" t="s">
        <v>1</v>
      </c>
      <c r="DR97" s="81">
        <f t="shared" si="100"/>
        <v>0</v>
      </c>
      <c r="DS97" s="81">
        <f t="shared" si="101"/>
        <v>0</v>
      </c>
    </row>
    <row r="98" spans="14:123" x14ac:dyDescent="0.3">
      <c r="N98" s="81">
        <f>IF(Q99=0,IF(Q98=0,,"x"),)</f>
        <v>0</v>
      </c>
      <c r="O98" s="81">
        <f t="shared" si="102"/>
        <v>0</v>
      </c>
      <c r="P98" s="81">
        <f t="shared" si="66"/>
        <v>0</v>
      </c>
      <c r="Q98" s="81">
        <f t="shared" si="103"/>
        <v>0</v>
      </c>
      <c r="R98" s="81">
        <f>IF(W98="",,SUM($W$4:W98))</f>
        <v>0</v>
      </c>
      <c r="S98" s="81">
        <f t="shared" si="67"/>
        <v>0</v>
      </c>
      <c r="T98" s="81">
        <f t="shared" si="104"/>
        <v>0</v>
      </c>
      <c r="U98" s="81">
        <f t="shared" si="68"/>
        <v>0</v>
      </c>
      <c r="V98" s="81" t="str">
        <f t="shared" ca="1" si="69"/>
        <v/>
      </c>
      <c r="X98" s="81">
        <f t="shared" si="61"/>
        <v>0</v>
      </c>
      <c r="Y98" s="81">
        <f t="shared" si="62"/>
        <v>0</v>
      </c>
      <c r="AE98" s="81">
        <v>98</v>
      </c>
      <c r="AI98" s="81">
        <v>95</v>
      </c>
      <c r="AJ98" s="81" t="str">
        <f t="shared" si="57"/>
        <v>Juli 26</v>
      </c>
      <c r="AK98" s="81" t="str">
        <f t="shared" si="106"/>
        <v>Juli</v>
      </c>
      <c r="AL98" s="81">
        <f t="shared" si="105"/>
        <v>26</v>
      </c>
      <c r="AM98" s="81" t="str">
        <f t="shared" si="70"/>
        <v>='Juli 26'!</v>
      </c>
      <c r="AN98" s="81" t="str">
        <f t="shared" si="63"/>
        <v>='Juli 26'!C27</v>
      </c>
      <c r="AO98" s="81" t="s">
        <v>1098</v>
      </c>
      <c r="AR98" s="81" t="s">
        <v>158</v>
      </c>
      <c r="AS98" s="83" t="str">
        <f t="shared" si="58"/>
        <v>='Juli 26'!C6</v>
      </c>
      <c r="AT98" s="83">
        <f t="shared" si="59"/>
        <v>0</v>
      </c>
      <c r="AV98" s="81" t="s">
        <v>459</v>
      </c>
      <c r="AW98" s="81" t="s">
        <v>2352</v>
      </c>
      <c r="AX98" s="81" t="s">
        <v>2353</v>
      </c>
      <c r="AY98" s="81" t="s">
        <v>2354</v>
      </c>
      <c r="AZ98" s="81" t="s">
        <v>2355</v>
      </c>
      <c r="BA98" s="81" t="s">
        <v>2356</v>
      </c>
      <c r="BB98" s="81" t="s">
        <v>2357</v>
      </c>
      <c r="BC98" s="81" t="s">
        <v>2358</v>
      </c>
      <c r="BD98" s="81" t="s">
        <v>2359</v>
      </c>
      <c r="BE98" s="81" t="s">
        <v>2360</v>
      </c>
      <c r="BF98" s="81" t="s">
        <v>2361</v>
      </c>
      <c r="BG98" s="81" t="s">
        <v>2362</v>
      </c>
      <c r="BH98" s="81" t="s">
        <v>4715</v>
      </c>
      <c r="BI98" s="81" t="s">
        <v>5019</v>
      </c>
      <c r="BJ98" s="81" t="s">
        <v>158</v>
      </c>
      <c r="BL98" s="81" t="s">
        <v>762</v>
      </c>
      <c r="BM98" s="81">
        <v>95</v>
      </c>
      <c r="BN98" s="81" t="str">
        <f t="shared" si="60"/>
        <v>='Juli 26'!C12</v>
      </c>
      <c r="BP98" s="81" t="str">
        <f t="shared" ca="1" si="71"/>
        <v/>
      </c>
      <c r="BR98" s="84">
        <f t="shared" si="64"/>
        <v>0</v>
      </c>
      <c r="BS98" s="84">
        <f t="shared" si="65"/>
        <v>0</v>
      </c>
      <c r="CA98" s="81" t="s">
        <v>2</v>
      </c>
      <c r="CB98" s="81">
        <f t="shared" si="72"/>
        <v>0</v>
      </c>
      <c r="CC98" s="81">
        <f t="shared" si="73"/>
        <v>0</v>
      </c>
      <c r="CD98" s="81" t="s">
        <v>16</v>
      </c>
      <c r="CE98" s="81">
        <f t="shared" si="74"/>
        <v>0</v>
      </c>
      <c r="CF98" s="81">
        <f t="shared" si="75"/>
        <v>0</v>
      </c>
      <c r="CG98" s="81" t="s">
        <v>5</v>
      </c>
      <c r="CH98" s="81">
        <f t="shared" si="76"/>
        <v>0</v>
      </c>
      <c r="CI98" s="81">
        <f t="shared" si="77"/>
        <v>0</v>
      </c>
      <c r="CJ98" s="81" t="s">
        <v>18</v>
      </c>
      <c r="CK98" s="81">
        <f t="shared" si="78"/>
        <v>0</v>
      </c>
      <c r="CL98" s="81">
        <f t="shared" si="79"/>
        <v>0</v>
      </c>
      <c r="CM98" s="81" t="s">
        <v>4</v>
      </c>
      <c r="CN98" s="81">
        <f t="shared" si="80"/>
        <v>0</v>
      </c>
      <c r="CO98" s="81">
        <f t="shared" si="81"/>
        <v>0</v>
      </c>
      <c r="CP98" s="81" t="s">
        <v>22</v>
      </c>
      <c r="CQ98" s="81">
        <f t="shared" si="82"/>
        <v>0</v>
      </c>
      <c r="CR98" s="81">
        <f t="shared" si="83"/>
        <v>0</v>
      </c>
      <c r="CS98" s="81" t="s">
        <v>21</v>
      </c>
      <c r="CT98" s="81">
        <f t="shared" si="84"/>
        <v>0</v>
      </c>
      <c r="CU98" s="81">
        <f t="shared" si="85"/>
        <v>0</v>
      </c>
      <c r="CV98" s="81" t="s">
        <v>998</v>
      </c>
      <c r="CW98" s="81">
        <f t="shared" si="86"/>
        <v>0</v>
      </c>
      <c r="CX98" s="81">
        <f t="shared" si="87"/>
        <v>0</v>
      </c>
      <c r="CY98" s="81" t="s">
        <v>19</v>
      </c>
      <c r="CZ98" s="81">
        <f t="shared" si="88"/>
        <v>0</v>
      </c>
      <c r="DA98" s="81">
        <f t="shared" si="89"/>
        <v>0</v>
      </c>
      <c r="DB98" s="81" t="s">
        <v>20</v>
      </c>
      <c r="DC98" s="81">
        <f t="shared" si="90"/>
        <v>0</v>
      </c>
      <c r="DD98" s="81">
        <f t="shared" si="91"/>
        <v>0</v>
      </c>
      <c r="DE98" s="81" t="s">
        <v>23</v>
      </c>
      <c r="DF98" s="81">
        <f t="shared" si="92"/>
        <v>0</v>
      </c>
      <c r="DG98" s="81">
        <f t="shared" si="93"/>
        <v>0</v>
      </c>
      <c r="DH98" s="81" t="s">
        <v>15</v>
      </c>
      <c r="DI98" s="81">
        <f t="shared" si="94"/>
        <v>0</v>
      </c>
      <c r="DJ98" s="81">
        <f t="shared" si="95"/>
        <v>0</v>
      </c>
      <c r="DK98" s="81" t="s">
        <v>5320</v>
      </c>
      <c r="DL98" s="81">
        <f t="shared" si="96"/>
        <v>0</v>
      </c>
      <c r="DM98" s="81">
        <f t="shared" si="97"/>
        <v>0</v>
      </c>
      <c r="DN98" s="81" t="s">
        <v>7</v>
      </c>
      <c r="DO98" s="81">
        <f t="shared" si="98"/>
        <v>0</v>
      </c>
      <c r="DP98" s="81">
        <f t="shared" si="99"/>
        <v>0</v>
      </c>
      <c r="DQ98" s="81" t="s">
        <v>1</v>
      </c>
      <c r="DR98" s="81">
        <f t="shared" si="100"/>
        <v>0</v>
      </c>
      <c r="DS98" s="81">
        <f t="shared" si="101"/>
        <v>0</v>
      </c>
    </row>
    <row r="99" spans="14:123" x14ac:dyDescent="0.3">
      <c r="N99" s="81">
        <f>IF(Q100=0,IF(Q99=0,,"x"),)</f>
        <v>0</v>
      </c>
      <c r="O99" s="81">
        <f t="shared" si="102"/>
        <v>0</v>
      </c>
      <c r="P99" s="81">
        <f t="shared" si="66"/>
        <v>0</v>
      </c>
      <c r="Q99" s="81">
        <f t="shared" si="103"/>
        <v>0</v>
      </c>
      <c r="R99" s="81">
        <f>IF(W99="",,SUM($W$4:W99))</f>
        <v>0</v>
      </c>
      <c r="S99" s="81">
        <f t="shared" si="67"/>
        <v>0</v>
      </c>
      <c r="T99" s="81">
        <f t="shared" si="104"/>
        <v>0</v>
      </c>
      <c r="U99" s="81">
        <f t="shared" si="68"/>
        <v>0</v>
      </c>
      <c r="V99" s="81" t="str">
        <f t="shared" ca="1" si="69"/>
        <v/>
      </c>
      <c r="X99" s="81">
        <f t="shared" si="61"/>
        <v>0</v>
      </c>
      <c r="Y99" s="81">
        <f t="shared" si="62"/>
        <v>0</v>
      </c>
      <c r="AE99" s="81">
        <v>99</v>
      </c>
      <c r="AI99" s="81">
        <v>96</v>
      </c>
      <c r="AJ99" s="81" t="str">
        <f t="shared" si="57"/>
        <v>Augusti 26</v>
      </c>
      <c r="AK99" s="81" t="str">
        <f t="shared" si="106"/>
        <v>Augusti</v>
      </c>
      <c r="AL99" s="81">
        <f t="shared" si="105"/>
        <v>26</v>
      </c>
      <c r="AM99" s="81" t="str">
        <f t="shared" si="70"/>
        <v>='Augusti 26'!</v>
      </c>
      <c r="AN99" s="81" t="str">
        <f t="shared" si="63"/>
        <v>='Augusti 26'!C27</v>
      </c>
      <c r="AO99" s="81" t="s">
        <v>1099</v>
      </c>
      <c r="AR99" s="81" t="s">
        <v>159</v>
      </c>
      <c r="AS99" s="83" t="str">
        <f t="shared" si="58"/>
        <v>='Augusti 26'!C6</v>
      </c>
      <c r="AT99" s="83">
        <f t="shared" si="59"/>
        <v>0</v>
      </c>
      <c r="AV99" s="81" t="s">
        <v>460</v>
      </c>
      <c r="AW99" s="81" t="s">
        <v>2363</v>
      </c>
      <c r="AX99" s="81" t="s">
        <v>2364</v>
      </c>
      <c r="AY99" s="81" t="s">
        <v>2365</v>
      </c>
      <c r="AZ99" s="81" t="s">
        <v>2366</v>
      </c>
      <c r="BA99" s="81" t="s">
        <v>2367</v>
      </c>
      <c r="BB99" s="81" t="s">
        <v>2368</v>
      </c>
      <c r="BC99" s="81" t="s">
        <v>2369</v>
      </c>
      <c r="BD99" s="81" t="s">
        <v>2370</v>
      </c>
      <c r="BE99" s="81" t="s">
        <v>2371</v>
      </c>
      <c r="BF99" s="81" t="s">
        <v>2372</v>
      </c>
      <c r="BG99" s="81" t="s">
        <v>2373</v>
      </c>
      <c r="BH99" s="81" t="s">
        <v>4716</v>
      </c>
      <c r="BI99" s="81" t="s">
        <v>5020</v>
      </c>
      <c r="BJ99" s="81" t="s">
        <v>159</v>
      </c>
      <c r="BL99" s="81" t="s">
        <v>763</v>
      </c>
      <c r="BM99" s="81">
        <v>96</v>
      </c>
      <c r="BN99" s="81" t="str">
        <f t="shared" si="60"/>
        <v>='Augusti 26'!C12</v>
      </c>
      <c r="BP99" s="81" t="str">
        <f t="shared" ca="1" si="71"/>
        <v/>
      </c>
      <c r="BR99" s="84">
        <f t="shared" si="64"/>
        <v>0</v>
      </c>
      <c r="BS99" s="84">
        <f t="shared" si="65"/>
        <v>0</v>
      </c>
      <c r="CA99" s="81" t="s">
        <v>2</v>
      </c>
      <c r="CB99" s="81">
        <f t="shared" si="72"/>
        <v>0</v>
      </c>
      <c r="CC99" s="81">
        <f t="shared" si="73"/>
        <v>0</v>
      </c>
      <c r="CD99" s="81" t="s">
        <v>16</v>
      </c>
      <c r="CE99" s="81">
        <f t="shared" si="74"/>
        <v>0</v>
      </c>
      <c r="CF99" s="81">
        <f t="shared" si="75"/>
        <v>0</v>
      </c>
      <c r="CG99" s="81" t="s">
        <v>5</v>
      </c>
      <c r="CH99" s="81">
        <f t="shared" si="76"/>
        <v>0</v>
      </c>
      <c r="CI99" s="81">
        <f t="shared" si="77"/>
        <v>0</v>
      </c>
      <c r="CJ99" s="81" t="s">
        <v>18</v>
      </c>
      <c r="CK99" s="81">
        <f t="shared" si="78"/>
        <v>0</v>
      </c>
      <c r="CL99" s="81">
        <f t="shared" si="79"/>
        <v>0</v>
      </c>
      <c r="CM99" s="81" t="s">
        <v>4</v>
      </c>
      <c r="CN99" s="81">
        <f t="shared" si="80"/>
        <v>0</v>
      </c>
      <c r="CO99" s="81">
        <f t="shared" si="81"/>
        <v>0</v>
      </c>
      <c r="CP99" s="81" t="s">
        <v>22</v>
      </c>
      <c r="CQ99" s="81">
        <f t="shared" si="82"/>
        <v>0</v>
      </c>
      <c r="CR99" s="81">
        <f t="shared" si="83"/>
        <v>0</v>
      </c>
      <c r="CS99" s="81" t="s">
        <v>21</v>
      </c>
      <c r="CT99" s="81">
        <f t="shared" si="84"/>
        <v>0</v>
      </c>
      <c r="CU99" s="81">
        <f t="shared" si="85"/>
        <v>0</v>
      </c>
      <c r="CV99" s="81" t="s">
        <v>998</v>
      </c>
      <c r="CW99" s="81">
        <f t="shared" si="86"/>
        <v>0</v>
      </c>
      <c r="CX99" s="81">
        <f t="shared" si="87"/>
        <v>0</v>
      </c>
      <c r="CY99" s="81" t="s">
        <v>19</v>
      </c>
      <c r="CZ99" s="81">
        <f t="shared" si="88"/>
        <v>0</v>
      </c>
      <c r="DA99" s="81">
        <f t="shared" si="89"/>
        <v>0</v>
      </c>
      <c r="DB99" s="81" t="s">
        <v>20</v>
      </c>
      <c r="DC99" s="81">
        <f t="shared" si="90"/>
        <v>0</v>
      </c>
      <c r="DD99" s="81">
        <f t="shared" si="91"/>
        <v>0</v>
      </c>
      <c r="DE99" s="81" t="s">
        <v>23</v>
      </c>
      <c r="DF99" s="81">
        <f t="shared" si="92"/>
        <v>0</v>
      </c>
      <c r="DG99" s="81">
        <f t="shared" si="93"/>
        <v>0</v>
      </c>
      <c r="DH99" s="81" t="s">
        <v>15</v>
      </c>
      <c r="DI99" s="81">
        <f t="shared" si="94"/>
        <v>0</v>
      </c>
      <c r="DJ99" s="81">
        <f t="shared" si="95"/>
        <v>0</v>
      </c>
      <c r="DK99" s="81" t="s">
        <v>5321</v>
      </c>
      <c r="DL99" s="81">
        <f t="shared" si="96"/>
        <v>0</v>
      </c>
      <c r="DM99" s="81">
        <f t="shared" si="97"/>
        <v>0</v>
      </c>
      <c r="DN99" s="81" t="s">
        <v>7</v>
      </c>
      <c r="DO99" s="81">
        <f t="shared" si="98"/>
        <v>0</v>
      </c>
      <c r="DP99" s="81">
        <f t="shared" si="99"/>
        <v>0</v>
      </c>
      <c r="DQ99" s="81" t="s">
        <v>1</v>
      </c>
      <c r="DR99" s="81">
        <f t="shared" si="100"/>
        <v>0</v>
      </c>
      <c r="DS99" s="81">
        <f t="shared" si="101"/>
        <v>0</v>
      </c>
    </row>
    <row r="100" spans="14:123" x14ac:dyDescent="0.3">
      <c r="N100" s="81">
        <f>IF(Q101=0,IF(Q100=0,,"x"),)</f>
        <v>0</v>
      </c>
      <c r="O100" s="81">
        <f t="shared" si="102"/>
        <v>0</v>
      </c>
      <c r="P100" s="81">
        <f t="shared" si="66"/>
        <v>0</v>
      </c>
      <c r="Q100" s="81">
        <f t="shared" si="103"/>
        <v>0</v>
      </c>
      <c r="R100" s="81">
        <f>IF(W100="",,SUM($W$4:W100))</f>
        <v>0</v>
      </c>
      <c r="S100" s="81">
        <f t="shared" si="67"/>
        <v>0</v>
      </c>
      <c r="T100" s="81">
        <f t="shared" si="104"/>
        <v>0</v>
      </c>
      <c r="U100" s="81">
        <f t="shared" si="68"/>
        <v>0</v>
      </c>
      <c r="V100" s="81" t="str">
        <f t="shared" ca="1" si="69"/>
        <v/>
      </c>
      <c r="X100" s="81">
        <f t="shared" ref="X100:X131" si="107">IF(W100&gt;$B$33*(1+$C$33),W100,0)</f>
        <v>0</v>
      </c>
      <c r="Y100" s="81">
        <f t="shared" ref="Y100:Y131" si="108">IF(W100&lt;$B$33*(1-$C$33),W100,0)</f>
        <v>0</v>
      </c>
      <c r="AE100" s="81">
        <v>100</v>
      </c>
      <c r="AI100" s="81">
        <v>97</v>
      </c>
      <c r="AJ100" s="81" t="str">
        <f t="shared" si="57"/>
        <v>September 26</v>
      </c>
      <c r="AK100" s="81" t="str">
        <f t="shared" si="106"/>
        <v>September</v>
      </c>
      <c r="AL100" s="81">
        <f t="shared" si="105"/>
        <v>26</v>
      </c>
      <c r="AM100" s="81" t="str">
        <f t="shared" si="70"/>
        <v>='September 26'!</v>
      </c>
      <c r="AN100" s="81" t="str">
        <f t="shared" si="63"/>
        <v>='September 26'!C27</v>
      </c>
      <c r="AO100" s="81" t="s">
        <v>1100</v>
      </c>
      <c r="AR100" s="81" t="s">
        <v>160</v>
      </c>
      <c r="AS100" s="83" t="str">
        <f t="shared" si="58"/>
        <v>='September 26'!C6</v>
      </c>
      <c r="AT100" s="83">
        <f t="shared" si="59"/>
        <v>0</v>
      </c>
      <c r="AV100" s="81" t="s">
        <v>461</v>
      </c>
      <c r="AW100" s="81" t="s">
        <v>2374</v>
      </c>
      <c r="AX100" s="81" t="s">
        <v>2375</v>
      </c>
      <c r="AY100" s="81" t="s">
        <v>2376</v>
      </c>
      <c r="AZ100" s="81" t="s">
        <v>2377</v>
      </c>
      <c r="BA100" s="81" t="s">
        <v>2378</v>
      </c>
      <c r="BB100" s="81" t="s">
        <v>2379</v>
      </c>
      <c r="BC100" s="81" t="s">
        <v>2380</v>
      </c>
      <c r="BD100" s="81" t="s">
        <v>2381</v>
      </c>
      <c r="BE100" s="81" t="s">
        <v>2382</v>
      </c>
      <c r="BF100" s="81" t="s">
        <v>2383</v>
      </c>
      <c r="BG100" s="81" t="s">
        <v>2384</v>
      </c>
      <c r="BH100" s="81" t="s">
        <v>4717</v>
      </c>
      <c r="BI100" s="81" t="s">
        <v>5021</v>
      </c>
      <c r="BJ100" s="81" t="s">
        <v>160</v>
      </c>
      <c r="BL100" s="81" t="s">
        <v>764</v>
      </c>
      <c r="BM100" s="81">
        <v>97</v>
      </c>
      <c r="BN100" s="81" t="str">
        <f t="shared" si="60"/>
        <v>='September 26'!C12</v>
      </c>
      <c r="BP100" s="81" t="str">
        <f t="shared" ca="1" si="71"/>
        <v/>
      </c>
      <c r="BR100" s="84">
        <f t="shared" si="64"/>
        <v>0</v>
      </c>
      <c r="BS100" s="84">
        <f t="shared" si="65"/>
        <v>0</v>
      </c>
      <c r="CA100" s="81" t="s">
        <v>2</v>
      </c>
      <c r="CB100" s="81">
        <f t="shared" si="72"/>
        <v>0</v>
      </c>
      <c r="CC100" s="81">
        <f t="shared" si="73"/>
        <v>0</v>
      </c>
      <c r="CD100" s="81" t="s">
        <v>16</v>
      </c>
      <c r="CE100" s="81">
        <f t="shared" si="74"/>
        <v>0</v>
      </c>
      <c r="CF100" s="81">
        <f t="shared" si="75"/>
        <v>0</v>
      </c>
      <c r="CG100" s="81" t="s">
        <v>5</v>
      </c>
      <c r="CH100" s="81">
        <f t="shared" si="76"/>
        <v>0</v>
      </c>
      <c r="CI100" s="81">
        <f t="shared" si="77"/>
        <v>0</v>
      </c>
      <c r="CJ100" s="81" t="s">
        <v>18</v>
      </c>
      <c r="CK100" s="81">
        <f t="shared" si="78"/>
        <v>0</v>
      </c>
      <c r="CL100" s="81">
        <f t="shared" si="79"/>
        <v>0</v>
      </c>
      <c r="CM100" s="81" t="s">
        <v>4</v>
      </c>
      <c r="CN100" s="81">
        <f t="shared" si="80"/>
        <v>0</v>
      </c>
      <c r="CO100" s="81">
        <f t="shared" si="81"/>
        <v>0</v>
      </c>
      <c r="CP100" s="81" t="s">
        <v>22</v>
      </c>
      <c r="CQ100" s="81">
        <f t="shared" si="82"/>
        <v>0</v>
      </c>
      <c r="CR100" s="81">
        <f t="shared" si="83"/>
        <v>0</v>
      </c>
      <c r="CS100" s="81" t="s">
        <v>21</v>
      </c>
      <c r="CT100" s="81">
        <f t="shared" si="84"/>
        <v>0</v>
      </c>
      <c r="CU100" s="81">
        <f t="shared" si="85"/>
        <v>0</v>
      </c>
      <c r="CV100" s="81" t="s">
        <v>998</v>
      </c>
      <c r="CW100" s="81">
        <f t="shared" si="86"/>
        <v>0</v>
      </c>
      <c r="CX100" s="81">
        <f t="shared" si="87"/>
        <v>0</v>
      </c>
      <c r="CY100" s="81" t="s">
        <v>19</v>
      </c>
      <c r="CZ100" s="81">
        <f t="shared" si="88"/>
        <v>0</v>
      </c>
      <c r="DA100" s="81">
        <f t="shared" si="89"/>
        <v>0</v>
      </c>
      <c r="DB100" s="81" t="s">
        <v>20</v>
      </c>
      <c r="DC100" s="81">
        <f t="shared" si="90"/>
        <v>0</v>
      </c>
      <c r="DD100" s="81">
        <f t="shared" si="91"/>
        <v>0</v>
      </c>
      <c r="DE100" s="81" t="s">
        <v>23</v>
      </c>
      <c r="DF100" s="81">
        <f t="shared" si="92"/>
        <v>0</v>
      </c>
      <c r="DG100" s="81">
        <f t="shared" si="93"/>
        <v>0</v>
      </c>
      <c r="DH100" s="81" t="s">
        <v>15</v>
      </c>
      <c r="DI100" s="81">
        <f t="shared" si="94"/>
        <v>0</v>
      </c>
      <c r="DJ100" s="81">
        <f t="shared" si="95"/>
        <v>0</v>
      </c>
      <c r="DK100" s="81" t="s">
        <v>5322</v>
      </c>
      <c r="DL100" s="81">
        <f t="shared" si="96"/>
        <v>0</v>
      </c>
      <c r="DM100" s="81">
        <f t="shared" si="97"/>
        <v>0</v>
      </c>
      <c r="DN100" s="81" t="s">
        <v>7</v>
      </c>
      <c r="DO100" s="81">
        <f t="shared" si="98"/>
        <v>0</v>
      </c>
      <c r="DP100" s="81">
        <f t="shared" si="99"/>
        <v>0</v>
      </c>
      <c r="DQ100" s="81" t="s">
        <v>1</v>
      </c>
      <c r="DR100" s="81">
        <f t="shared" si="100"/>
        <v>0</v>
      </c>
      <c r="DS100" s="81">
        <f t="shared" si="101"/>
        <v>0</v>
      </c>
    </row>
    <row r="101" spans="14:123" x14ac:dyDescent="0.3">
      <c r="N101" s="81">
        <f>IF(Q102=0,IF(Q101=0,,"x"),)</f>
        <v>0</v>
      </c>
      <c r="O101" s="81">
        <f t="shared" si="102"/>
        <v>0</v>
      </c>
      <c r="P101" s="81">
        <f t="shared" si="66"/>
        <v>0</v>
      </c>
      <c r="Q101" s="81">
        <f t="shared" si="103"/>
        <v>0</v>
      </c>
      <c r="R101" s="81">
        <f>IF(W101="",,SUM($W$4:W101))</f>
        <v>0</v>
      </c>
      <c r="S101" s="81">
        <f t="shared" si="67"/>
        <v>0</v>
      </c>
      <c r="T101" s="81">
        <f t="shared" si="104"/>
        <v>0</v>
      </c>
      <c r="U101" s="81">
        <f t="shared" si="68"/>
        <v>0</v>
      </c>
      <c r="V101" s="81" t="str">
        <f t="shared" ca="1" si="69"/>
        <v/>
      </c>
      <c r="X101" s="81">
        <f t="shared" si="107"/>
        <v>0</v>
      </c>
      <c r="Y101" s="81">
        <f t="shared" si="108"/>
        <v>0</v>
      </c>
      <c r="AE101" s="81">
        <v>101</v>
      </c>
      <c r="AI101" s="81">
        <v>98</v>
      </c>
      <c r="AJ101" s="81" t="str">
        <f t="shared" si="57"/>
        <v>Oktober 26</v>
      </c>
      <c r="AK101" s="81" t="str">
        <f t="shared" si="106"/>
        <v>Oktober</v>
      </c>
      <c r="AL101" s="81">
        <f t="shared" si="105"/>
        <v>26</v>
      </c>
      <c r="AM101" s="81" t="str">
        <f t="shared" si="70"/>
        <v>='Oktober 26'!</v>
      </c>
      <c r="AN101" s="81" t="str">
        <f t="shared" si="63"/>
        <v>='Oktober 26'!C27</v>
      </c>
      <c r="AO101" s="81" t="s">
        <v>1101</v>
      </c>
      <c r="AR101" s="81" t="s">
        <v>161</v>
      </c>
      <c r="AS101" s="83" t="str">
        <f t="shared" si="58"/>
        <v>='Oktober 26'!C6</v>
      </c>
      <c r="AT101" s="83">
        <f t="shared" si="59"/>
        <v>0</v>
      </c>
      <c r="AV101" s="81" t="s">
        <v>462</v>
      </c>
      <c r="AW101" s="81" t="s">
        <v>2385</v>
      </c>
      <c r="AX101" s="81" t="s">
        <v>2386</v>
      </c>
      <c r="AY101" s="81" t="s">
        <v>2387</v>
      </c>
      <c r="AZ101" s="81" t="s">
        <v>2388</v>
      </c>
      <c r="BA101" s="81" t="s">
        <v>2389</v>
      </c>
      <c r="BB101" s="81" t="s">
        <v>2390</v>
      </c>
      <c r="BC101" s="81" t="s">
        <v>2391</v>
      </c>
      <c r="BD101" s="81" t="s">
        <v>2392</v>
      </c>
      <c r="BE101" s="81" t="s">
        <v>2393</v>
      </c>
      <c r="BF101" s="81" t="s">
        <v>2394</v>
      </c>
      <c r="BG101" s="81" t="s">
        <v>2395</v>
      </c>
      <c r="BH101" s="81" t="s">
        <v>4718</v>
      </c>
      <c r="BI101" s="81" t="s">
        <v>5022</v>
      </c>
      <c r="BJ101" s="81" t="s">
        <v>161</v>
      </c>
      <c r="BL101" s="81" t="s">
        <v>765</v>
      </c>
      <c r="BM101" s="81">
        <v>98</v>
      </c>
      <c r="BN101" s="81" t="str">
        <f t="shared" si="60"/>
        <v>='Oktober 26'!C12</v>
      </c>
      <c r="BP101" s="81" t="str">
        <f t="shared" ca="1" si="71"/>
        <v/>
      </c>
      <c r="BR101" s="84">
        <f t="shared" si="64"/>
        <v>0</v>
      </c>
      <c r="BS101" s="84">
        <f t="shared" si="65"/>
        <v>0</v>
      </c>
      <c r="CA101" s="81" t="s">
        <v>2</v>
      </c>
      <c r="CB101" s="81">
        <f t="shared" si="72"/>
        <v>0</v>
      </c>
      <c r="CC101" s="81">
        <f t="shared" si="73"/>
        <v>0</v>
      </c>
      <c r="CD101" s="81" t="s">
        <v>16</v>
      </c>
      <c r="CE101" s="81">
        <f t="shared" si="74"/>
        <v>0</v>
      </c>
      <c r="CF101" s="81">
        <f t="shared" si="75"/>
        <v>0</v>
      </c>
      <c r="CG101" s="81" t="s">
        <v>5</v>
      </c>
      <c r="CH101" s="81">
        <f t="shared" si="76"/>
        <v>0</v>
      </c>
      <c r="CI101" s="81">
        <f t="shared" si="77"/>
        <v>0</v>
      </c>
      <c r="CJ101" s="81" t="s">
        <v>18</v>
      </c>
      <c r="CK101" s="81">
        <f t="shared" si="78"/>
        <v>0</v>
      </c>
      <c r="CL101" s="81">
        <f t="shared" si="79"/>
        <v>0</v>
      </c>
      <c r="CM101" s="81" t="s">
        <v>4</v>
      </c>
      <c r="CN101" s="81">
        <f t="shared" si="80"/>
        <v>0</v>
      </c>
      <c r="CO101" s="81">
        <f t="shared" si="81"/>
        <v>0</v>
      </c>
      <c r="CP101" s="81" t="s">
        <v>22</v>
      </c>
      <c r="CQ101" s="81">
        <f t="shared" si="82"/>
        <v>0</v>
      </c>
      <c r="CR101" s="81">
        <f t="shared" si="83"/>
        <v>0</v>
      </c>
      <c r="CS101" s="81" t="s">
        <v>21</v>
      </c>
      <c r="CT101" s="81">
        <f t="shared" si="84"/>
        <v>0</v>
      </c>
      <c r="CU101" s="81">
        <f t="shared" si="85"/>
        <v>0</v>
      </c>
      <c r="CV101" s="81" t="s">
        <v>998</v>
      </c>
      <c r="CW101" s="81">
        <f t="shared" si="86"/>
        <v>0</v>
      </c>
      <c r="CX101" s="81">
        <f t="shared" si="87"/>
        <v>0</v>
      </c>
      <c r="CY101" s="81" t="s">
        <v>19</v>
      </c>
      <c r="CZ101" s="81">
        <f t="shared" si="88"/>
        <v>0</v>
      </c>
      <c r="DA101" s="81">
        <f t="shared" si="89"/>
        <v>0</v>
      </c>
      <c r="DB101" s="81" t="s">
        <v>20</v>
      </c>
      <c r="DC101" s="81">
        <f t="shared" si="90"/>
        <v>0</v>
      </c>
      <c r="DD101" s="81">
        <f t="shared" si="91"/>
        <v>0</v>
      </c>
      <c r="DE101" s="81" t="s">
        <v>23</v>
      </c>
      <c r="DF101" s="81">
        <f t="shared" si="92"/>
        <v>0</v>
      </c>
      <c r="DG101" s="81">
        <f t="shared" si="93"/>
        <v>0</v>
      </c>
      <c r="DH101" s="81" t="s">
        <v>15</v>
      </c>
      <c r="DI101" s="81">
        <f t="shared" si="94"/>
        <v>0</v>
      </c>
      <c r="DJ101" s="81">
        <f t="shared" si="95"/>
        <v>0</v>
      </c>
      <c r="DK101" s="81" t="s">
        <v>5323</v>
      </c>
      <c r="DL101" s="81">
        <f t="shared" si="96"/>
        <v>0</v>
      </c>
      <c r="DM101" s="81">
        <f t="shared" si="97"/>
        <v>0</v>
      </c>
      <c r="DN101" s="81" t="s">
        <v>7</v>
      </c>
      <c r="DO101" s="81">
        <f t="shared" si="98"/>
        <v>0</v>
      </c>
      <c r="DP101" s="81">
        <f t="shared" si="99"/>
        <v>0</v>
      </c>
      <c r="DQ101" s="81" t="s">
        <v>1</v>
      </c>
      <c r="DR101" s="81">
        <f t="shared" si="100"/>
        <v>0</v>
      </c>
      <c r="DS101" s="81">
        <f t="shared" si="101"/>
        <v>0</v>
      </c>
    </row>
    <row r="102" spans="14:123" x14ac:dyDescent="0.3">
      <c r="N102" s="81">
        <f>IF(Q103=0,IF(Q102=0,,"x"),)</f>
        <v>0</v>
      </c>
      <c r="O102" s="81">
        <f t="shared" si="102"/>
        <v>0</v>
      </c>
      <c r="P102" s="81">
        <f t="shared" si="66"/>
        <v>0</v>
      </c>
      <c r="Q102" s="81">
        <f t="shared" si="103"/>
        <v>0</v>
      </c>
      <c r="R102" s="81">
        <f>IF(W102="",,SUM($W$4:W102))</f>
        <v>0</v>
      </c>
      <c r="S102" s="81">
        <f t="shared" si="67"/>
        <v>0</v>
      </c>
      <c r="T102" s="81">
        <f t="shared" si="104"/>
        <v>0</v>
      </c>
      <c r="U102" s="81">
        <f t="shared" si="68"/>
        <v>0</v>
      </c>
      <c r="V102" s="81" t="str">
        <f t="shared" ca="1" si="69"/>
        <v/>
      </c>
      <c r="X102" s="81">
        <f t="shared" si="107"/>
        <v>0</v>
      </c>
      <c r="Y102" s="81">
        <f t="shared" si="108"/>
        <v>0</v>
      </c>
      <c r="AE102" s="81">
        <v>102</v>
      </c>
      <c r="AI102" s="81">
        <v>99</v>
      </c>
      <c r="AJ102" s="81" t="str">
        <f t="shared" si="57"/>
        <v>November 26</v>
      </c>
      <c r="AK102" s="81" t="str">
        <f t="shared" si="106"/>
        <v>November</v>
      </c>
      <c r="AL102" s="81">
        <f t="shared" si="105"/>
        <v>26</v>
      </c>
      <c r="AM102" s="81" t="str">
        <f t="shared" si="70"/>
        <v>='November 26'!</v>
      </c>
      <c r="AN102" s="81" t="str">
        <f t="shared" si="63"/>
        <v>='November 26'!C27</v>
      </c>
      <c r="AO102" s="81" t="s">
        <v>1102</v>
      </c>
      <c r="AR102" s="81" t="s">
        <v>162</v>
      </c>
      <c r="AS102" s="83" t="str">
        <f t="shared" si="58"/>
        <v>='November 26'!C6</v>
      </c>
      <c r="AT102" s="83">
        <f t="shared" si="59"/>
        <v>0</v>
      </c>
      <c r="AV102" s="81" t="s">
        <v>463</v>
      </c>
      <c r="AW102" s="81" t="s">
        <v>2396</v>
      </c>
      <c r="AX102" s="81" t="s">
        <v>2397</v>
      </c>
      <c r="AY102" s="81" t="s">
        <v>2398</v>
      </c>
      <c r="AZ102" s="81" t="s">
        <v>2399</v>
      </c>
      <c r="BA102" s="81" t="s">
        <v>2400</v>
      </c>
      <c r="BB102" s="81" t="s">
        <v>2401</v>
      </c>
      <c r="BC102" s="81" t="s">
        <v>2402</v>
      </c>
      <c r="BD102" s="81" t="s">
        <v>2403</v>
      </c>
      <c r="BE102" s="81" t="s">
        <v>2404</v>
      </c>
      <c r="BF102" s="81" t="s">
        <v>2405</v>
      </c>
      <c r="BG102" s="81" t="s">
        <v>2406</v>
      </c>
      <c r="BH102" s="81" t="s">
        <v>4719</v>
      </c>
      <c r="BI102" s="81" t="s">
        <v>5023</v>
      </c>
      <c r="BJ102" s="81" t="s">
        <v>162</v>
      </c>
      <c r="BL102" s="81" t="s">
        <v>766</v>
      </c>
      <c r="BM102" s="81">
        <v>99</v>
      </c>
      <c r="BN102" s="81" t="str">
        <f t="shared" si="60"/>
        <v>='November 26'!C12</v>
      </c>
      <c r="BP102" s="81" t="str">
        <f t="shared" ca="1" si="71"/>
        <v/>
      </c>
      <c r="BR102" s="84">
        <f t="shared" si="64"/>
        <v>0</v>
      </c>
      <c r="BS102" s="84">
        <f t="shared" si="65"/>
        <v>0</v>
      </c>
      <c r="CA102" s="81" t="s">
        <v>2</v>
      </c>
      <c r="CB102" s="81">
        <f t="shared" si="72"/>
        <v>0</v>
      </c>
      <c r="CC102" s="81">
        <f t="shared" si="73"/>
        <v>0</v>
      </c>
      <c r="CD102" s="81" t="s">
        <v>16</v>
      </c>
      <c r="CE102" s="81">
        <f t="shared" si="74"/>
        <v>0</v>
      </c>
      <c r="CF102" s="81">
        <f t="shared" si="75"/>
        <v>0</v>
      </c>
      <c r="CG102" s="81" t="s">
        <v>5</v>
      </c>
      <c r="CH102" s="81">
        <f t="shared" si="76"/>
        <v>0</v>
      </c>
      <c r="CI102" s="81">
        <f t="shared" si="77"/>
        <v>0</v>
      </c>
      <c r="CJ102" s="81" t="s">
        <v>18</v>
      </c>
      <c r="CK102" s="81">
        <f t="shared" si="78"/>
        <v>0</v>
      </c>
      <c r="CL102" s="81">
        <f t="shared" si="79"/>
        <v>0</v>
      </c>
      <c r="CM102" s="81" t="s">
        <v>4</v>
      </c>
      <c r="CN102" s="81">
        <f t="shared" si="80"/>
        <v>0</v>
      </c>
      <c r="CO102" s="81">
        <f t="shared" si="81"/>
        <v>0</v>
      </c>
      <c r="CP102" s="81" t="s">
        <v>22</v>
      </c>
      <c r="CQ102" s="81">
        <f t="shared" si="82"/>
        <v>0</v>
      </c>
      <c r="CR102" s="81">
        <f t="shared" si="83"/>
        <v>0</v>
      </c>
      <c r="CS102" s="81" t="s">
        <v>21</v>
      </c>
      <c r="CT102" s="81">
        <f t="shared" si="84"/>
        <v>0</v>
      </c>
      <c r="CU102" s="81">
        <f t="shared" si="85"/>
        <v>0</v>
      </c>
      <c r="CV102" s="81" t="s">
        <v>998</v>
      </c>
      <c r="CW102" s="81">
        <f t="shared" si="86"/>
        <v>0</v>
      </c>
      <c r="CX102" s="81">
        <f t="shared" si="87"/>
        <v>0</v>
      </c>
      <c r="CY102" s="81" t="s">
        <v>19</v>
      </c>
      <c r="CZ102" s="81">
        <f t="shared" si="88"/>
        <v>0</v>
      </c>
      <c r="DA102" s="81">
        <f t="shared" si="89"/>
        <v>0</v>
      </c>
      <c r="DB102" s="81" t="s">
        <v>20</v>
      </c>
      <c r="DC102" s="81">
        <f t="shared" si="90"/>
        <v>0</v>
      </c>
      <c r="DD102" s="81">
        <f t="shared" si="91"/>
        <v>0</v>
      </c>
      <c r="DE102" s="81" t="s">
        <v>23</v>
      </c>
      <c r="DF102" s="81">
        <f t="shared" si="92"/>
        <v>0</v>
      </c>
      <c r="DG102" s="81">
        <f t="shared" si="93"/>
        <v>0</v>
      </c>
      <c r="DH102" s="81" t="s">
        <v>15</v>
      </c>
      <c r="DI102" s="81">
        <f t="shared" si="94"/>
        <v>0</v>
      </c>
      <c r="DJ102" s="81">
        <f t="shared" si="95"/>
        <v>0</v>
      </c>
      <c r="DK102" s="81" t="s">
        <v>5324</v>
      </c>
      <c r="DL102" s="81">
        <f t="shared" si="96"/>
        <v>0</v>
      </c>
      <c r="DM102" s="81">
        <f t="shared" si="97"/>
        <v>0</v>
      </c>
      <c r="DN102" s="81" t="s">
        <v>7</v>
      </c>
      <c r="DO102" s="81">
        <f t="shared" si="98"/>
        <v>0</v>
      </c>
      <c r="DP102" s="81">
        <f t="shared" si="99"/>
        <v>0</v>
      </c>
      <c r="DQ102" s="81" t="s">
        <v>1</v>
      </c>
      <c r="DR102" s="81">
        <f t="shared" si="100"/>
        <v>0</v>
      </c>
      <c r="DS102" s="81">
        <f t="shared" si="101"/>
        <v>0</v>
      </c>
    </row>
    <row r="103" spans="14:123" x14ac:dyDescent="0.3">
      <c r="N103" s="81">
        <f>IF(Q104=0,IF(Q103=0,,"x"),)</f>
        <v>0</v>
      </c>
      <c r="O103" s="81">
        <f t="shared" si="102"/>
        <v>0</v>
      </c>
      <c r="P103" s="81">
        <f t="shared" si="66"/>
        <v>0</v>
      </c>
      <c r="Q103" s="81">
        <f t="shared" si="103"/>
        <v>0</v>
      </c>
      <c r="R103" s="81">
        <f>IF(W103="",,SUM($W$4:W103))</f>
        <v>0</v>
      </c>
      <c r="S103" s="81">
        <f t="shared" si="67"/>
        <v>0</v>
      </c>
      <c r="T103" s="81">
        <f t="shared" si="104"/>
        <v>0</v>
      </c>
      <c r="U103" s="81">
        <f t="shared" si="68"/>
        <v>0</v>
      </c>
      <c r="V103" s="81" t="str">
        <f t="shared" ca="1" si="69"/>
        <v/>
      </c>
      <c r="X103" s="81">
        <f t="shared" si="107"/>
        <v>0</v>
      </c>
      <c r="Y103" s="81">
        <f t="shared" si="108"/>
        <v>0</v>
      </c>
      <c r="AE103" s="81">
        <v>103</v>
      </c>
      <c r="AI103" s="81">
        <v>100</v>
      </c>
      <c r="AJ103" s="81" t="str">
        <f t="shared" si="57"/>
        <v>December 26</v>
      </c>
      <c r="AK103" s="81" t="str">
        <f t="shared" si="106"/>
        <v>December</v>
      </c>
      <c r="AL103" s="81">
        <f t="shared" si="105"/>
        <v>26</v>
      </c>
      <c r="AM103" s="81" t="str">
        <f t="shared" si="70"/>
        <v>='December 26'!</v>
      </c>
      <c r="AN103" s="81" t="str">
        <f t="shared" si="63"/>
        <v>='December 26'!C27</v>
      </c>
      <c r="AO103" s="81" t="s">
        <v>1103</v>
      </c>
      <c r="AR103" s="81" t="s">
        <v>163</v>
      </c>
      <c r="AS103" s="83" t="str">
        <f t="shared" si="58"/>
        <v>='December 26'!C6</v>
      </c>
      <c r="AT103" s="83">
        <f t="shared" si="59"/>
        <v>0</v>
      </c>
      <c r="AV103" s="81" t="s">
        <v>464</v>
      </c>
      <c r="AW103" s="81" t="s">
        <v>2407</v>
      </c>
      <c r="AX103" s="81" t="s">
        <v>2408</v>
      </c>
      <c r="AY103" s="81" t="s">
        <v>2409</v>
      </c>
      <c r="AZ103" s="81" t="s">
        <v>2410</v>
      </c>
      <c r="BA103" s="81" t="s">
        <v>2411</v>
      </c>
      <c r="BB103" s="81" t="s">
        <v>2412</v>
      </c>
      <c r="BC103" s="81" t="s">
        <v>2413</v>
      </c>
      <c r="BD103" s="81" t="s">
        <v>2414</v>
      </c>
      <c r="BE103" s="81" t="s">
        <v>2415</v>
      </c>
      <c r="BF103" s="81" t="s">
        <v>2416</v>
      </c>
      <c r="BG103" s="81" t="s">
        <v>2417</v>
      </c>
      <c r="BH103" s="81" t="s">
        <v>4720</v>
      </c>
      <c r="BI103" s="81" t="s">
        <v>5024</v>
      </c>
      <c r="BJ103" s="81" t="s">
        <v>163</v>
      </c>
      <c r="BL103" s="81" t="s">
        <v>767</v>
      </c>
      <c r="BM103" s="81">
        <v>100</v>
      </c>
      <c r="BN103" s="81" t="str">
        <f t="shared" si="60"/>
        <v>='December 26'!C12</v>
      </c>
      <c r="BP103" s="81" t="str">
        <f t="shared" ca="1" si="71"/>
        <v/>
      </c>
      <c r="BR103" s="84">
        <f t="shared" si="64"/>
        <v>0</v>
      </c>
      <c r="BS103" s="84">
        <f t="shared" si="65"/>
        <v>0</v>
      </c>
      <c r="CA103" s="81" t="s">
        <v>2</v>
      </c>
      <c r="CB103" s="81">
        <f t="shared" si="72"/>
        <v>0</v>
      </c>
      <c r="CC103" s="81">
        <f t="shared" si="73"/>
        <v>0</v>
      </c>
      <c r="CD103" s="81" t="s">
        <v>16</v>
      </c>
      <c r="CE103" s="81">
        <f t="shared" si="74"/>
        <v>0</v>
      </c>
      <c r="CF103" s="81">
        <f t="shared" si="75"/>
        <v>0</v>
      </c>
      <c r="CG103" s="81" t="s">
        <v>5</v>
      </c>
      <c r="CH103" s="81">
        <f t="shared" si="76"/>
        <v>0</v>
      </c>
      <c r="CI103" s="81">
        <f t="shared" si="77"/>
        <v>0</v>
      </c>
      <c r="CJ103" s="81" t="s">
        <v>18</v>
      </c>
      <c r="CK103" s="81">
        <f t="shared" si="78"/>
        <v>0</v>
      </c>
      <c r="CL103" s="81">
        <f t="shared" si="79"/>
        <v>0</v>
      </c>
      <c r="CM103" s="81" t="s">
        <v>4</v>
      </c>
      <c r="CN103" s="81">
        <f t="shared" si="80"/>
        <v>0</v>
      </c>
      <c r="CO103" s="81">
        <f t="shared" si="81"/>
        <v>0</v>
      </c>
      <c r="CP103" s="81" t="s">
        <v>22</v>
      </c>
      <c r="CQ103" s="81">
        <f t="shared" si="82"/>
        <v>0</v>
      </c>
      <c r="CR103" s="81">
        <f t="shared" si="83"/>
        <v>0</v>
      </c>
      <c r="CS103" s="81" t="s">
        <v>21</v>
      </c>
      <c r="CT103" s="81">
        <f t="shared" si="84"/>
        <v>0</v>
      </c>
      <c r="CU103" s="81">
        <f t="shared" si="85"/>
        <v>0</v>
      </c>
      <c r="CV103" s="81" t="s">
        <v>998</v>
      </c>
      <c r="CW103" s="81">
        <f t="shared" si="86"/>
        <v>0</v>
      </c>
      <c r="CX103" s="81">
        <f t="shared" si="87"/>
        <v>0</v>
      </c>
      <c r="CY103" s="81" t="s">
        <v>19</v>
      </c>
      <c r="CZ103" s="81">
        <f t="shared" si="88"/>
        <v>0</v>
      </c>
      <c r="DA103" s="81">
        <f t="shared" si="89"/>
        <v>0</v>
      </c>
      <c r="DB103" s="81" t="s">
        <v>20</v>
      </c>
      <c r="DC103" s="81">
        <f t="shared" si="90"/>
        <v>0</v>
      </c>
      <c r="DD103" s="81">
        <f t="shared" si="91"/>
        <v>0</v>
      </c>
      <c r="DE103" s="81" t="s">
        <v>23</v>
      </c>
      <c r="DF103" s="81">
        <f t="shared" si="92"/>
        <v>0</v>
      </c>
      <c r="DG103" s="81">
        <f t="shared" si="93"/>
        <v>0</v>
      </c>
      <c r="DH103" s="81" t="s">
        <v>15</v>
      </c>
      <c r="DI103" s="81">
        <f t="shared" si="94"/>
        <v>0</v>
      </c>
      <c r="DJ103" s="81">
        <f t="shared" si="95"/>
        <v>0</v>
      </c>
      <c r="DK103" s="81" t="s">
        <v>5325</v>
      </c>
      <c r="DL103" s="81">
        <f t="shared" si="96"/>
        <v>0</v>
      </c>
      <c r="DM103" s="81">
        <f t="shared" si="97"/>
        <v>0</v>
      </c>
      <c r="DN103" s="81" t="s">
        <v>7</v>
      </c>
      <c r="DO103" s="81">
        <f t="shared" si="98"/>
        <v>0</v>
      </c>
      <c r="DP103" s="81">
        <f t="shared" si="99"/>
        <v>0</v>
      </c>
      <c r="DQ103" s="81" t="s">
        <v>1</v>
      </c>
      <c r="DR103" s="81">
        <f t="shared" si="100"/>
        <v>0</v>
      </c>
      <c r="DS103" s="81">
        <f t="shared" si="101"/>
        <v>0</v>
      </c>
    </row>
    <row r="104" spans="14:123" x14ac:dyDescent="0.3">
      <c r="N104" s="81">
        <f>IF(Q105=0,IF(Q104=0,,"x"),)</f>
        <v>0</v>
      </c>
      <c r="O104" s="81">
        <f t="shared" si="102"/>
        <v>0</v>
      </c>
      <c r="P104" s="81">
        <f t="shared" si="66"/>
        <v>0</v>
      </c>
      <c r="Q104" s="81">
        <f t="shared" si="103"/>
        <v>0</v>
      </c>
      <c r="R104" s="81">
        <f>IF(W104="",,SUM($W$4:W104))</f>
        <v>0</v>
      </c>
      <c r="S104" s="81">
        <f t="shared" si="67"/>
        <v>0</v>
      </c>
      <c r="T104" s="81">
        <f t="shared" si="104"/>
        <v>0</v>
      </c>
      <c r="U104" s="81">
        <f t="shared" si="68"/>
        <v>0</v>
      </c>
      <c r="V104" s="81" t="str">
        <f t="shared" ca="1" si="69"/>
        <v/>
      </c>
      <c r="X104" s="81">
        <f t="shared" si="107"/>
        <v>0</v>
      </c>
      <c r="Y104" s="81">
        <f t="shared" si="108"/>
        <v>0</v>
      </c>
      <c r="AE104" s="81">
        <v>104</v>
      </c>
      <c r="AI104" s="81">
        <v>101</v>
      </c>
      <c r="AJ104" s="81" t="str">
        <f t="shared" si="57"/>
        <v>Januari 27</v>
      </c>
      <c r="AK104" s="81" t="str">
        <f t="shared" si="106"/>
        <v>Januari</v>
      </c>
      <c r="AL104" s="81">
        <f t="shared" si="105"/>
        <v>27</v>
      </c>
      <c r="AM104" s="81" t="str">
        <f t="shared" si="70"/>
        <v>='Januari 27'!</v>
      </c>
      <c r="AN104" s="81" t="str">
        <f t="shared" si="63"/>
        <v>='Januari 27'!C27</v>
      </c>
      <c r="AO104" s="81" t="s">
        <v>1104</v>
      </c>
      <c r="AR104" s="81" t="s">
        <v>164</v>
      </c>
      <c r="AS104" s="83" t="str">
        <f t="shared" si="58"/>
        <v>='Januari 27'!C6</v>
      </c>
      <c r="AT104" s="83">
        <f t="shared" si="59"/>
        <v>0</v>
      </c>
      <c r="AV104" s="81" t="s">
        <v>465</v>
      </c>
      <c r="AW104" s="81" t="s">
        <v>2418</v>
      </c>
      <c r="AX104" s="81" t="s">
        <v>2419</v>
      </c>
      <c r="AY104" s="81" t="s">
        <v>2420</v>
      </c>
      <c r="AZ104" s="81" t="s">
        <v>2421</v>
      </c>
      <c r="BA104" s="81" t="s">
        <v>2422</v>
      </c>
      <c r="BB104" s="81" t="s">
        <v>2423</v>
      </c>
      <c r="BC104" s="81" t="s">
        <v>2424</v>
      </c>
      <c r="BD104" s="81" t="s">
        <v>2425</v>
      </c>
      <c r="BE104" s="81" t="s">
        <v>2426</v>
      </c>
      <c r="BF104" s="81" t="s">
        <v>2427</v>
      </c>
      <c r="BG104" s="81" t="s">
        <v>2428</v>
      </c>
      <c r="BH104" s="81" t="s">
        <v>4721</v>
      </c>
      <c r="BI104" s="81" t="s">
        <v>5025</v>
      </c>
      <c r="BJ104" s="81" t="s">
        <v>164</v>
      </c>
      <c r="BL104" s="81" t="s">
        <v>768</v>
      </c>
      <c r="BM104" s="81">
        <v>101</v>
      </c>
      <c r="BN104" s="81" t="str">
        <f t="shared" si="60"/>
        <v>='Januari 27'!C12</v>
      </c>
      <c r="BP104" s="81" t="str">
        <f t="shared" ca="1" si="71"/>
        <v/>
      </c>
      <c r="BR104" s="84">
        <f t="shared" si="64"/>
        <v>0</v>
      </c>
      <c r="BS104" s="84">
        <f t="shared" si="65"/>
        <v>0</v>
      </c>
      <c r="CA104" s="81" t="s">
        <v>2</v>
      </c>
      <c r="CB104" s="81">
        <f t="shared" si="72"/>
        <v>0</v>
      </c>
      <c r="CC104" s="81">
        <f t="shared" si="73"/>
        <v>0</v>
      </c>
      <c r="CD104" s="81" t="s">
        <v>16</v>
      </c>
      <c r="CE104" s="81">
        <f t="shared" si="74"/>
        <v>0</v>
      </c>
      <c r="CF104" s="81">
        <f t="shared" si="75"/>
        <v>0</v>
      </c>
      <c r="CG104" s="81" t="s">
        <v>5</v>
      </c>
      <c r="CH104" s="81">
        <f t="shared" si="76"/>
        <v>0</v>
      </c>
      <c r="CI104" s="81">
        <f t="shared" si="77"/>
        <v>0</v>
      </c>
      <c r="CJ104" s="81" t="s">
        <v>18</v>
      </c>
      <c r="CK104" s="81">
        <f t="shared" si="78"/>
        <v>0</v>
      </c>
      <c r="CL104" s="81">
        <f t="shared" si="79"/>
        <v>0</v>
      </c>
      <c r="CM104" s="81" t="s">
        <v>4</v>
      </c>
      <c r="CN104" s="81">
        <f t="shared" si="80"/>
        <v>0</v>
      </c>
      <c r="CO104" s="81">
        <f t="shared" si="81"/>
        <v>0</v>
      </c>
      <c r="CP104" s="81" t="s">
        <v>22</v>
      </c>
      <c r="CQ104" s="81">
        <f t="shared" si="82"/>
        <v>0</v>
      </c>
      <c r="CR104" s="81">
        <f t="shared" si="83"/>
        <v>0</v>
      </c>
      <c r="CS104" s="81" t="s">
        <v>21</v>
      </c>
      <c r="CT104" s="81">
        <f t="shared" si="84"/>
        <v>0</v>
      </c>
      <c r="CU104" s="81">
        <f t="shared" si="85"/>
        <v>0</v>
      </c>
      <c r="CV104" s="81" t="s">
        <v>998</v>
      </c>
      <c r="CW104" s="81">
        <f t="shared" si="86"/>
        <v>0</v>
      </c>
      <c r="CX104" s="81">
        <f t="shared" si="87"/>
        <v>0</v>
      </c>
      <c r="CY104" s="81" t="s">
        <v>19</v>
      </c>
      <c r="CZ104" s="81">
        <f t="shared" si="88"/>
        <v>0</v>
      </c>
      <c r="DA104" s="81">
        <f t="shared" si="89"/>
        <v>0</v>
      </c>
      <c r="DB104" s="81" t="s">
        <v>20</v>
      </c>
      <c r="DC104" s="81">
        <f t="shared" si="90"/>
        <v>0</v>
      </c>
      <c r="DD104" s="81">
        <f t="shared" si="91"/>
        <v>0</v>
      </c>
      <c r="DE104" s="81" t="s">
        <v>23</v>
      </c>
      <c r="DF104" s="81">
        <f t="shared" si="92"/>
        <v>0</v>
      </c>
      <c r="DG104" s="81">
        <f t="shared" si="93"/>
        <v>0</v>
      </c>
      <c r="DH104" s="81" t="s">
        <v>15</v>
      </c>
      <c r="DI104" s="81">
        <f t="shared" si="94"/>
        <v>0</v>
      </c>
      <c r="DJ104" s="81">
        <f t="shared" si="95"/>
        <v>0</v>
      </c>
      <c r="DK104" s="81" t="s">
        <v>5326</v>
      </c>
      <c r="DL104" s="81">
        <f t="shared" si="96"/>
        <v>0</v>
      </c>
      <c r="DM104" s="81">
        <f t="shared" si="97"/>
        <v>0</v>
      </c>
      <c r="DN104" s="81" t="s">
        <v>7</v>
      </c>
      <c r="DO104" s="81">
        <f t="shared" si="98"/>
        <v>0</v>
      </c>
      <c r="DP104" s="81">
        <f t="shared" si="99"/>
        <v>0</v>
      </c>
      <c r="DQ104" s="81" t="s">
        <v>1</v>
      </c>
      <c r="DR104" s="81">
        <f t="shared" si="100"/>
        <v>0</v>
      </c>
      <c r="DS104" s="81">
        <f t="shared" si="101"/>
        <v>0</v>
      </c>
    </row>
    <row r="105" spans="14:123" x14ac:dyDescent="0.3">
      <c r="N105" s="81">
        <f>IF(Q106=0,IF(Q105=0,,"x"),)</f>
        <v>0</v>
      </c>
      <c r="O105" s="81">
        <f t="shared" si="102"/>
        <v>0</v>
      </c>
      <c r="P105" s="81">
        <f t="shared" si="66"/>
        <v>0</v>
      </c>
      <c r="Q105" s="81">
        <f t="shared" si="103"/>
        <v>0</v>
      </c>
      <c r="R105" s="81">
        <f>IF(W105="",,SUM($W$4:W105))</f>
        <v>0</v>
      </c>
      <c r="S105" s="81">
        <f t="shared" si="67"/>
        <v>0</v>
      </c>
      <c r="T105" s="81">
        <f t="shared" si="104"/>
        <v>0</v>
      </c>
      <c r="U105" s="81">
        <f t="shared" si="68"/>
        <v>0</v>
      </c>
      <c r="V105" s="81" t="str">
        <f t="shared" ca="1" si="69"/>
        <v/>
      </c>
      <c r="X105" s="81">
        <f t="shared" si="107"/>
        <v>0</v>
      </c>
      <c r="Y105" s="81">
        <f t="shared" si="108"/>
        <v>0</v>
      </c>
      <c r="AE105" s="81">
        <v>105</v>
      </c>
      <c r="AI105" s="81">
        <v>102</v>
      </c>
      <c r="AJ105" s="81" t="str">
        <f t="shared" si="57"/>
        <v>Februari 27</v>
      </c>
      <c r="AK105" s="81" t="str">
        <f t="shared" si="106"/>
        <v>Februari</v>
      </c>
      <c r="AL105" s="81">
        <f t="shared" si="105"/>
        <v>27</v>
      </c>
      <c r="AM105" s="81" t="str">
        <f t="shared" si="70"/>
        <v>='Februari 27'!</v>
      </c>
      <c r="AN105" s="81" t="str">
        <f t="shared" si="63"/>
        <v>='Februari 27'!C27</v>
      </c>
      <c r="AO105" s="81" t="s">
        <v>1105</v>
      </c>
      <c r="AR105" s="81" t="s">
        <v>165</v>
      </c>
      <c r="AS105" s="83" t="str">
        <f t="shared" si="58"/>
        <v>='Februari 27'!C6</v>
      </c>
      <c r="AT105" s="83">
        <f t="shared" si="59"/>
        <v>0</v>
      </c>
      <c r="AV105" s="81" t="s">
        <v>466</v>
      </c>
      <c r="AW105" s="81" t="s">
        <v>2429</v>
      </c>
      <c r="AX105" s="81" t="s">
        <v>2430</v>
      </c>
      <c r="AY105" s="81" t="s">
        <v>2431</v>
      </c>
      <c r="AZ105" s="81" t="s">
        <v>2432</v>
      </c>
      <c r="BA105" s="81" t="s">
        <v>2433</v>
      </c>
      <c r="BB105" s="81" t="s">
        <v>2434</v>
      </c>
      <c r="BC105" s="81" t="s">
        <v>2435</v>
      </c>
      <c r="BD105" s="81" t="s">
        <v>2436</v>
      </c>
      <c r="BE105" s="81" t="s">
        <v>2437</v>
      </c>
      <c r="BF105" s="81" t="s">
        <v>2438</v>
      </c>
      <c r="BG105" s="81" t="s">
        <v>2439</v>
      </c>
      <c r="BH105" s="81" t="s">
        <v>4722</v>
      </c>
      <c r="BI105" s="81" t="s">
        <v>5026</v>
      </c>
      <c r="BJ105" s="81" t="s">
        <v>165</v>
      </c>
      <c r="BL105" s="81" t="s">
        <v>769</v>
      </c>
      <c r="BM105" s="81">
        <v>102</v>
      </c>
      <c r="BN105" s="81" t="str">
        <f t="shared" si="60"/>
        <v>='Februari 27'!C12</v>
      </c>
      <c r="BP105" s="81" t="str">
        <f t="shared" ca="1" si="71"/>
        <v/>
      </c>
      <c r="BR105" s="84">
        <f t="shared" si="64"/>
        <v>0</v>
      </c>
      <c r="BS105" s="84">
        <f t="shared" si="65"/>
        <v>0</v>
      </c>
      <c r="CA105" s="81" t="s">
        <v>2</v>
      </c>
      <c r="CB105" s="81">
        <f t="shared" si="72"/>
        <v>0</v>
      </c>
      <c r="CC105" s="81">
        <f t="shared" si="73"/>
        <v>0</v>
      </c>
      <c r="CD105" s="81" t="s">
        <v>16</v>
      </c>
      <c r="CE105" s="81">
        <f t="shared" si="74"/>
        <v>0</v>
      </c>
      <c r="CF105" s="81">
        <f t="shared" si="75"/>
        <v>0</v>
      </c>
      <c r="CG105" s="81" t="s">
        <v>5</v>
      </c>
      <c r="CH105" s="81">
        <f t="shared" si="76"/>
        <v>0</v>
      </c>
      <c r="CI105" s="81">
        <f t="shared" si="77"/>
        <v>0</v>
      </c>
      <c r="CJ105" s="81" t="s">
        <v>18</v>
      </c>
      <c r="CK105" s="81">
        <f t="shared" si="78"/>
        <v>0</v>
      </c>
      <c r="CL105" s="81">
        <f t="shared" si="79"/>
        <v>0</v>
      </c>
      <c r="CM105" s="81" t="s">
        <v>4</v>
      </c>
      <c r="CN105" s="81">
        <f t="shared" si="80"/>
        <v>0</v>
      </c>
      <c r="CO105" s="81">
        <f t="shared" si="81"/>
        <v>0</v>
      </c>
      <c r="CP105" s="81" t="s">
        <v>22</v>
      </c>
      <c r="CQ105" s="81">
        <f t="shared" si="82"/>
        <v>0</v>
      </c>
      <c r="CR105" s="81">
        <f t="shared" si="83"/>
        <v>0</v>
      </c>
      <c r="CS105" s="81" t="s">
        <v>21</v>
      </c>
      <c r="CT105" s="81">
        <f t="shared" si="84"/>
        <v>0</v>
      </c>
      <c r="CU105" s="81">
        <f t="shared" si="85"/>
        <v>0</v>
      </c>
      <c r="CV105" s="81" t="s">
        <v>998</v>
      </c>
      <c r="CW105" s="81">
        <f t="shared" si="86"/>
        <v>0</v>
      </c>
      <c r="CX105" s="81">
        <f t="shared" si="87"/>
        <v>0</v>
      </c>
      <c r="CY105" s="81" t="s">
        <v>19</v>
      </c>
      <c r="CZ105" s="81">
        <f t="shared" si="88"/>
        <v>0</v>
      </c>
      <c r="DA105" s="81">
        <f t="shared" si="89"/>
        <v>0</v>
      </c>
      <c r="DB105" s="81" t="s">
        <v>20</v>
      </c>
      <c r="DC105" s="81">
        <f t="shared" si="90"/>
        <v>0</v>
      </c>
      <c r="DD105" s="81">
        <f t="shared" si="91"/>
        <v>0</v>
      </c>
      <c r="DE105" s="81" t="s">
        <v>23</v>
      </c>
      <c r="DF105" s="81">
        <f t="shared" si="92"/>
        <v>0</v>
      </c>
      <c r="DG105" s="81">
        <f t="shared" si="93"/>
        <v>0</v>
      </c>
      <c r="DH105" s="81" t="s">
        <v>15</v>
      </c>
      <c r="DI105" s="81">
        <f t="shared" si="94"/>
        <v>0</v>
      </c>
      <c r="DJ105" s="81">
        <f t="shared" si="95"/>
        <v>0</v>
      </c>
      <c r="DK105" s="81" t="s">
        <v>5327</v>
      </c>
      <c r="DL105" s="81">
        <f t="shared" si="96"/>
        <v>0</v>
      </c>
      <c r="DM105" s="81">
        <f t="shared" si="97"/>
        <v>0</v>
      </c>
      <c r="DN105" s="81" t="s">
        <v>7</v>
      </c>
      <c r="DO105" s="81">
        <f t="shared" si="98"/>
        <v>0</v>
      </c>
      <c r="DP105" s="81">
        <f t="shared" si="99"/>
        <v>0</v>
      </c>
      <c r="DQ105" s="81" t="s">
        <v>1</v>
      </c>
      <c r="DR105" s="81">
        <f t="shared" si="100"/>
        <v>0</v>
      </c>
      <c r="DS105" s="81">
        <f t="shared" si="101"/>
        <v>0</v>
      </c>
    </row>
    <row r="106" spans="14:123" x14ac:dyDescent="0.3">
      <c r="N106" s="81">
        <f>IF(Q107=0,IF(Q106=0,,"x"),)</f>
        <v>0</v>
      </c>
      <c r="O106" s="81">
        <f t="shared" si="102"/>
        <v>0</v>
      </c>
      <c r="P106" s="81">
        <f t="shared" si="66"/>
        <v>0</v>
      </c>
      <c r="Q106" s="81">
        <f t="shared" si="103"/>
        <v>0</v>
      </c>
      <c r="R106" s="81">
        <f>IF(W106="",,SUM($W$4:W106))</f>
        <v>0</v>
      </c>
      <c r="S106" s="81">
        <f t="shared" si="67"/>
        <v>0</v>
      </c>
      <c r="T106" s="81">
        <f t="shared" si="104"/>
        <v>0</v>
      </c>
      <c r="U106" s="81">
        <f t="shared" si="68"/>
        <v>0</v>
      </c>
      <c r="V106" s="81" t="str">
        <f t="shared" ca="1" si="69"/>
        <v/>
      </c>
      <c r="X106" s="81">
        <f t="shared" si="107"/>
        <v>0</v>
      </c>
      <c r="Y106" s="81">
        <f t="shared" si="108"/>
        <v>0</v>
      </c>
      <c r="AE106" s="81">
        <v>106</v>
      </c>
      <c r="AI106" s="81">
        <v>103</v>
      </c>
      <c r="AJ106" s="81" t="str">
        <f t="shared" si="57"/>
        <v>Mars 27</v>
      </c>
      <c r="AK106" s="81" t="str">
        <f t="shared" si="106"/>
        <v>Mars</v>
      </c>
      <c r="AL106" s="81">
        <f t="shared" si="105"/>
        <v>27</v>
      </c>
      <c r="AM106" s="81" t="str">
        <f t="shared" si="70"/>
        <v>='Mars 27'!</v>
      </c>
      <c r="AN106" s="81" t="str">
        <f t="shared" si="63"/>
        <v>='Mars 27'!C27</v>
      </c>
      <c r="AO106" s="81" t="s">
        <v>1106</v>
      </c>
      <c r="AR106" s="81" t="s">
        <v>166</v>
      </c>
      <c r="AS106" s="83" t="str">
        <f t="shared" si="58"/>
        <v>='Mars 27'!C6</v>
      </c>
      <c r="AT106" s="83">
        <f t="shared" si="59"/>
        <v>0</v>
      </c>
      <c r="AV106" s="81" t="s">
        <v>467</v>
      </c>
      <c r="AW106" s="81" t="s">
        <v>2440</v>
      </c>
      <c r="AX106" s="81" t="s">
        <v>2441</v>
      </c>
      <c r="AY106" s="81" t="s">
        <v>2442</v>
      </c>
      <c r="AZ106" s="81" t="s">
        <v>2443</v>
      </c>
      <c r="BA106" s="81" t="s">
        <v>2444</v>
      </c>
      <c r="BB106" s="81" t="s">
        <v>2445</v>
      </c>
      <c r="BC106" s="81" t="s">
        <v>2446</v>
      </c>
      <c r="BD106" s="81" t="s">
        <v>2447</v>
      </c>
      <c r="BE106" s="81" t="s">
        <v>2448</v>
      </c>
      <c r="BF106" s="81" t="s">
        <v>2449</v>
      </c>
      <c r="BG106" s="81" t="s">
        <v>2450</v>
      </c>
      <c r="BH106" s="81" t="s">
        <v>4723</v>
      </c>
      <c r="BI106" s="81" t="s">
        <v>5027</v>
      </c>
      <c r="BJ106" s="81" t="s">
        <v>166</v>
      </c>
      <c r="BL106" s="81" t="s">
        <v>770</v>
      </c>
      <c r="BM106" s="81">
        <v>103</v>
      </c>
      <c r="BN106" s="81" t="str">
        <f t="shared" si="60"/>
        <v>='Mars 27'!C12</v>
      </c>
      <c r="BP106" s="81" t="str">
        <f t="shared" ca="1" si="71"/>
        <v/>
      </c>
      <c r="BR106" s="84">
        <f t="shared" si="64"/>
        <v>0</v>
      </c>
      <c r="BS106" s="84">
        <f t="shared" si="65"/>
        <v>0</v>
      </c>
      <c r="CA106" s="81" t="s">
        <v>2</v>
      </c>
      <c r="CB106" s="81">
        <f t="shared" si="72"/>
        <v>0</v>
      </c>
      <c r="CC106" s="81">
        <f t="shared" si="73"/>
        <v>0</v>
      </c>
      <c r="CD106" s="81" t="s">
        <v>16</v>
      </c>
      <c r="CE106" s="81">
        <f t="shared" si="74"/>
        <v>0</v>
      </c>
      <c r="CF106" s="81">
        <f t="shared" si="75"/>
        <v>0</v>
      </c>
      <c r="CG106" s="81" t="s">
        <v>5</v>
      </c>
      <c r="CH106" s="81">
        <f t="shared" si="76"/>
        <v>0</v>
      </c>
      <c r="CI106" s="81">
        <f t="shared" si="77"/>
        <v>0</v>
      </c>
      <c r="CJ106" s="81" t="s">
        <v>18</v>
      </c>
      <c r="CK106" s="81">
        <f t="shared" si="78"/>
        <v>0</v>
      </c>
      <c r="CL106" s="81">
        <f t="shared" si="79"/>
        <v>0</v>
      </c>
      <c r="CM106" s="81" t="s">
        <v>4</v>
      </c>
      <c r="CN106" s="81">
        <f t="shared" si="80"/>
        <v>0</v>
      </c>
      <c r="CO106" s="81">
        <f t="shared" si="81"/>
        <v>0</v>
      </c>
      <c r="CP106" s="81" t="s">
        <v>22</v>
      </c>
      <c r="CQ106" s="81">
        <f t="shared" si="82"/>
        <v>0</v>
      </c>
      <c r="CR106" s="81">
        <f t="shared" si="83"/>
        <v>0</v>
      </c>
      <c r="CS106" s="81" t="s">
        <v>21</v>
      </c>
      <c r="CT106" s="81">
        <f t="shared" si="84"/>
        <v>0</v>
      </c>
      <c r="CU106" s="81">
        <f t="shared" si="85"/>
        <v>0</v>
      </c>
      <c r="CV106" s="81" t="s">
        <v>998</v>
      </c>
      <c r="CW106" s="81">
        <f t="shared" si="86"/>
        <v>0</v>
      </c>
      <c r="CX106" s="81">
        <f t="shared" si="87"/>
        <v>0</v>
      </c>
      <c r="CY106" s="81" t="s">
        <v>19</v>
      </c>
      <c r="CZ106" s="81">
        <f t="shared" si="88"/>
        <v>0</v>
      </c>
      <c r="DA106" s="81">
        <f t="shared" si="89"/>
        <v>0</v>
      </c>
      <c r="DB106" s="81" t="s">
        <v>20</v>
      </c>
      <c r="DC106" s="81">
        <f t="shared" si="90"/>
        <v>0</v>
      </c>
      <c r="DD106" s="81">
        <f t="shared" si="91"/>
        <v>0</v>
      </c>
      <c r="DE106" s="81" t="s">
        <v>23</v>
      </c>
      <c r="DF106" s="81">
        <f t="shared" si="92"/>
        <v>0</v>
      </c>
      <c r="DG106" s="81">
        <f t="shared" si="93"/>
        <v>0</v>
      </c>
      <c r="DH106" s="81" t="s">
        <v>15</v>
      </c>
      <c r="DI106" s="81">
        <f t="shared" si="94"/>
        <v>0</v>
      </c>
      <c r="DJ106" s="81">
        <f t="shared" si="95"/>
        <v>0</v>
      </c>
      <c r="DK106" s="81" t="s">
        <v>5328</v>
      </c>
      <c r="DL106" s="81">
        <f t="shared" si="96"/>
        <v>0</v>
      </c>
      <c r="DM106" s="81">
        <f t="shared" si="97"/>
        <v>0</v>
      </c>
      <c r="DN106" s="81" t="s">
        <v>7</v>
      </c>
      <c r="DO106" s="81">
        <f t="shared" si="98"/>
        <v>0</v>
      </c>
      <c r="DP106" s="81">
        <f t="shared" si="99"/>
        <v>0</v>
      </c>
      <c r="DQ106" s="81" t="s">
        <v>1</v>
      </c>
      <c r="DR106" s="81">
        <f t="shared" si="100"/>
        <v>0</v>
      </c>
      <c r="DS106" s="81">
        <f t="shared" si="101"/>
        <v>0</v>
      </c>
    </row>
    <row r="107" spans="14:123" x14ac:dyDescent="0.3">
      <c r="N107" s="81">
        <f>IF(Q108=0,IF(Q107=0,,"x"),)</f>
        <v>0</v>
      </c>
      <c r="O107" s="81">
        <f t="shared" si="102"/>
        <v>0</v>
      </c>
      <c r="P107" s="81">
        <f t="shared" si="66"/>
        <v>0</v>
      </c>
      <c r="Q107" s="81">
        <f t="shared" si="103"/>
        <v>0</v>
      </c>
      <c r="R107" s="81">
        <f>IF(W107="",,SUM($W$4:W107))</f>
        <v>0</v>
      </c>
      <c r="S107" s="81">
        <f t="shared" si="67"/>
        <v>0</v>
      </c>
      <c r="T107" s="81">
        <f t="shared" si="104"/>
        <v>0</v>
      </c>
      <c r="U107" s="81">
        <f t="shared" si="68"/>
        <v>0</v>
      </c>
      <c r="V107" s="81" t="str">
        <f t="shared" ca="1" si="69"/>
        <v/>
      </c>
      <c r="X107" s="81">
        <f t="shared" si="107"/>
        <v>0</v>
      </c>
      <c r="Y107" s="81">
        <f t="shared" si="108"/>
        <v>0</v>
      </c>
      <c r="AE107" s="81">
        <v>107</v>
      </c>
      <c r="AI107" s="81">
        <v>104</v>
      </c>
      <c r="AJ107" s="81" t="str">
        <f t="shared" si="57"/>
        <v>April 27</v>
      </c>
      <c r="AK107" s="81" t="str">
        <f t="shared" si="106"/>
        <v>April</v>
      </c>
      <c r="AL107" s="81">
        <f t="shared" si="105"/>
        <v>27</v>
      </c>
      <c r="AM107" s="81" t="str">
        <f t="shared" si="70"/>
        <v>='April 27'!</v>
      </c>
      <c r="AN107" s="81" t="str">
        <f t="shared" si="63"/>
        <v>='April 27'!C27</v>
      </c>
      <c r="AO107" s="81" t="s">
        <v>1107</v>
      </c>
      <c r="AR107" s="81" t="s">
        <v>167</v>
      </c>
      <c r="AS107" s="83" t="str">
        <f t="shared" si="58"/>
        <v>='April 27'!C6</v>
      </c>
      <c r="AT107" s="83">
        <f t="shared" si="59"/>
        <v>0</v>
      </c>
      <c r="AV107" s="81" t="s">
        <v>468</v>
      </c>
      <c r="AW107" s="81" t="s">
        <v>2451</v>
      </c>
      <c r="AX107" s="81" t="s">
        <v>2452</v>
      </c>
      <c r="AY107" s="81" t="s">
        <v>2453</v>
      </c>
      <c r="AZ107" s="81" t="s">
        <v>2454</v>
      </c>
      <c r="BA107" s="81" t="s">
        <v>2455</v>
      </c>
      <c r="BB107" s="81" t="s">
        <v>2456</v>
      </c>
      <c r="BC107" s="81" t="s">
        <v>2457</v>
      </c>
      <c r="BD107" s="81" t="s">
        <v>2458</v>
      </c>
      <c r="BE107" s="81" t="s">
        <v>2459</v>
      </c>
      <c r="BF107" s="81" t="s">
        <v>2460</v>
      </c>
      <c r="BG107" s="81" t="s">
        <v>2461</v>
      </c>
      <c r="BH107" s="81" t="s">
        <v>4724</v>
      </c>
      <c r="BI107" s="81" t="s">
        <v>5028</v>
      </c>
      <c r="BJ107" s="81" t="s">
        <v>167</v>
      </c>
      <c r="BL107" s="81" t="s">
        <v>771</v>
      </c>
      <c r="BM107" s="81">
        <v>104</v>
      </c>
      <c r="BN107" s="81" t="str">
        <f t="shared" si="60"/>
        <v>='April 27'!C12</v>
      </c>
      <c r="BP107" s="81" t="str">
        <f t="shared" ca="1" si="71"/>
        <v/>
      </c>
      <c r="BR107" s="84">
        <f t="shared" si="64"/>
        <v>0</v>
      </c>
      <c r="BS107" s="84">
        <f t="shared" si="65"/>
        <v>0</v>
      </c>
      <c r="CA107" s="81" t="s">
        <v>2</v>
      </c>
      <c r="CB107" s="81">
        <f t="shared" si="72"/>
        <v>0</v>
      </c>
      <c r="CC107" s="81">
        <f t="shared" si="73"/>
        <v>0</v>
      </c>
      <c r="CD107" s="81" t="s">
        <v>16</v>
      </c>
      <c r="CE107" s="81">
        <f t="shared" si="74"/>
        <v>0</v>
      </c>
      <c r="CF107" s="81">
        <f t="shared" si="75"/>
        <v>0</v>
      </c>
      <c r="CG107" s="81" t="s">
        <v>5</v>
      </c>
      <c r="CH107" s="81">
        <f t="shared" si="76"/>
        <v>0</v>
      </c>
      <c r="CI107" s="81">
        <f t="shared" si="77"/>
        <v>0</v>
      </c>
      <c r="CJ107" s="81" t="s">
        <v>18</v>
      </c>
      <c r="CK107" s="81">
        <f t="shared" si="78"/>
        <v>0</v>
      </c>
      <c r="CL107" s="81">
        <f t="shared" si="79"/>
        <v>0</v>
      </c>
      <c r="CM107" s="81" t="s">
        <v>4</v>
      </c>
      <c r="CN107" s="81">
        <f t="shared" si="80"/>
        <v>0</v>
      </c>
      <c r="CO107" s="81">
        <f t="shared" si="81"/>
        <v>0</v>
      </c>
      <c r="CP107" s="81" t="s">
        <v>22</v>
      </c>
      <c r="CQ107" s="81">
        <f t="shared" si="82"/>
        <v>0</v>
      </c>
      <c r="CR107" s="81">
        <f t="shared" si="83"/>
        <v>0</v>
      </c>
      <c r="CS107" s="81" t="s">
        <v>21</v>
      </c>
      <c r="CT107" s="81">
        <f t="shared" si="84"/>
        <v>0</v>
      </c>
      <c r="CU107" s="81">
        <f t="shared" si="85"/>
        <v>0</v>
      </c>
      <c r="CV107" s="81" t="s">
        <v>998</v>
      </c>
      <c r="CW107" s="81">
        <f t="shared" si="86"/>
        <v>0</v>
      </c>
      <c r="CX107" s="81">
        <f t="shared" si="87"/>
        <v>0</v>
      </c>
      <c r="CY107" s="81" t="s">
        <v>19</v>
      </c>
      <c r="CZ107" s="81">
        <f t="shared" si="88"/>
        <v>0</v>
      </c>
      <c r="DA107" s="81">
        <f t="shared" si="89"/>
        <v>0</v>
      </c>
      <c r="DB107" s="81" t="s">
        <v>20</v>
      </c>
      <c r="DC107" s="81">
        <f t="shared" si="90"/>
        <v>0</v>
      </c>
      <c r="DD107" s="81">
        <f t="shared" si="91"/>
        <v>0</v>
      </c>
      <c r="DE107" s="81" t="s">
        <v>23</v>
      </c>
      <c r="DF107" s="81">
        <f t="shared" si="92"/>
        <v>0</v>
      </c>
      <c r="DG107" s="81">
        <f t="shared" si="93"/>
        <v>0</v>
      </c>
      <c r="DH107" s="81" t="s">
        <v>15</v>
      </c>
      <c r="DI107" s="81">
        <f t="shared" si="94"/>
        <v>0</v>
      </c>
      <c r="DJ107" s="81">
        <f t="shared" si="95"/>
        <v>0</v>
      </c>
      <c r="DK107" s="81" t="s">
        <v>5329</v>
      </c>
      <c r="DL107" s="81">
        <f t="shared" si="96"/>
        <v>0</v>
      </c>
      <c r="DM107" s="81">
        <f t="shared" si="97"/>
        <v>0</v>
      </c>
      <c r="DN107" s="81" t="s">
        <v>7</v>
      </c>
      <c r="DO107" s="81">
        <f t="shared" si="98"/>
        <v>0</v>
      </c>
      <c r="DP107" s="81">
        <f t="shared" si="99"/>
        <v>0</v>
      </c>
      <c r="DQ107" s="81" t="s">
        <v>1</v>
      </c>
      <c r="DR107" s="81">
        <f t="shared" si="100"/>
        <v>0</v>
      </c>
      <c r="DS107" s="81">
        <f t="shared" si="101"/>
        <v>0</v>
      </c>
    </row>
    <row r="108" spans="14:123" x14ac:dyDescent="0.3">
      <c r="N108" s="81">
        <f>IF(Q109=0,IF(Q108=0,,"x"),)</f>
        <v>0</v>
      </c>
      <c r="O108" s="81">
        <f t="shared" si="102"/>
        <v>0</v>
      </c>
      <c r="P108" s="81">
        <f t="shared" si="66"/>
        <v>0</v>
      </c>
      <c r="Q108" s="81">
        <f t="shared" si="103"/>
        <v>0</v>
      </c>
      <c r="R108" s="81">
        <f>IF(W108="",,SUM($W$4:W108))</f>
        <v>0</v>
      </c>
      <c r="S108" s="81">
        <f t="shared" si="67"/>
        <v>0</v>
      </c>
      <c r="T108" s="81">
        <f t="shared" si="104"/>
        <v>0</v>
      </c>
      <c r="U108" s="81">
        <f t="shared" si="68"/>
        <v>0</v>
      </c>
      <c r="V108" s="81" t="str">
        <f t="shared" ca="1" si="69"/>
        <v/>
      </c>
      <c r="X108" s="81">
        <f t="shared" si="107"/>
        <v>0</v>
      </c>
      <c r="Y108" s="81">
        <f t="shared" si="108"/>
        <v>0</v>
      </c>
      <c r="AE108" s="81">
        <v>108</v>
      </c>
      <c r="AI108" s="81">
        <v>105</v>
      </c>
      <c r="AJ108" s="81" t="str">
        <f t="shared" si="57"/>
        <v>Maj 27</v>
      </c>
      <c r="AK108" s="81" t="str">
        <f t="shared" si="106"/>
        <v>Maj</v>
      </c>
      <c r="AL108" s="81">
        <f t="shared" si="105"/>
        <v>27</v>
      </c>
      <c r="AM108" s="81" t="str">
        <f t="shared" si="70"/>
        <v>='Maj 27'!</v>
      </c>
      <c r="AN108" s="81" t="str">
        <f t="shared" si="63"/>
        <v>='Maj 27'!C27</v>
      </c>
      <c r="AO108" s="81" t="s">
        <v>1108</v>
      </c>
      <c r="AR108" s="81" t="s">
        <v>168</v>
      </c>
      <c r="AS108" s="83" t="str">
        <f t="shared" si="58"/>
        <v>='Maj 27'!C6</v>
      </c>
      <c r="AT108" s="83">
        <f t="shared" si="59"/>
        <v>0</v>
      </c>
      <c r="AV108" s="81" t="s">
        <v>469</v>
      </c>
      <c r="AW108" s="81" t="s">
        <v>2462</v>
      </c>
      <c r="AX108" s="81" t="s">
        <v>2463</v>
      </c>
      <c r="AY108" s="81" t="s">
        <v>2464</v>
      </c>
      <c r="AZ108" s="81" t="s">
        <v>2465</v>
      </c>
      <c r="BA108" s="81" t="s">
        <v>2466</v>
      </c>
      <c r="BB108" s="81" t="s">
        <v>2467</v>
      </c>
      <c r="BC108" s="81" t="s">
        <v>2468</v>
      </c>
      <c r="BD108" s="81" t="s">
        <v>2469</v>
      </c>
      <c r="BE108" s="81" t="s">
        <v>2470</v>
      </c>
      <c r="BF108" s="81" t="s">
        <v>2471</v>
      </c>
      <c r="BG108" s="81" t="s">
        <v>2472</v>
      </c>
      <c r="BH108" s="81" t="s">
        <v>4725</v>
      </c>
      <c r="BI108" s="81" t="s">
        <v>5029</v>
      </c>
      <c r="BJ108" s="81" t="s">
        <v>168</v>
      </c>
      <c r="BL108" s="81" t="s">
        <v>772</v>
      </c>
      <c r="BM108" s="81">
        <v>105</v>
      </c>
      <c r="BN108" s="81" t="str">
        <f t="shared" si="60"/>
        <v>='Maj 27'!C12</v>
      </c>
      <c r="BP108" s="81" t="str">
        <f t="shared" ca="1" si="71"/>
        <v/>
      </c>
      <c r="BR108" s="84">
        <f t="shared" si="64"/>
        <v>0</v>
      </c>
      <c r="BS108" s="84">
        <f t="shared" si="65"/>
        <v>0</v>
      </c>
      <c r="CA108" s="81" t="s">
        <v>2</v>
      </c>
      <c r="CB108" s="81">
        <f t="shared" si="72"/>
        <v>0</v>
      </c>
      <c r="CC108" s="81">
        <f t="shared" si="73"/>
        <v>0</v>
      </c>
      <c r="CD108" s="81" t="s">
        <v>16</v>
      </c>
      <c r="CE108" s="81">
        <f t="shared" si="74"/>
        <v>0</v>
      </c>
      <c r="CF108" s="81">
        <f t="shared" si="75"/>
        <v>0</v>
      </c>
      <c r="CG108" s="81" t="s">
        <v>5</v>
      </c>
      <c r="CH108" s="81">
        <f t="shared" si="76"/>
        <v>0</v>
      </c>
      <c r="CI108" s="81">
        <f t="shared" si="77"/>
        <v>0</v>
      </c>
      <c r="CJ108" s="81" t="s">
        <v>18</v>
      </c>
      <c r="CK108" s="81">
        <f t="shared" si="78"/>
        <v>0</v>
      </c>
      <c r="CL108" s="81">
        <f t="shared" si="79"/>
        <v>0</v>
      </c>
      <c r="CM108" s="81" t="s">
        <v>4</v>
      </c>
      <c r="CN108" s="81">
        <f t="shared" si="80"/>
        <v>0</v>
      </c>
      <c r="CO108" s="81">
        <f t="shared" si="81"/>
        <v>0</v>
      </c>
      <c r="CP108" s="81" t="s">
        <v>22</v>
      </c>
      <c r="CQ108" s="81">
        <f t="shared" si="82"/>
        <v>0</v>
      </c>
      <c r="CR108" s="81">
        <f t="shared" si="83"/>
        <v>0</v>
      </c>
      <c r="CS108" s="81" t="s">
        <v>21</v>
      </c>
      <c r="CT108" s="81">
        <f t="shared" si="84"/>
        <v>0</v>
      </c>
      <c r="CU108" s="81">
        <f t="shared" si="85"/>
        <v>0</v>
      </c>
      <c r="CV108" s="81" t="s">
        <v>998</v>
      </c>
      <c r="CW108" s="81">
        <f t="shared" si="86"/>
        <v>0</v>
      </c>
      <c r="CX108" s="81">
        <f t="shared" si="87"/>
        <v>0</v>
      </c>
      <c r="CY108" s="81" t="s">
        <v>19</v>
      </c>
      <c r="CZ108" s="81">
        <f t="shared" si="88"/>
        <v>0</v>
      </c>
      <c r="DA108" s="81">
        <f t="shared" si="89"/>
        <v>0</v>
      </c>
      <c r="DB108" s="81" t="s">
        <v>20</v>
      </c>
      <c r="DC108" s="81">
        <f t="shared" si="90"/>
        <v>0</v>
      </c>
      <c r="DD108" s="81">
        <f t="shared" si="91"/>
        <v>0</v>
      </c>
      <c r="DE108" s="81" t="s">
        <v>23</v>
      </c>
      <c r="DF108" s="81">
        <f t="shared" si="92"/>
        <v>0</v>
      </c>
      <c r="DG108" s="81">
        <f t="shared" si="93"/>
        <v>0</v>
      </c>
      <c r="DH108" s="81" t="s">
        <v>15</v>
      </c>
      <c r="DI108" s="81">
        <f t="shared" si="94"/>
        <v>0</v>
      </c>
      <c r="DJ108" s="81">
        <f t="shared" si="95"/>
        <v>0</v>
      </c>
      <c r="DK108" s="81" t="s">
        <v>5330</v>
      </c>
      <c r="DL108" s="81">
        <f t="shared" si="96"/>
        <v>0</v>
      </c>
      <c r="DM108" s="81">
        <f t="shared" si="97"/>
        <v>0</v>
      </c>
      <c r="DN108" s="81" t="s">
        <v>7</v>
      </c>
      <c r="DO108" s="81">
        <f t="shared" si="98"/>
        <v>0</v>
      </c>
      <c r="DP108" s="81">
        <f t="shared" si="99"/>
        <v>0</v>
      </c>
      <c r="DQ108" s="81" t="s">
        <v>1</v>
      </c>
      <c r="DR108" s="81">
        <f t="shared" si="100"/>
        <v>0</v>
      </c>
      <c r="DS108" s="81">
        <f t="shared" si="101"/>
        <v>0</v>
      </c>
    </row>
    <row r="109" spans="14:123" x14ac:dyDescent="0.3">
      <c r="N109" s="81">
        <f>IF(Q110=0,IF(Q109=0,,"x"),)</f>
        <v>0</v>
      </c>
      <c r="O109" s="81">
        <f t="shared" si="102"/>
        <v>0</v>
      </c>
      <c r="P109" s="81">
        <f t="shared" si="66"/>
        <v>0</v>
      </c>
      <c r="Q109" s="81">
        <f t="shared" si="103"/>
        <v>0</v>
      </c>
      <c r="R109" s="81">
        <f>IF(W109="",,SUM($W$4:W109))</f>
        <v>0</v>
      </c>
      <c r="S109" s="81">
        <f t="shared" si="67"/>
        <v>0</v>
      </c>
      <c r="T109" s="81">
        <f t="shared" si="104"/>
        <v>0</v>
      </c>
      <c r="U109" s="81">
        <f t="shared" si="68"/>
        <v>0</v>
      </c>
      <c r="V109" s="81" t="str">
        <f t="shared" ca="1" si="69"/>
        <v/>
      </c>
      <c r="X109" s="81">
        <f t="shared" si="107"/>
        <v>0</v>
      </c>
      <c r="Y109" s="81">
        <f t="shared" si="108"/>
        <v>0</v>
      </c>
      <c r="AE109" s="81">
        <v>109</v>
      </c>
      <c r="AI109" s="81">
        <v>106</v>
      </c>
      <c r="AJ109" s="81" t="str">
        <f t="shared" si="57"/>
        <v>Juni 27</v>
      </c>
      <c r="AK109" s="81" t="str">
        <f t="shared" si="106"/>
        <v>Juni</v>
      </c>
      <c r="AL109" s="81">
        <f t="shared" si="105"/>
        <v>27</v>
      </c>
      <c r="AM109" s="81" t="str">
        <f t="shared" si="70"/>
        <v>='Juni 27'!</v>
      </c>
      <c r="AN109" s="81" t="str">
        <f t="shared" si="63"/>
        <v>='Juni 27'!C27</v>
      </c>
      <c r="AO109" s="81" t="s">
        <v>1109</v>
      </c>
      <c r="AR109" s="81" t="s">
        <v>169</v>
      </c>
      <c r="AS109" s="83" t="str">
        <f t="shared" si="58"/>
        <v>='Juni 27'!C6</v>
      </c>
      <c r="AT109" s="83">
        <f t="shared" si="59"/>
        <v>0</v>
      </c>
      <c r="AV109" s="81" t="s">
        <v>470</v>
      </c>
      <c r="AW109" s="81" t="s">
        <v>2473</v>
      </c>
      <c r="AX109" s="81" t="s">
        <v>2474</v>
      </c>
      <c r="AY109" s="81" t="s">
        <v>2475</v>
      </c>
      <c r="AZ109" s="81" t="s">
        <v>2476</v>
      </c>
      <c r="BA109" s="81" t="s">
        <v>2477</v>
      </c>
      <c r="BB109" s="81" t="s">
        <v>2478</v>
      </c>
      <c r="BC109" s="81" t="s">
        <v>2479</v>
      </c>
      <c r="BD109" s="81" t="s">
        <v>2480</v>
      </c>
      <c r="BE109" s="81" t="s">
        <v>2481</v>
      </c>
      <c r="BF109" s="81" t="s">
        <v>2482</v>
      </c>
      <c r="BG109" s="81" t="s">
        <v>2483</v>
      </c>
      <c r="BH109" s="81" t="s">
        <v>4726</v>
      </c>
      <c r="BI109" s="81" t="s">
        <v>5030</v>
      </c>
      <c r="BJ109" s="81" t="s">
        <v>169</v>
      </c>
      <c r="BL109" s="81" t="s">
        <v>773</v>
      </c>
      <c r="BM109" s="81">
        <v>106</v>
      </c>
      <c r="BN109" s="81" t="str">
        <f t="shared" si="60"/>
        <v>='Juni 27'!C12</v>
      </c>
      <c r="BP109" s="81" t="str">
        <f t="shared" ca="1" si="71"/>
        <v/>
      </c>
      <c r="BR109" s="84">
        <f t="shared" si="64"/>
        <v>0</v>
      </c>
      <c r="BS109" s="84">
        <f t="shared" si="65"/>
        <v>0</v>
      </c>
      <c r="CA109" s="81" t="s">
        <v>2</v>
      </c>
      <c r="CB109" s="81">
        <f t="shared" si="72"/>
        <v>0</v>
      </c>
      <c r="CC109" s="81">
        <f t="shared" si="73"/>
        <v>0</v>
      </c>
      <c r="CD109" s="81" t="s">
        <v>16</v>
      </c>
      <c r="CE109" s="81">
        <f t="shared" si="74"/>
        <v>0</v>
      </c>
      <c r="CF109" s="81">
        <f t="shared" si="75"/>
        <v>0</v>
      </c>
      <c r="CG109" s="81" t="s">
        <v>5</v>
      </c>
      <c r="CH109" s="81">
        <f t="shared" si="76"/>
        <v>0</v>
      </c>
      <c r="CI109" s="81">
        <f t="shared" si="77"/>
        <v>0</v>
      </c>
      <c r="CJ109" s="81" t="s">
        <v>18</v>
      </c>
      <c r="CK109" s="81">
        <f t="shared" si="78"/>
        <v>0</v>
      </c>
      <c r="CL109" s="81">
        <f t="shared" si="79"/>
        <v>0</v>
      </c>
      <c r="CM109" s="81" t="s">
        <v>4</v>
      </c>
      <c r="CN109" s="81">
        <f t="shared" si="80"/>
        <v>0</v>
      </c>
      <c r="CO109" s="81">
        <f t="shared" si="81"/>
        <v>0</v>
      </c>
      <c r="CP109" s="81" t="s">
        <v>22</v>
      </c>
      <c r="CQ109" s="81">
        <f t="shared" si="82"/>
        <v>0</v>
      </c>
      <c r="CR109" s="81">
        <f t="shared" si="83"/>
        <v>0</v>
      </c>
      <c r="CS109" s="81" t="s">
        <v>21</v>
      </c>
      <c r="CT109" s="81">
        <f t="shared" si="84"/>
        <v>0</v>
      </c>
      <c r="CU109" s="81">
        <f t="shared" si="85"/>
        <v>0</v>
      </c>
      <c r="CV109" s="81" t="s">
        <v>998</v>
      </c>
      <c r="CW109" s="81">
        <f t="shared" si="86"/>
        <v>0</v>
      </c>
      <c r="CX109" s="81">
        <f t="shared" si="87"/>
        <v>0</v>
      </c>
      <c r="CY109" s="81" t="s">
        <v>19</v>
      </c>
      <c r="CZ109" s="81">
        <f t="shared" si="88"/>
        <v>0</v>
      </c>
      <c r="DA109" s="81">
        <f t="shared" si="89"/>
        <v>0</v>
      </c>
      <c r="DB109" s="81" t="s">
        <v>20</v>
      </c>
      <c r="DC109" s="81">
        <f t="shared" si="90"/>
        <v>0</v>
      </c>
      <c r="DD109" s="81">
        <f t="shared" si="91"/>
        <v>0</v>
      </c>
      <c r="DE109" s="81" t="s">
        <v>23</v>
      </c>
      <c r="DF109" s="81">
        <f t="shared" si="92"/>
        <v>0</v>
      </c>
      <c r="DG109" s="81">
        <f t="shared" si="93"/>
        <v>0</v>
      </c>
      <c r="DH109" s="81" t="s">
        <v>15</v>
      </c>
      <c r="DI109" s="81">
        <f t="shared" si="94"/>
        <v>0</v>
      </c>
      <c r="DJ109" s="81">
        <f t="shared" si="95"/>
        <v>0</v>
      </c>
      <c r="DK109" s="81" t="s">
        <v>5331</v>
      </c>
      <c r="DL109" s="81">
        <f t="shared" si="96"/>
        <v>0</v>
      </c>
      <c r="DM109" s="81">
        <f t="shared" si="97"/>
        <v>0</v>
      </c>
      <c r="DN109" s="81" t="s">
        <v>7</v>
      </c>
      <c r="DO109" s="81">
        <f t="shared" si="98"/>
        <v>0</v>
      </c>
      <c r="DP109" s="81">
        <f t="shared" si="99"/>
        <v>0</v>
      </c>
      <c r="DQ109" s="81" t="s">
        <v>1</v>
      </c>
      <c r="DR109" s="81">
        <f t="shared" si="100"/>
        <v>0</v>
      </c>
      <c r="DS109" s="81">
        <f t="shared" si="101"/>
        <v>0</v>
      </c>
    </row>
    <row r="110" spans="14:123" x14ac:dyDescent="0.3">
      <c r="N110" s="81">
        <f>IF(Q111=0,IF(Q110=0,,"x"),)</f>
        <v>0</v>
      </c>
      <c r="O110" s="81">
        <f t="shared" si="102"/>
        <v>0</v>
      </c>
      <c r="P110" s="81">
        <f t="shared" si="66"/>
        <v>0</v>
      </c>
      <c r="Q110" s="81">
        <f t="shared" si="103"/>
        <v>0</v>
      </c>
      <c r="R110" s="81">
        <f>IF(W110="",,SUM($W$4:W110))</f>
        <v>0</v>
      </c>
      <c r="S110" s="81">
        <f t="shared" si="67"/>
        <v>0</v>
      </c>
      <c r="T110" s="81">
        <f t="shared" si="104"/>
        <v>0</v>
      </c>
      <c r="U110" s="81">
        <f t="shared" si="68"/>
        <v>0</v>
      </c>
      <c r="V110" s="81" t="str">
        <f t="shared" ca="1" si="69"/>
        <v/>
      </c>
      <c r="X110" s="81">
        <f t="shared" si="107"/>
        <v>0</v>
      </c>
      <c r="Y110" s="81">
        <f t="shared" si="108"/>
        <v>0</v>
      </c>
      <c r="AE110" s="81">
        <v>110</v>
      </c>
      <c r="AI110" s="81">
        <v>107</v>
      </c>
      <c r="AJ110" s="81" t="str">
        <f t="shared" si="57"/>
        <v>Juli 27</v>
      </c>
      <c r="AK110" s="81" t="str">
        <f t="shared" si="106"/>
        <v>Juli</v>
      </c>
      <c r="AL110" s="81">
        <f t="shared" si="105"/>
        <v>27</v>
      </c>
      <c r="AM110" s="81" t="str">
        <f t="shared" si="70"/>
        <v>='Juli 27'!</v>
      </c>
      <c r="AN110" s="81" t="str">
        <f t="shared" si="63"/>
        <v>='Juli 27'!C27</v>
      </c>
      <c r="AO110" s="81" t="s">
        <v>1110</v>
      </c>
      <c r="AR110" s="81" t="s">
        <v>170</v>
      </c>
      <c r="AS110" s="83" t="str">
        <f t="shared" si="58"/>
        <v>='Juli 27'!C6</v>
      </c>
      <c r="AT110" s="83">
        <f t="shared" si="59"/>
        <v>0</v>
      </c>
      <c r="AV110" s="81" t="s">
        <v>471</v>
      </c>
      <c r="AW110" s="81" t="s">
        <v>2484</v>
      </c>
      <c r="AX110" s="81" t="s">
        <v>2485</v>
      </c>
      <c r="AY110" s="81" t="s">
        <v>2486</v>
      </c>
      <c r="AZ110" s="81" t="s">
        <v>2487</v>
      </c>
      <c r="BA110" s="81" t="s">
        <v>2488</v>
      </c>
      <c r="BB110" s="81" t="s">
        <v>2489</v>
      </c>
      <c r="BC110" s="81" t="s">
        <v>2490</v>
      </c>
      <c r="BD110" s="81" t="s">
        <v>2491</v>
      </c>
      <c r="BE110" s="81" t="s">
        <v>2492</v>
      </c>
      <c r="BF110" s="81" t="s">
        <v>2493</v>
      </c>
      <c r="BG110" s="81" t="s">
        <v>2494</v>
      </c>
      <c r="BH110" s="81" t="s">
        <v>4727</v>
      </c>
      <c r="BI110" s="81" t="s">
        <v>5031</v>
      </c>
      <c r="BJ110" s="81" t="s">
        <v>170</v>
      </c>
      <c r="BL110" s="81" t="s">
        <v>774</v>
      </c>
      <c r="BM110" s="81">
        <v>107</v>
      </c>
      <c r="BN110" s="81" t="str">
        <f t="shared" si="60"/>
        <v>='Juli 27'!C12</v>
      </c>
      <c r="BP110" s="81" t="str">
        <f t="shared" ca="1" si="71"/>
        <v/>
      </c>
      <c r="BR110" s="84">
        <f t="shared" si="64"/>
        <v>0</v>
      </c>
      <c r="BS110" s="84">
        <f t="shared" si="65"/>
        <v>0</v>
      </c>
      <c r="CA110" s="81" t="s">
        <v>2</v>
      </c>
      <c r="CB110" s="81">
        <f t="shared" si="72"/>
        <v>0</v>
      </c>
      <c r="CC110" s="81">
        <f t="shared" si="73"/>
        <v>0</v>
      </c>
      <c r="CD110" s="81" t="s">
        <v>16</v>
      </c>
      <c r="CE110" s="81">
        <f t="shared" si="74"/>
        <v>0</v>
      </c>
      <c r="CF110" s="81">
        <f t="shared" si="75"/>
        <v>0</v>
      </c>
      <c r="CG110" s="81" t="s">
        <v>5</v>
      </c>
      <c r="CH110" s="81">
        <f t="shared" si="76"/>
        <v>0</v>
      </c>
      <c r="CI110" s="81">
        <f t="shared" si="77"/>
        <v>0</v>
      </c>
      <c r="CJ110" s="81" t="s">
        <v>18</v>
      </c>
      <c r="CK110" s="81">
        <f t="shared" si="78"/>
        <v>0</v>
      </c>
      <c r="CL110" s="81">
        <f t="shared" si="79"/>
        <v>0</v>
      </c>
      <c r="CM110" s="81" t="s">
        <v>4</v>
      </c>
      <c r="CN110" s="81">
        <f t="shared" si="80"/>
        <v>0</v>
      </c>
      <c r="CO110" s="81">
        <f t="shared" si="81"/>
        <v>0</v>
      </c>
      <c r="CP110" s="81" t="s">
        <v>22</v>
      </c>
      <c r="CQ110" s="81">
        <f t="shared" si="82"/>
        <v>0</v>
      </c>
      <c r="CR110" s="81">
        <f t="shared" si="83"/>
        <v>0</v>
      </c>
      <c r="CS110" s="81" t="s">
        <v>21</v>
      </c>
      <c r="CT110" s="81">
        <f t="shared" si="84"/>
        <v>0</v>
      </c>
      <c r="CU110" s="81">
        <f t="shared" si="85"/>
        <v>0</v>
      </c>
      <c r="CV110" s="81" t="s">
        <v>998</v>
      </c>
      <c r="CW110" s="81">
        <f t="shared" si="86"/>
        <v>0</v>
      </c>
      <c r="CX110" s="81">
        <f t="shared" si="87"/>
        <v>0</v>
      </c>
      <c r="CY110" s="81" t="s">
        <v>19</v>
      </c>
      <c r="CZ110" s="81">
        <f t="shared" si="88"/>
        <v>0</v>
      </c>
      <c r="DA110" s="81">
        <f t="shared" si="89"/>
        <v>0</v>
      </c>
      <c r="DB110" s="81" t="s">
        <v>20</v>
      </c>
      <c r="DC110" s="81">
        <f t="shared" si="90"/>
        <v>0</v>
      </c>
      <c r="DD110" s="81">
        <f t="shared" si="91"/>
        <v>0</v>
      </c>
      <c r="DE110" s="81" t="s">
        <v>23</v>
      </c>
      <c r="DF110" s="81">
        <f t="shared" si="92"/>
        <v>0</v>
      </c>
      <c r="DG110" s="81">
        <f t="shared" si="93"/>
        <v>0</v>
      </c>
      <c r="DH110" s="81" t="s">
        <v>15</v>
      </c>
      <c r="DI110" s="81">
        <f t="shared" si="94"/>
        <v>0</v>
      </c>
      <c r="DJ110" s="81">
        <f t="shared" si="95"/>
        <v>0</v>
      </c>
      <c r="DK110" s="81" t="s">
        <v>5332</v>
      </c>
      <c r="DL110" s="81">
        <f t="shared" si="96"/>
        <v>0</v>
      </c>
      <c r="DM110" s="81">
        <f t="shared" si="97"/>
        <v>0</v>
      </c>
      <c r="DN110" s="81" t="s">
        <v>7</v>
      </c>
      <c r="DO110" s="81">
        <f t="shared" si="98"/>
        <v>0</v>
      </c>
      <c r="DP110" s="81">
        <f t="shared" si="99"/>
        <v>0</v>
      </c>
      <c r="DQ110" s="81" t="s">
        <v>1</v>
      </c>
      <c r="DR110" s="81">
        <f t="shared" si="100"/>
        <v>0</v>
      </c>
      <c r="DS110" s="81">
        <f t="shared" si="101"/>
        <v>0</v>
      </c>
    </row>
    <row r="111" spans="14:123" x14ac:dyDescent="0.3">
      <c r="N111" s="81">
        <f>IF(Q112=0,IF(Q111=0,,"x"),)</f>
        <v>0</v>
      </c>
      <c r="O111" s="81">
        <f t="shared" si="102"/>
        <v>0</v>
      </c>
      <c r="P111" s="81">
        <f t="shared" si="66"/>
        <v>0</v>
      </c>
      <c r="Q111" s="81">
        <f t="shared" si="103"/>
        <v>0</v>
      </c>
      <c r="R111" s="81">
        <f>IF(W111="",,SUM($W$4:W111))</f>
        <v>0</v>
      </c>
      <c r="S111" s="81">
        <f t="shared" si="67"/>
        <v>0</v>
      </c>
      <c r="T111" s="81">
        <f t="shared" si="104"/>
        <v>0</v>
      </c>
      <c r="U111" s="81">
        <f t="shared" si="68"/>
        <v>0</v>
      </c>
      <c r="V111" s="81" t="str">
        <f t="shared" ca="1" si="69"/>
        <v/>
      </c>
      <c r="X111" s="81">
        <f t="shared" si="107"/>
        <v>0</v>
      </c>
      <c r="Y111" s="81">
        <f t="shared" si="108"/>
        <v>0</v>
      </c>
      <c r="AE111" s="81">
        <v>111</v>
      </c>
      <c r="AI111" s="81">
        <v>108</v>
      </c>
      <c r="AJ111" s="81" t="str">
        <f t="shared" si="57"/>
        <v>Augusti 27</v>
      </c>
      <c r="AK111" s="81" t="str">
        <f t="shared" si="106"/>
        <v>Augusti</v>
      </c>
      <c r="AL111" s="81">
        <f t="shared" si="105"/>
        <v>27</v>
      </c>
      <c r="AM111" s="81" t="str">
        <f t="shared" si="70"/>
        <v>='Augusti 27'!</v>
      </c>
      <c r="AN111" s="81" t="str">
        <f t="shared" si="63"/>
        <v>='Augusti 27'!C27</v>
      </c>
      <c r="AO111" s="81" t="s">
        <v>1111</v>
      </c>
      <c r="AR111" s="81" t="s">
        <v>171</v>
      </c>
      <c r="AS111" s="83" t="str">
        <f t="shared" si="58"/>
        <v>='Augusti 27'!C6</v>
      </c>
      <c r="AT111" s="83">
        <f t="shared" si="59"/>
        <v>0</v>
      </c>
      <c r="AV111" s="81" t="s">
        <v>472</v>
      </c>
      <c r="AW111" s="81" t="s">
        <v>2495</v>
      </c>
      <c r="AX111" s="81" t="s">
        <v>2496</v>
      </c>
      <c r="AY111" s="81" t="s">
        <v>2497</v>
      </c>
      <c r="AZ111" s="81" t="s">
        <v>2498</v>
      </c>
      <c r="BA111" s="81" t="s">
        <v>2499</v>
      </c>
      <c r="BB111" s="81" t="s">
        <v>2500</v>
      </c>
      <c r="BC111" s="81" t="s">
        <v>2501</v>
      </c>
      <c r="BD111" s="81" t="s">
        <v>2502</v>
      </c>
      <c r="BE111" s="81" t="s">
        <v>2503</v>
      </c>
      <c r="BF111" s="81" t="s">
        <v>2504</v>
      </c>
      <c r="BG111" s="81" t="s">
        <v>2505</v>
      </c>
      <c r="BH111" s="81" t="s">
        <v>4728</v>
      </c>
      <c r="BI111" s="81" t="s">
        <v>5032</v>
      </c>
      <c r="BJ111" s="81" t="s">
        <v>171</v>
      </c>
      <c r="BL111" s="81" t="s">
        <v>775</v>
      </c>
      <c r="BM111" s="81">
        <v>108</v>
      </c>
      <c r="BN111" s="81" t="str">
        <f t="shared" si="60"/>
        <v>='Augusti 27'!C12</v>
      </c>
      <c r="BP111" s="81" t="str">
        <f t="shared" ca="1" si="71"/>
        <v/>
      </c>
      <c r="BR111" s="84">
        <f t="shared" si="64"/>
        <v>0</v>
      </c>
      <c r="BS111" s="84">
        <f t="shared" si="65"/>
        <v>0</v>
      </c>
      <c r="CA111" s="81" t="s">
        <v>2</v>
      </c>
      <c r="CB111" s="81">
        <f t="shared" si="72"/>
        <v>0</v>
      </c>
      <c r="CC111" s="81">
        <f t="shared" si="73"/>
        <v>0</v>
      </c>
      <c r="CD111" s="81" t="s">
        <v>16</v>
      </c>
      <c r="CE111" s="81">
        <f t="shared" si="74"/>
        <v>0</v>
      </c>
      <c r="CF111" s="81">
        <f t="shared" si="75"/>
        <v>0</v>
      </c>
      <c r="CG111" s="81" t="s">
        <v>5</v>
      </c>
      <c r="CH111" s="81">
        <f t="shared" si="76"/>
        <v>0</v>
      </c>
      <c r="CI111" s="81">
        <f t="shared" si="77"/>
        <v>0</v>
      </c>
      <c r="CJ111" s="81" t="s">
        <v>18</v>
      </c>
      <c r="CK111" s="81">
        <f t="shared" si="78"/>
        <v>0</v>
      </c>
      <c r="CL111" s="81">
        <f t="shared" si="79"/>
        <v>0</v>
      </c>
      <c r="CM111" s="81" t="s">
        <v>4</v>
      </c>
      <c r="CN111" s="81">
        <f t="shared" si="80"/>
        <v>0</v>
      </c>
      <c r="CO111" s="81">
        <f t="shared" si="81"/>
        <v>0</v>
      </c>
      <c r="CP111" s="81" t="s">
        <v>22</v>
      </c>
      <c r="CQ111" s="81">
        <f t="shared" si="82"/>
        <v>0</v>
      </c>
      <c r="CR111" s="81">
        <f t="shared" si="83"/>
        <v>0</v>
      </c>
      <c r="CS111" s="81" t="s">
        <v>21</v>
      </c>
      <c r="CT111" s="81">
        <f t="shared" si="84"/>
        <v>0</v>
      </c>
      <c r="CU111" s="81">
        <f t="shared" si="85"/>
        <v>0</v>
      </c>
      <c r="CV111" s="81" t="s">
        <v>998</v>
      </c>
      <c r="CW111" s="81">
        <f t="shared" si="86"/>
        <v>0</v>
      </c>
      <c r="CX111" s="81">
        <f t="shared" si="87"/>
        <v>0</v>
      </c>
      <c r="CY111" s="81" t="s">
        <v>19</v>
      </c>
      <c r="CZ111" s="81">
        <f t="shared" si="88"/>
        <v>0</v>
      </c>
      <c r="DA111" s="81">
        <f t="shared" si="89"/>
        <v>0</v>
      </c>
      <c r="DB111" s="81" t="s">
        <v>20</v>
      </c>
      <c r="DC111" s="81">
        <f t="shared" si="90"/>
        <v>0</v>
      </c>
      <c r="DD111" s="81">
        <f t="shared" si="91"/>
        <v>0</v>
      </c>
      <c r="DE111" s="81" t="s">
        <v>23</v>
      </c>
      <c r="DF111" s="81">
        <f t="shared" si="92"/>
        <v>0</v>
      </c>
      <c r="DG111" s="81">
        <f t="shared" si="93"/>
        <v>0</v>
      </c>
      <c r="DH111" s="81" t="s">
        <v>15</v>
      </c>
      <c r="DI111" s="81">
        <f t="shared" si="94"/>
        <v>0</v>
      </c>
      <c r="DJ111" s="81">
        <f t="shared" si="95"/>
        <v>0</v>
      </c>
      <c r="DK111" s="81" t="s">
        <v>5333</v>
      </c>
      <c r="DL111" s="81">
        <f t="shared" si="96"/>
        <v>0</v>
      </c>
      <c r="DM111" s="81">
        <f t="shared" si="97"/>
        <v>0</v>
      </c>
      <c r="DN111" s="81" t="s">
        <v>7</v>
      </c>
      <c r="DO111" s="81">
        <f t="shared" si="98"/>
        <v>0</v>
      </c>
      <c r="DP111" s="81">
        <f t="shared" si="99"/>
        <v>0</v>
      </c>
      <c r="DQ111" s="81" t="s">
        <v>1</v>
      </c>
      <c r="DR111" s="81">
        <f t="shared" si="100"/>
        <v>0</v>
      </c>
      <c r="DS111" s="81">
        <f t="shared" si="101"/>
        <v>0</v>
      </c>
    </row>
    <row r="112" spans="14:123" x14ac:dyDescent="0.3">
      <c r="N112" s="81">
        <f>IF(Q113=0,IF(Q112=0,,"x"),)</f>
        <v>0</v>
      </c>
      <c r="O112" s="81">
        <f t="shared" si="102"/>
        <v>0</v>
      </c>
      <c r="P112" s="81">
        <f t="shared" si="66"/>
        <v>0</v>
      </c>
      <c r="Q112" s="81">
        <f t="shared" si="103"/>
        <v>0</v>
      </c>
      <c r="R112" s="81">
        <f>IF(W112="",,SUM($W$4:W112))</f>
        <v>0</v>
      </c>
      <c r="S112" s="81">
        <f t="shared" si="67"/>
        <v>0</v>
      </c>
      <c r="T112" s="81">
        <f t="shared" si="104"/>
        <v>0</v>
      </c>
      <c r="U112" s="81">
        <f t="shared" si="68"/>
        <v>0</v>
      </c>
      <c r="V112" s="81" t="str">
        <f t="shared" ca="1" si="69"/>
        <v/>
      </c>
      <c r="X112" s="81">
        <f t="shared" si="107"/>
        <v>0</v>
      </c>
      <c r="Y112" s="81">
        <f t="shared" si="108"/>
        <v>0</v>
      </c>
      <c r="AE112" s="81">
        <v>112</v>
      </c>
      <c r="AI112" s="81">
        <v>109</v>
      </c>
      <c r="AJ112" s="81" t="str">
        <f t="shared" si="57"/>
        <v>September 27</v>
      </c>
      <c r="AK112" s="81" t="str">
        <f t="shared" si="106"/>
        <v>September</v>
      </c>
      <c r="AL112" s="81">
        <f t="shared" si="105"/>
        <v>27</v>
      </c>
      <c r="AM112" s="81" t="str">
        <f t="shared" si="70"/>
        <v>='September 27'!</v>
      </c>
      <c r="AN112" s="81" t="str">
        <f t="shared" si="63"/>
        <v>='September 27'!C27</v>
      </c>
      <c r="AO112" s="81" t="s">
        <v>1112</v>
      </c>
      <c r="AR112" s="81" t="s">
        <v>172</v>
      </c>
      <c r="AS112" s="83" t="str">
        <f t="shared" si="58"/>
        <v>='September 27'!C6</v>
      </c>
      <c r="AT112" s="83">
        <f t="shared" si="59"/>
        <v>0</v>
      </c>
      <c r="AV112" s="81" t="s">
        <v>473</v>
      </c>
      <c r="AW112" s="81" t="s">
        <v>2506</v>
      </c>
      <c r="AX112" s="81" t="s">
        <v>2507</v>
      </c>
      <c r="AY112" s="81" t="s">
        <v>2508</v>
      </c>
      <c r="AZ112" s="81" t="s">
        <v>2509</v>
      </c>
      <c r="BA112" s="81" t="s">
        <v>2510</v>
      </c>
      <c r="BB112" s="81" t="s">
        <v>2511</v>
      </c>
      <c r="BC112" s="81" t="s">
        <v>2512</v>
      </c>
      <c r="BD112" s="81" t="s">
        <v>2513</v>
      </c>
      <c r="BE112" s="81" t="s">
        <v>2514</v>
      </c>
      <c r="BF112" s="81" t="s">
        <v>2515</v>
      </c>
      <c r="BG112" s="81" t="s">
        <v>2516</v>
      </c>
      <c r="BH112" s="81" t="s">
        <v>4729</v>
      </c>
      <c r="BI112" s="81" t="s">
        <v>5033</v>
      </c>
      <c r="BJ112" s="81" t="s">
        <v>172</v>
      </c>
      <c r="BL112" s="81" t="s">
        <v>776</v>
      </c>
      <c r="BM112" s="81">
        <v>109</v>
      </c>
      <c r="BN112" s="81" t="str">
        <f t="shared" si="60"/>
        <v>='September 27'!C12</v>
      </c>
      <c r="BP112" s="81" t="str">
        <f t="shared" ca="1" si="71"/>
        <v/>
      </c>
      <c r="BR112" s="84">
        <f t="shared" si="64"/>
        <v>0</v>
      </c>
      <c r="BS112" s="84">
        <f t="shared" si="65"/>
        <v>0</v>
      </c>
      <c r="CA112" s="81" t="s">
        <v>2</v>
      </c>
      <c r="CB112" s="81">
        <f t="shared" si="72"/>
        <v>0</v>
      </c>
      <c r="CC112" s="81">
        <f t="shared" si="73"/>
        <v>0</v>
      </c>
      <c r="CD112" s="81" t="s">
        <v>16</v>
      </c>
      <c r="CE112" s="81">
        <f t="shared" si="74"/>
        <v>0</v>
      </c>
      <c r="CF112" s="81">
        <f t="shared" si="75"/>
        <v>0</v>
      </c>
      <c r="CG112" s="81" t="s">
        <v>5</v>
      </c>
      <c r="CH112" s="81">
        <f t="shared" si="76"/>
        <v>0</v>
      </c>
      <c r="CI112" s="81">
        <f t="shared" si="77"/>
        <v>0</v>
      </c>
      <c r="CJ112" s="81" t="s">
        <v>18</v>
      </c>
      <c r="CK112" s="81">
        <f t="shared" si="78"/>
        <v>0</v>
      </c>
      <c r="CL112" s="81">
        <f t="shared" si="79"/>
        <v>0</v>
      </c>
      <c r="CM112" s="81" t="s">
        <v>4</v>
      </c>
      <c r="CN112" s="81">
        <f t="shared" si="80"/>
        <v>0</v>
      </c>
      <c r="CO112" s="81">
        <f t="shared" si="81"/>
        <v>0</v>
      </c>
      <c r="CP112" s="81" t="s">
        <v>22</v>
      </c>
      <c r="CQ112" s="81">
        <f t="shared" si="82"/>
        <v>0</v>
      </c>
      <c r="CR112" s="81">
        <f t="shared" si="83"/>
        <v>0</v>
      </c>
      <c r="CS112" s="81" t="s">
        <v>21</v>
      </c>
      <c r="CT112" s="81">
        <f t="shared" si="84"/>
        <v>0</v>
      </c>
      <c r="CU112" s="81">
        <f t="shared" si="85"/>
        <v>0</v>
      </c>
      <c r="CV112" s="81" t="s">
        <v>998</v>
      </c>
      <c r="CW112" s="81">
        <f t="shared" si="86"/>
        <v>0</v>
      </c>
      <c r="CX112" s="81">
        <f t="shared" si="87"/>
        <v>0</v>
      </c>
      <c r="CY112" s="81" t="s">
        <v>19</v>
      </c>
      <c r="CZ112" s="81">
        <f t="shared" si="88"/>
        <v>0</v>
      </c>
      <c r="DA112" s="81">
        <f t="shared" si="89"/>
        <v>0</v>
      </c>
      <c r="DB112" s="81" t="s">
        <v>20</v>
      </c>
      <c r="DC112" s="81">
        <f t="shared" si="90"/>
        <v>0</v>
      </c>
      <c r="DD112" s="81">
        <f t="shared" si="91"/>
        <v>0</v>
      </c>
      <c r="DE112" s="81" t="s">
        <v>23</v>
      </c>
      <c r="DF112" s="81">
        <f t="shared" si="92"/>
        <v>0</v>
      </c>
      <c r="DG112" s="81">
        <f t="shared" si="93"/>
        <v>0</v>
      </c>
      <c r="DH112" s="81" t="s">
        <v>15</v>
      </c>
      <c r="DI112" s="81">
        <f t="shared" si="94"/>
        <v>0</v>
      </c>
      <c r="DJ112" s="81">
        <f t="shared" si="95"/>
        <v>0</v>
      </c>
      <c r="DK112" s="81" t="s">
        <v>5334</v>
      </c>
      <c r="DL112" s="81">
        <f t="shared" si="96"/>
        <v>0</v>
      </c>
      <c r="DM112" s="81">
        <f t="shared" si="97"/>
        <v>0</v>
      </c>
      <c r="DN112" s="81" t="s">
        <v>7</v>
      </c>
      <c r="DO112" s="81">
        <f t="shared" si="98"/>
        <v>0</v>
      </c>
      <c r="DP112" s="81">
        <f t="shared" si="99"/>
        <v>0</v>
      </c>
      <c r="DQ112" s="81" t="s">
        <v>1</v>
      </c>
      <c r="DR112" s="81">
        <f t="shared" si="100"/>
        <v>0</v>
      </c>
      <c r="DS112" s="81">
        <f t="shared" si="101"/>
        <v>0</v>
      </c>
    </row>
    <row r="113" spans="14:123" x14ac:dyDescent="0.3">
      <c r="N113" s="81">
        <f>IF(Q114=0,IF(Q113=0,,"x"),)</f>
        <v>0</v>
      </c>
      <c r="O113" s="81">
        <f t="shared" si="102"/>
        <v>0</v>
      </c>
      <c r="P113" s="81">
        <f t="shared" si="66"/>
        <v>0</v>
      </c>
      <c r="Q113" s="81">
        <f t="shared" si="103"/>
        <v>0</v>
      </c>
      <c r="R113" s="81">
        <f>IF(W113="",,SUM($W$4:W113))</f>
        <v>0</v>
      </c>
      <c r="S113" s="81">
        <f t="shared" si="67"/>
        <v>0</v>
      </c>
      <c r="T113" s="81">
        <f t="shared" si="104"/>
        <v>0</v>
      </c>
      <c r="U113" s="81">
        <f t="shared" si="68"/>
        <v>0</v>
      </c>
      <c r="V113" s="81" t="str">
        <f t="shared" ca="1" si="69"/>
        <v/>
      </c>
      <c r="X113" s="81">
        <f t="shared" si="107"/>
        <v>0</v>
      </c>
      <c r="Y113" s="81">
        <f t="shared" si="108"/>
        <v>0</v>
      </c>
      <c r="AE113" s="81">
        <v>113</v>
      </c>
      <c r="AI113" s="81">
        <v>110</v>
      </c>
      <c r="AJ113" s="81" t="str">
        <f t="shared" si="57"/>
        <v>Oktober 27</v>
      </c>
      <c r="AK113" s="81" t="str">
        <f t="shared" si="106"/>
        <v>Oktober</v>
      </c>
      <c r="AL113" s="81">
        <f t="shared" si="105"/>
        <v>27</v>
      </c>
      <c r="AM113" s="81" t="str">
        <f t="shared" si="70"/>
        <v>='Oktober 27'!</v>
      </c>
      <c r="AN113" s="81" t="str">
        <f t="shared" si="63"/>
        <v>='Oktober 27'!C27</v>
      </c>
      <c r="AO113" s="81" t="s">
        <v>1113</v>
      </c>
      <c r="AR113" s="81" t="s">
        <v>173</v>
      </c>
      <c r="AS113" s="83" t="str">
        <f t="shared" si="58"/>
        <v>='Oktober 27'!C6</v>
      </c>
      <c r="AT113" s="83">
        <f t="shared" si="59"/>
        <v>0</v>
      </c>
      <c r="AV113" s="81" t="s">
        <v>474</v>
      </c>
      <c r="AW113" s="81" t="s">
        <v>2517</v>
      </c>
      <c r="AX113" s="81" t="s">
        <v>2518</v>
      </c>
      <c r="AY113" s="81" t="s">
        <v>2519</v>
      </c>
      <c r="AZ113" s="81" t="s">
        <v>2520</v>
      </c>
      <c r="BA113" s="81" t="s">
        <v>2521</v>
      </c>
      <c r="BB113" s="81" t="s">
        <v>2522</v>
      </c>
      <c r="BC113" s="81" t="s">
        <v>2523</v>
      </c>
      <c r="BD113" s="81" t="s">
        <v>2524</v>
      </c>
      <c r="BE113" s="81" t="s">
        <v>2525</v>
      </c>
      <c r="BF113" s="81" t="s">
        <v>2526</v>
      </c>
      <c r="BG113" s="81" t="s">
        <v>2527</v>
      </c>
      <c r="BH113" s="81" t="s">
        <v>4730</v>
      </c>
      <c r="BI113" s="81" t="s">
        <v>5034</v>
      </c>
      <c r="BJ113" s="81" t="s">
        <v>173</v>
      </c>
      <c r="BL113" s="81" t="s">
        <v>777</v>
      </c>
      <c r="BM113" s="81">
        <v>110</v>
      </c>
      <c r="BN113" s="81" t="str">
        <f t="shared" si="60"/>
        <v>='Oktober 27'!C12</v>
      </c>
      <c r="BP113" s="81" t="str">
        <f t="shared" ca="1" si="71"/>
        <v/>
      </c>
      <c r="BR113" s="84">
        <f t="shared" si="64"/>
        <v>0</v>
      </c>
      <c r="BS113" s="84">
        <f t="shared" si="65"/>
        <v>0</v>
      </c>
      <c r="CA113" s="81" t="s">
        <v>2</v>
      </c>
      <c r="CB113" s="81">
        <f t="shared" si="72"/>
        <v>0</v>
      </c>
      <c r="CC113" s="81">
        <f t="shared" si="73"/>
        <v>0</v>
      </c>
      <c r="CD113" s="81" t="s">
        <v>16</v>
      </c>
      <c r="CE113" s="81">
        <f t="shared" si="74"/>
        <v>0</v>
      </c>
      <c r="CF113" s="81">
        <f t="shared" si="75"/>
        <v>0</v>
      </c>
      <c r="CG113" s="81" t="s">
        <v>5</v>
      </c>
      <c r="CH113" s="81">
        <f t="shared" si="76"/>
        <v>0</v>
      </c>
      <c r="CI113" s="81">
        <f t="shared" si="77"/>
        <v>0</v>
      </c>
      <c r="CJ113" s="81" t="s">
        <v>18</v>
      </c>
      <c r="CK113" s="81">
        <f t="shared" si="78"/>
        <v>0</v>
      </c>
      <c r="CL113" s="81">
        <f t="shared" si="79"/>
        <v>0</v>
      </c>
      <c r="CM113" s="81" t="s">
        <v>4</v>
      </c>
      <c r="CN113" s="81">
        <f t="shared" si="80"/>
        <v>0</v>
      </c>
      <c r="CO113" s="81">
        <f t="shared" si="81"/>
        <v>0</v>
      </c>
      <c r="CP113" s="81" t="s">
        <v>22</v>
      </c>
      <c r="CQ113" s="81">
        <f t="shared" si="82"/>
        <v>0</v>
      </c>
      <c r="CR113" s="81">
        <f t="shared" si="83"/>
        <v>0</v>
      </c>
      <c r="CS113" s="81" t="s">
        <v>21</v>
      </c>
      <c r="CT113" s="81">
        <f t="shared" si="84"/>
        <v>0</v>
      </c>
      <c r="CU113" s="81">
        <f t="shared" si="85"/>
        <v>0</v>
      </c>
      <c r="CV113" s="81" t="s">
        <v>998</v>
      </c>
      <c r="CW113" s="81">
        <f t="shared" si="86"/>
        <v>0</v>
      </c>
      <c r="CX113" s="81">
        <f t="shared" si="87"/>
        <v>0</v>
      </c>
      <c r="CY113" s="81" t="s">
        <v>19</v>
      </c>
      <c r="CZ113" s="81">
        <f t="shared" si="88"/>
        <v>0</v>
      </c>
      <c r="DA113" s="81">
        <f t="shared" si="89"/>
        <v>0</v>
      </c>
      <c r="DB113" s="81" t="s">
        <v>20</v>
      </c>
      <c r="DC113" s="81">
        <f t="shared" si="90"/>
        <v>0</v>
      </c>
      <c r="DD113" s="81">
        <f t="shared" si="91"/>
        <v>0</v>
      </c>
      <c r="DE113" s="81" t="s">
        <v>23</v>
      </c>
      <c r="DF113" s="81">
        <f t="shared" si="92"/>
        <v>0</v>
      </c>
      <c r="DG113" s="81">
        <f t="shared" si="93"/>
        <v>0</v>
      </c>
      <c r="DH113" s="81" t="s">
        <v>15</v>
      </c>
      <c r="DI113" s="81">
        <f t="shared" si="94"/>
        <v>0</v>
      </c>
      <c r="DJ113" s="81">
        <f t="shared" si="95"/>
        <v>0</v>
      </c>
      <c r="DK113" s="81" t="s">
        <v>5335</v>
      </c>
      <c r="DL113" s="81">
        <f t="shared" si="96"/>
        <v>0</v>
      </c>
      <c r="DM113" s="81">
        <f t="shared" si="97"/>
        <v>0</v>
      </c>
      <c r="DN113" s="81" t="s">
        <v>7</v>
      </c>
      <c r="DO113" s="81">
        <f t="shared" si="98"/>
        <v>0</v>
      </c>
      <c r="DP113" s="81">
        <f t="shared" si="99"/>
        <v>0</v>
      </c>
      <c r="DQ113" s="81" t="s">
        <v>1</v>
      </c>
      <c r="DR113" s="81">
        <f t="shared" si="100"/>
        <v>0</v>
      </c>
      <c r="DS113" s="81">
        <f t="shared" si="101"/>
        <v>0</v>
      </c>
    </row>
    <row r="114" spans="14:123" x14ac:dyDescent="0.3">
      <c r="N114" s="81">
        <f>IF(Q115=0,IF(Q114=0,,"x"),)</f>
        <v>0</v>
      </c>
      <c r="O114" s="81">
        <f t="shared" si="102"/>
        <v>0</v>
      </c>
      <c r="P114" s="81">
        <f t="shared" si="66"/>
        <v>0</v>
      </c>
      <c r="Q114" s="81">
        <f t="shared" si="103"/>
        <v>0</v>
      </c>
      <c r="R114" s="81">
        <f>IF(W114="",,SUM($W$4:W114))</f>
        <v>0</v>
      </c>
      <c r="S114" s="81">
        <f t="shared" si="67"/>
        <v>0</v>
      </c>
      <c r="T114" s="81">
        <f t="shared" si="104"/>
        <v>0</v>
      </c>
      <c r="U114" s="81">
        <f t="shared" si="68"/>
        <v>0</v>
      </c>
      <c r="V114" s="81" t="str">
        <f t="shared" ca="1" si="69"/>
        <v/>
      </c>
      <c r="X114" s="81">
        <f t="shared" si="107"/>
        <v>0</v>
      </c>
      <c r="Y114" s="81">
        <f t="shared" si="108"/>
        <v>0</v>
      </c>
      <c r="AE114" s="81">
        <v>114</v>
      </c>
      <c r="AI114" s="81">
        <v>111</v>
      </c>
      <c r="AJ114" s="81" t="str">
        <f t="shared" si="57"/>
        <v>November 27</v>
      </c>
      <c r="AK114" s="81" t="str">
        <f t="shared" si="106"/>
        <v>November</v>
      </c>
      <c r="AL114" s="81">
        <f t="shared" si="105"/>
        <v>27</v>
      </c>
      <c r="AM114" s="81" t="str">
        <f t="shared" si="70"/>
        <v>='November 27'!</v>
      </c>
      <c r="AN114" s="81" t="str">
        <f t="shared" si="63"/>
        <v>='November 27'!C27</v>
      </c>
      <c r="AO114" s="81" t="s">
        <v>1114</v>
      </c>
      <c r="AR114" s="81" t="s">
        <v>174</v>
      </c>
      <c r="AS114" s="83" t="str">
        <f t="shared" si="58"/>
        <v>='November 27'!C6</v>
      </c>
      <c r="AT114" s="83">
        <f t="shared" si="59"/>
        <v>0</v>
      </c>
      <c r="AV114" s="81" t="s">
        <v>475</v>
      </c>
      <c r="AW114" s="81" t="s">
        <v>2528</v>
      </c>
      <c r="AX114" s="81" t="s">
        <v>2529</v>
      </c>
      <c r="AY114" s="81" t="s">
        <v>2530</v>
      </c>
      <c r="AZ114" s="81" t="s">
        <v>2531</v>
      </c>
      <c r="BA114" s="81" t="s">
        <v>2532</v>
      </c>
      <c r="BB114" s="81" t="s">
        <v>2533</v>
      </c>
      <c r="BC114" s="81" t="s">
        <v>2534</v>
      </c>
      <c r="BD114" s="81" t="s">
        <v>2535</v>
      </c>
      <c r="BE114" s="81" t="s">
        <v>2536</v>
      </c>
      <c r="BF114" s="81" t="s">
        <v>2537</v>
      </c>
      <c r="BG114" s="81" t="s">
        <v>2538</v>
      </c>
      <c r="BH114" s="81" t="s">
        <v>4731</v>
      </c>
      <c r="BI114" s="81" t="s">
        <v>5035</v>
      </c>
      <c r="BJ114" s="81" t="s">
        <v>174</v>
      </c>
      <c r="BL114" s="81" t="s">
        <v>778</v>
      </c>
      <c r="BM114" s="81">
        <v>111</v>
      </c>
      <c r="BN114" s="81" t="str">
        <f t="shared" si="60"/>
        <v>='November 27'!C12</v>
      </c>
      <c r="BP114" s="81" t="str">
        <f t="shared" ca="1" si="71"/>
        <v/>
      </c>
      <c r="BR114" s="84">
        <f t="shared" si="64"/>
        <v>0</v>
      </c>
      <c r="BS114" s="84">
        <f t="shared" si="65"/>
        <v>0</v>
      </c>
      <c r="CA114" s="81" t="s">
        <v>2</v>
      </c>
      <c r="CB114" s="81">
        <f t="shared" si="72"/>
        <v>0</v>
      </c>
      <c r="CC114" s="81">
        <f t="shared" si="73"/>
        <v>0</v>
      </c>
      <c r="CD114" s="81" t="s">
        <v>16</v>
      </c>
      <c r="CE114" s="81">
        <f t="shared" si="74"/>
        <v>0</v>
      </c>
      <c r="CF114" s="81">
        <f t="shared" si="75"/>
        <v>0</v>
      </c>
      <c r="CG114" s="81" t="s">
        <v>5</v>
      </c>
      <c r="CH114" s="81">
        <f t="shared" si="76"/>
        <v>0</v>
      </c>
      <c r="CI114" s="81">
        <f t="shared" si="77"/>
        <v>0</v>
      </c>
      <c r="CJ114" s="81" t="s">
        <v>18</v>
      </c>
      <c r="CK114" s="81">
        <f t="shared" si="78"/>
        <v>0</v>
      </c>
      <c r="CL114" s="81">
        <f t="shared" si="79"/>
        <v>0</v>
      </c>
      <c r="CM114" s="81" t="s">
        <v>4</v>
      </c>
      <c r="CN114" s="81">
        <f t="shared" si="80"/>
        <v>0</v>
      </c>
      <c r="CO114" s="81">
        <f t="shared" si="81"/>
        <v>0</v>
      </c>
      <c r="CP114" s="81" t="s">
        <v>22</v>
      </c>
      <c r="CQ114" s="81">
        <f t="shared" si="82"/>
        <v>0</v>
      </c>
      <c r="CR114" s="81">
        <f t="shared" si="83"/>
        <v>0</v>
      </c>
      <c r="CS114" s="81" t="s">
        <v>21</v>
      </c>
      <c r="CT114" s="81">
        <f t="shared" si="84"/>
        <v>0</v>
      </c>
      <c r="CU114" s="81">
        <f t="shared" si="85"/>
        <v>0</v>
      </c>
      <c r="CV114" s="81" t="s">
        <v>998</v>
      </c>
      <c r="CW114" s="81">
        <f t="shared" si="86"/>
        <v>0</v>
      </c>
      <c r="CX114" s="81">
        <f t="shared" si="87"/>
        <v>0</v>
      </c>
      <c r="CY114" s="81" t="s">
        <v>19</v>
      </c>
      <c r="CZ114" s="81">
        <f t="shared" si="88"/>
        <v>0</v>
      </c>
      <c r="DA114" s="81">
        <f t="shared" si="89"/>
        <v>0</v>
      </c>
      <c r="DB114" s="81" t="s">
        <v>20</v>
      </c>
      <c r="DC114" s="81">
        <f t="shared" si="90"/>
        <v>0</v>
      </c>
      <c r="DD114" s="81">
        <f t="shared" si="91"/>
        <v>0</v>
      </c>
      <c r="DE114" s="81" t="s">
        <v>23</v>
      </c>
      <c r="DF114" s="81">
        <f t="shared" si="92"/>
        <v>0</v>
      </c>
      <c r="DG114" s="81">
        <f t="shared" si="93"/>
        <v>0</v>
      </c>
      <c r="DH114" s="81" t="s">
        <v>15</v>
      </c>
      <c r="DI114" s="81">
        <f t="shared" si="94"/>
        <v>0</v>
      </c>
      <c r="DJ114" s="81">
        <f t="shared" si="95"/>
        <v>0</v>
      </c>
      <c r="DK114" s="81" t="s">
        <v>5336</v>
      </c>
      <c r="DL114" s="81">
        <f t="shared" si="96"/>
        <v>0</v>
      </c>
      <c r="DM114" s="81">
        <f t="shared" si="97"/>
        <v>0</v>
      </c>
      <c r="DN114" s="81" t="s">
        <v>7</v>
      </c>
      <c r="DO114" s="81">
        <f t="shared" si="98"/>
        <v>0</v>
      </c>
      <c r="DP114" s="81">
        <f t="shared" si="99"/>
        <v>0</v>
      </c>
      <c r="DQ114" s="81" t="s">
        <v>1</v>
      </c>
      <c r="DR114" s="81">
        <f t="shared" si="100"/>
        <v>0</v>
      </c>
      <c r="DS114" s="81">
        <f t="shared" si="101"/>
        <v>0</v>
      </c>
    </row>
    <row r="115" spans="14:123" x14ac:dyDescent="0.3">
      <c r="N115" s="81">
        <f>IF(Q116=0,IF(Q115=0,,"x"),)</f>
        <v>0</v>
      </c>
      <c r="O115" s="81">
        <f t="shared" si="102"/>
        <v>0</v>
      </c>
      <c r="P115" s="81">
        <f t="shared" si="66"/>
        <v>0</v>
      </c>
      <c r="Q115" s="81">
        <f t="shared" si="103"/>
        <v>0</v>
      </c>
      <c r="R115" s="81">
        <f>IF(W115="",,SUM($W$4:W115))</f>
        <v>0</v>
      </c>
      <c r="S115" s="81">
        <f t="shared" si="67"/>
        <v>0</v>
      </c>
      <c r="T115" s="81">
        <f t="shared" si="104"/>
        <v>0</v>
      </c>
      <c r="U115" s="81">
        <f t="shared" si="68"/>
        <v>0</v>
      </c>
      <c r="V115" s="81" t="str">
        <f t="shared" ca="1" si="69"/>
        <v/>
      </c>
      <c r="X115" s="81">
        <f t="shared" si="107"/>
        <v>0</v>
      </c>
      <c r="Y115" s="81">
        <f t="shared" si="108"/>
        <v>0</v>
      </c>
      <c r="AE115" s="81">
        <v>115</v>
      </c>
      <c r="AI115" s="81">
        <v>112</v>
      </c>
      <c r="AJ115" s="81" t="str">
        <f t="shared" si="57"/>
        <v>December 27</v>
      </c>
      <c r="AK115" s="81" t="str">
        <f t="shared" si="106"/>
        <v>December</v>
      </c>
      <c r="AL115" s="81">
        <f t="shared" si="105"/>
        <v>27</v>
      </c>
      <c r="AM115" s="81" t="str">
        <f t="shared" si="70"/>
        <v>='December 27'!</v>
      </c>
      <c r="AN115" s="81" t="str">
        <f t="shared" si="63"/>
        <v>='December 27'!C27</v>
      </c>
      <c r="AO115" s="81" t="s">
        <v>1115</v>
      </c>
      <c r="AR115" s="81" t="s">
        <v>175</v>
      </c>
      <c r="AS115" s="83" t="str">
        <f t="shared" si="58"/>
        <v>='December 27'!C6</v>
      </c>
      <c r="AT115" s="83">
        <f t="shared" si="59"/>
        <v>0</v>
      </c>
      <c r="AV115" s="81" t="s">
        <v>476</v>
      </c>
      <c r="AW115" s="81" t="s">
        <v>2539</v>
      </c>
      <c r="AX115" s="81" t="s">
        <v>2540</v>
      </c>
      <c r="AY115" s="81" t="s">
        <v>2541</v>
      </c>
      <c r="AZ115" s="81" t="s">
        <v>2542</v>
      </c>
      <c r="BA115" s="81" t="s">
        <v>2543</v>
      </c>
      <c r="BB115" s="81" t="s">
        <v>2544</v>
      </c>
      <c r="BC115" s="81" t="s">
        <v>2545</v>
      </c>
      <c r="BD115" s="81" t="s">
        <v>2546</v>
      </c>
      <c r="BE115" s="81" t="s">
        <v>2547</v>
      </c>
      <c r="BF115" s="81" t="s">
        <v>2548</v>
      </c>
      <c r="BG115" s="81" t="s">
        <v>2549</v>
      </c>
      <c r="BH115" s="81" t="s">
        <v>4732</v>
      </c>
      <c r="BI115" s="81" t="s">
        <v>5036</v>
      </c>
      <c r="BJ115" s="81" t="s">
        <v>175</v>
      </c>
      <c r="BL115" s="81" t="s">
        <v>779</v>
      </c>
      <c r="BM115" s="81">
        <v>112</v>
      </c>
      <c r="BN115" s="81" t="str">
        <f t="shared" si="60"/>
        <v>='December 27'!C12</v>
      </c>
      <c r="BP115" s="81" t="str">
        <f t="shared" ca="1" si="71"/>
        <v/>
      </c>
      <c r="BR115" s="84">
        <f t="shared" si="64"/>
        <v>0</v>
      </c>
      <c r="BS115" s="84">
        <f t="shared" si="65"/>
        <v>0</v>
      </c>
      <c r="CA115" s="81" t="s">
        <v>2</v>
      </c>
      <c r="CB115" s="81">
        <f t="shared" si="72"/>
        <v>0</v>
      </c>
      <c r="CC115" s="81">
        <f t="shared" si="73"/>
        <v>0</v>
      </c>
      <c r="CD115" s="81" t="s">
        <v>16</v>
      </c>
      <c r="CE115" s="81">
        <f t="shared" si="74"/>
        <v>0</v>
      </c>
      <c r="CF115" s="81">
        <f t="shared" si="75"/>
        <v>0</v>
      </c>
      <c r="CG115" s="81" t="s">
        <v>5</v>
      </c>
      <c r="CH115" s="81">
        <f t="shared" si="76"/>
        <v>0</v>
      </c>
      <c r="CI115" s="81">
        <f t="shared" si="77"/>
        <v>0</v>
      </c>
      <c r="CJ115" s="81" t="s">
        <v>18</v>
      </c>
      <c r="CK115" s="81">
        <f t="shared" si="78"/>
        <v>0</v>
      </c>
      <c r="CL115" s="81">
        <f t="shared" si="79"/>
        <v>0</v>
      </c>
      <c r="CM115" s="81" t="s">
        <v>4</v>
      </c>
      <c r="CN115" s="81">
        <f t="shared" si="80"/>
        <v>0</v>
      </c>
      <c r="CO115" s="81">
        <f t="shared" si="81"/>
        <v>0</v>
      </c>
      <c r="CP115" s="81" t="s">
        <v>22</v>
      </c>
      <c r="CQ115" s="81">
        <f t="shared" si="82"/>
        <v>0</v>
      </c>
      <c r="CR115" s="81">
        <f t="shared" si="83"/>
        <v>0</v>
      </c>
      <c r="CS115" s="81" t="s">
        <v>21</v>
      </c>
      <c r="CT115" s="81">
        <f t="shared" si="84"/>
        <v>0</v>
      </c>
      <c r="CU115" s="81">
        <f t="shared" si="85"/>
        <v>0</v>
      </c>
      <c r="CV115" s="81" t="s">
        <v>998</v>
      </c>
      <c r="CW115" s="81">
        <f t="shared" si="86"/>
        <v>0</v>
      </c>
      <c r="CX115" s="81">
        <f t="shared" si="87"/>
        <v>0</v>
      </c>
      <c r="CY115" s="81" t="s">
        <v>19</v>
      </c>
      <c r="CZ115" s="81">
        <f t="shared" si="88"/>
        <v>0</v>
      </c>
      <c r="DA115" s="81">
        <f t="shared" si="89"/>
        <v>0</v>
      </c>
      <c r="DB115" s="81" t="s">
        <v>20</v>
      </c>
      <c r="DC115" s="81">
        <f t="shared" si="90"/>
        <v>0</v>
      </c>
      <c r="DD115" s="81">
        <f t="shared" si="91"/>
        <v>0</v>
      </c>
      <c r="DE115" s="81" t="s">
        <v>23</v>
      </c>
      <c r="DF115" s="81">
        <f t="shared" si="92"/>
        <v>0</v>
      </c>
      <c r="DG115" s="81">
        <f t="shared" si="93"/>
        <v>0</v>
      </c>
      <c r="DH115" s="81" t="s">
        <v>15</v>
      </c>
      <c r="DI115" s="81">
        <f t="shared" si="94"/>
        <v>0</v>
      </c>
      <c r="DJ115" s="81">
        <f t="shared" si="95"/>
        <v>0</v>
      </c>
      <c r="DK115" s="81" t="s">
        <v>5337</v>
      </c>
      <c r="DL115" s="81">
        <f t="shared" si="96"/>
        <v>0</v>
      </c>
      <c r="DM115" s="81">
        <f t="shared" si="97"/>
        <v>0</v>
      </c>
      <c r="DN115" s="81" t="s">
        <v>7</v>
      </c>
      <c r="DO115" s="81">
        <f t="shared" si="98"/>
        <v>0</v>
      </c>
      <c r="DP115" s="81">
        <f t="shared" si="99"/>
        <v>0</v>
      </c>
      <c r="DQ115" s="81" t="s">
        <v>1</v>
      </c>
      <c r="DR115" s="81">
        <f t="shared" si="100"/>
        <v>0</v>
      </c>
      <c r="DS115" s="81">
        <f t="shared" si="101"/>
        <v>0</v>
      </c>
    </row>
    <row r="116" spans="14:123" x14ac:dyDescent="0.3">
      <c r="N116" s="81">
        <f>IF(Q117=0,IF(Q116=0,,"x"),)</f>
        <v>0</v>
      </c>
      <c r="O116" s="81">
        <f t="shared" si="102"/>
        <v>0</v>
      </c>
      <c r="P116" s="81">
        <f t="shared" si="66"/>
        <v>0</v>
      </c>
      <c r="Q116" s="81">
        <f t="shared" si="103"/>
        <v>0</v>
      </c>
      <c r="R116" s="81">
        <f>IF(W116="",,SUM($W$4:W116))</f>
        <v>0</v>
      </c>
      <c r="S116" s="81">
        <f t="shared" si="67"/>
        <v>0</v>
      </c>
      <c r="T116" s="81">
        <f t="shared" si="104"/>
        <v>0</v>
      </c>
      <c r="U116" s="81">
        <f t="shared" si="68"/>
        <v>0</v>
      </c>
      <c r="V116" s="81" t="str">
        <f t="shared" ca="1" si="69"/>
        <v/>
      </c>
      <c r="X116" s="81">
        <f t="shared" si="107"/>
        <v>0</v>
      </c>
      <c r="Y116" s="81">
        <f t="shared" si="108"/>
        <v>0</v>
      </c>
      <c r="AE116" s="81">
        <v>116</v>
      </c>
      <c r="AI116" s="81">
        <v>113</v>
      </c>
      <c r="AJ116" s="81" t="str">
        <f t="shared" si="57"/>
        <v>Januari 28</v>
      </c>
      <c r="AK116" s="81" t="str">
        <f t="shared" si="106"/>
        <v>Januari</v>
      </c>
      <c r="AL116" s="81">
        <f t="shared" si="105"/>
        <v>28</v>
      </c>
      <c r="AM116" s="81" t="str">
        <f t="shared" si="70"/>
        <v>='Januari 28'!</v>
      </c>
      <c r="AN116" s="81" t="str">
        <f t="shared" si="63"/>
        <v>='Januari 28'!C27</v>
      </c>
      <c r="AO116" s="81" t="s">
        <v>1116</v>
      </c>
      <c r="AR116" s="81" t="s">
        <v>176</v>
      </c>
      <c r="AS116" s="83" t="str">
        <f t="shared" si="58"/>
        <v>='Januari 28'!C6</v>
      </c>
      <c r="AT116" s="83">
        <f t="shared" si="59"/>
        <v>0</v>
      </c>
      <c r="AV116" s="81" t="s">
        <v>477</v>
      </c>
      <c r="AW116" s="81" t="s">
        <v>2550</v>
      </c>
      <c r="AX116" s="81" t="s">
        <v>2551</v>
      </c>
      <c r="AY116" s="81" t="s">
        <v>2552</v>
      </c>
      <c r="AZ116" s="81" t="s">
        <v>2553</v>
      </c>
      <c r="BA116" s="81" t="s">
        <v>2554</v>
      </c>
      <c r="BB116" s="81" t="s">
        <v>2555</v>
      </c>
      <c r="BC116" s="81" t="s">
        <v>2556</v>
      </c>
      <c r="BD116" s="81" t="s">
        <v>2557</v>
      </c>
      <c r="BE116" s="81" t="s">
        <v>2558</v>
      </c>
      <c r="BF116" s="81" t="s">
        <v>2559</v>
      </c>
      <c r="BG116" s="81" t="s">
        <v>2560</v>
      </c>
      <c r="BH116" s="81" t="s">
        <v>4733</v>
      </c>
      <c r="BI116" s="81" t="s">
        <v>5037</v>
      </c>
      <c r="BJ116" s="81" t="s">
        <v>176</v>
      </c>
      <c r="BL116" s="81" t="s">
        <v>780</v>
      </c>
      <c r="BM116" s="81">
        <v>113</v>
      </c>
      <c r="BN116" s="81" t="str">
        <f t="shared" si="60"/>
        <v>='Januari 28'!C12</v>
      </c>
      <c r="BP116" s="81" t="str">
        <f t="shared" ca="1" si="71"/>
        <v/>
      </c>
      <c r="BR116" s="84">
        <f t="shared" si="64"/>
        <v>0</v>
      </c>
      <c r="BS116" s="84">
        <f t="shared" si="65"/>
        <v>0</v>
      </c>
      <c r="CA116" s="81" t="s">
        <v>2</v>
      </c>
      <c r="CB116" s="81">
        <f t="shared" si="72"/>
        <v>0</v>
      </c>
      <c r="CC116" s="81">
        <f t="shared" si="73"/>
        <v>0</v>
      </c>
      <c r="CD116" s="81" t="s">
        <v>16</v>
      </c>
      <c r="CE116" s="81">
        <f t="shared" si="74"/>
        <v>0</v>
      </c>
      <c r="CF116" s="81">
        <f t="shared" si="75"/>
        <v>0</v>
      </c>
      <c r="CG116" s="81" t="s">
        <v>5</v>
      </c>
      <c r="CH116" s="81">
        <f t="shared" si="76"/>
        <v>0</v>
      </c>
      <c r="CI116" s="81">
        <f t="shared" si="77"/>
        <v>0</v>
      </c>
      <c r="CJ116" s="81" t="s">
        <v>18</v>
      </c>
      <c r="CK116" s="81">
        <f t="shared" si="78"/>
        <v>0</v>
      </c>
      <c r="CL116" s="81">
        <f t="shared" si="79"/>
        <v>0</v>
      </c>
      <c r="CM116" s="81" t="s">
        <v>4</v>
      </c>
      <c r="CN116" s="81">
        <f t="shared" si="80"/>
        <v>0</v>
      </c>
      <c r="CO116" s="81">
        <f t="shared" si="81"/>
        <v>0</v>
      </c>
      <c r="CP116" s="81" t="s">
        <v>22</v>
      </c>
      <c r="CQ116" s="81">
        <f t="shared" si="82"/>
        <v>0</v>
      </c>
      <c r="CR116" s="81">
        <f t="shared" si="83"/>
        <v>0</v>
      </c>
      <c r="CS116" s="81" t="s">
        <v>21</v>
      </c>
      <c r="CT116" s="81">
        <f t="shared" si="84"/>
        <v>0</v>
      </c>
      <c r="CU116" s="81">
        <f t="shared" si="85"/>
        <v>0</v>
      </c>
      <c r="CV116" s="81" t="s">
        <v>998</v>
      </c>
      <c r="CW116" s="81">
        <f t="shared" si="86"/>
        <v>0</v>
      </c>
      <c r="CX116" s="81">
        <f t="shared" si="87"/>
        <v>0</v>
      </c>
      <c r="CY116" s="81" t="s">
        <v>19</v>
      </c>
      <c r="CZ116" s="81">
        <f t="shared" si="88"/>
        <v>0</v>
      </c>
      <c r="DA116" s="81">
        <f t="shared" si="89"/>
        <v>0</v>
      </c>
      <c r="DB116" s="81" t="s">
        <v>20</v>
      </c>
      <c r="DC116" s="81">
        <f t="shared" si="90"/>
        <v>0</v>
      </c>
      <c r="DD116" s="81">
        <f t="shared" si="91"/>
        <v>0</v>
      </c>
      <c r="DE116" s="81" t="s">
        <v>23</v>
      </c>
      <c r="DF116" s="81">
        <f t="shared" si="92"/>
        <v>0</v>
      </c>
      <c r="DG116" s="81">
        <f t="shared" si="93"/>
        <v>0</v>
      </c>
      <c r="DH116" s="81" t="s">
        <v>15</v>
      </c>
      <c r="DI116" s="81">
        <f t="shared" si="94"/>
        <v>0</v>
      </c>
      <c r="DJ116" s="81">
        <f t="shared" si="95"/>
        <v>0</v>
      </c>
      <c r="DK116" s="81" t="s">
        <v>5338</v>
      </c>
      <c r="DL116" s="81">
        <f t="shared" si="96"/>
        <v>0</v>
      </c>
      <c r="DM116" s="81">
        <f t="shared" si="97"/>
        <v>0</v>
      </c>
      <c r="DN116" s="81" t="s">
        <v>7</v>
      </c>
      <c r="DO116" s="81">
        <f t="shared" si="98"/>
        <v>0</v>
      </c>
      <c r="DP116" s="81">
        <f t="shared" si="99"/>
        <v>0</v>
      </c>
      <c r="DQ116" s="81" t="s">
        <v>1</v>
      </c>
      <c r="DR116" s="81">
        <f t="shared" si="100"/>
        <v>0</v>
      </c>
      <c r="DS116" s="81">
        <f t="shared" si="101"/>
        <v>0</v>
      </c>
    </row>
    <row r="117" spans="14:123" x14ac:dyDescent="0.3">
      <c r="N117" s="81">
        <f>IF(Q118=0,IF(Q117=0,,"x"),)</f>
        <v>0</v>
      </c>
      <c r="O117" s="81">
        <f t="shared" si="102"/>
        <v>0</v>
      </c>
      <c r="P117" s="81">
        <f t="shared" si="66"/>
        <v>0</v>
      </c>
      <c r="Q117" s="81">
        <f t="shared" si="103"/>
        <v>0</v>
      </c>
      <c r="R117" s="81">
        <f>IF(W117="",,SUM($W$4:W117))</f>
        <v>0</v>
      </c>
      <c r="S117" s="81">
        <f t="shared" si="67"/>
        <v>0</v>
      </c>
      <c r="T117" s="81">
        <f t="shared" si="104"/>
        <v>0</v>
      </c>
      <c r="U117" s="81">
        <f t="shared" si="68"/>
        <v>0</v>
      </c>
      <c r="V117" s="81" t="str">
        <f t="shared" ca="1" si="69"/>
        <v/>
      </c>
      <c r="X117" s="81">
        <f t="shared" si="107"/>
        <v>0</v>
      </c>
      <c r="Y117" s="81">
        <f t="shared" si="108"/>
        <v>0</v>
      </c>
      <c r="AE117" s="81">
        <v>117</v>
      </c>
      <c r="AI117" s="81">
        <v>114</v>
      </c>
      <c r="AJ117" s="81" t="str">
        <f t="shared" si="57"/>
        <v>Februari 28</v>
      </c>
      <c r="AK117" s="81" t="str">
        <f t="shared" si="106"/>
        <v>Februari</v>
      </c>
      <c r="AL117" s="81">
        <f t="shared" si="105"/>
        <v>28</v>
      </c>
      <c r="AM117" s="81" t="str">
        <f t="shared" si="70"/>
        <v>='Februari 28'!</v>
      </c>
      <c r="AN117" s="81" t="str">
        <f t="shared" si="63"/>
        <v>='Februari 28'!C27</v>
      </c>
      <c r="AO117" s="81" t="s">
        <v>1117</v>
      </c>
      <c r="AR117" s="81" t="s">
        <v>177</v>
      </c>
      <c r="AS117" s="83" t="str">
        <f t="shared" si="58"/>
        <v>='Februari 28'!C6</v>
      </c>
      <c r="AT117" s="83">
        <f t="shared" si="59"/>
        <v>0</v>
      </c>
      <c r="AV117" s="81" t="s">
        <v>478</v>
      </c>
      <c r="AW117" s="81" t="s">
        <v>2561</v>
      </c>
      <c r="AX117" s="81" t="s">
        <v>2562</v>
      </c>
      <c r="AY117" s="81" t="s">
        <v>2563</v>
      </c>
      <c r="AZ117" s="81" t="s">
        <v>2564</v>
      </c>
      <c r="BA117" s="81" t="s">
        <v>2565</v>
      </c>
      <c r="BB117" s="81" t="s">
        <v>2566</v>
      </c>
      <c r="BC117" s="81" t="s">
        <v>2567</v>
      </c>
      <c r="BD117" s="81" t="s">
        <v>2568</v>
      </c>
      <c r="BE117" s="81" t="s">
        <v>2569</v>
      </c>
      <c r="BF117" s="81" t="s">
        <v>2570</v>
      </c>
      <c r="BG117" s="81" t="s">
        <v>2571</v>
      </c>
      <c r="BH117" s="81" t="s">
        <v>4734</v>
      </c>
      <c r="BI117" s="81" t="s">
        <v>5038</v>
      </c>
      <c r="BJ117" s="81" t="s">
        <v>177</v>
      </c>
      <c r="BL117" s="81" t="s">
        <v>781</v>
      </c>
      <c r="BM117" s="81">
        <v>114</v>
      </c>
      <c r="BN117" s="81" t="str">
        <f t="shared" si="60"/>
        <v>='Februari 28'!C12</v>
      </c>
      <c r="BP117" s="81" t="str">
        <f t="shared" ca="1" si="71"/>
        <v/>
      </c>
      <c r="BR117" s="84">
        <f t="shared" si="64"/>
        <v>0</v>
      </c>
      <c r="BS117" s="84">
        <f t="shared" si="65"/>
        <v>0</v>
      </c>
      <c r="CA117" s="81" t="s">
        <v>2</v>
      </c>
      <c r="CB117" s="81">
        <f t="shared" si="72"/>
        <v>0</v>
      </c>
      <c r="CC117" s="81">
        <f t="shared" si="73"/>
        <v>0</v>
      </c>
      <c r="CD117" s="81" t="s">
        <v>16</v>
      </c>
      <c r="CE117" s="81">
        <f t="shared" si="74"/>
        <v>0</v>
      </c>
      <c r="CF117" s="81">
        <f t="shared" si="75"/>
        <v>0</v>
      </c>
      <c r="CG117" s="81" t="s">
        <v>5</v>
      </c>
      <c r="CH117" s="81">
        <f t="shared" si="76"/>
        <v>0</v>
      </c>
      <c r="CI117" s="81">
        <f t="shared" si="77"/>
        <v>0</v>
      </c>
      <c r="CJ117" s="81" t="s">
        <v>18</v>
      </c>
      <c r="CK117" s="81">
        <f t="shared" si="78"/>
        <v>0</v>
      </c>
      <c r="CL117" s="81">
        <f t="shared" si="79"/>
        <v>0</v>
      </c>
      <c r="CM117" s="81" t="s">
        <v>4</v>
      </c>
      <c r="CN117" s="81">
        <f t="shared" si="80"/>
        <v>0</v>
      </c>
      <c r="CO117" s="81">
        <f t="shared" si="81"/>
        <v>0</v>
      </c>
      <c r="CP117" s="81" t="s">
        <v>22</v>
      </c>
      <c r="CQ117" s="81">
        <f t="shared" si="82"/>
        <v>0</v>
      </c>
      <c r="CR117" s="81">
        <f t="shared" si="83"/>
        <v>0</v>
      </c>
      <c r="CS117" s="81" t="s">
        <v>21</v>
      </c>
      <c r="CT117" s="81">
        <f t="shared" si="84"/>
        <v>0</v>
      </c>
      <c r="CU117" s="81">
        <f t="shared" si="85"/>
        <v>0</v>
      </c>
      <c r="CV117" s="81" t="s">
        <v>998</v>
      </c>
      <c r="CW117" s="81">
        <f t="shared" si="86"/>
        <v>0</v>
      </c>
      <c r="CX117" s="81">
        <f t="shared" si="87"/>
        <v>0</v>
      </c>
      <c r="CY117" s="81" t="s">
        <v>19</v>
      </c>
      <c r="CZ117" s="81">
        <f t="shared" si="88"/>
        <v>0</v>
      </c>
      <c r="DA117" s="81">
        <f t="shared" si="89"/>
        <v>0</v>
      </c>
      <c r="DB117" s="81" t="s">
        <v>20</v>
      </c>
      <c r="DC117" s="81">
        <f t="shared" si="90"/>
        <v>0</v>
      </c>
      <c r="DD117" s="81">
        <f t="shared" si="91"/>
        <v>0</v>
      </c>
      <c r="DE117" s="81" t="s">
        <v>23</v>
      </c>
      <c r="DF117" s="81">
        <f t="shared" si="92"/>
        <v>0</v>
      </c>
      <c r="DG117" s="81">
        <f t="shared" si="93"/>
        <v>0</v>
      </c>
      <c r="DH117" s="81" t="s">
        <v>15</v>
      </c>
      <c r="DI117" s="81">
        <f t="shared" si="94"/>
        <v>0</v>
      </c>
      <c r="DJ117" s="81">
        <f t="shared" si="95"/>
        <v>0</v>
      </c>
      <c r="DK117" s="81" t="s">
        <v>5339</v>
      </c>
      <c r="DL117" s="81">
        <f t="shared" si="96"/>
        <v>0</v>
      </c>
      <c r="DM117" s="81">
        <f t="shared" si="97"/>
        <v>0</v>
      </c>
      <c r="DN117" s="81" t="s">
        <v>7</v>
      </c>
      <c r="DO117" s="81">
        <f t="shared" si="98"/>
        <v>0</v>
      </c>
      <c r="DP117" s="81">
        <f t="shared" si="99"/>
        <v>0</v>
      </c>
      <c r="DQ117" s="81" t="s">
        <v>1</v>
      </c>
      <c r="DR117" s="81">
        <f t="shared" si="100"/>
        <v>0</v>
      </c>
      <c r="DS117" s="81">
        <f t="shared" si="101"/>
        <v>0</v>
      </c>
    </row>
    <row r="118" spans="14:123" x14ac:dyDescent="0.3">
      <c r="N118" s="81">
        <f>IF(Q119=0,IF(Q118=0,,"x"),)</f>
        <v>0</v>
      </c>
      <c r="O118" s="81">
        <f t="shared" si="102"/>
        <v>0</v>
      </c>
      <c r="P118" s="81">
        <f t="shared" si="66"/>
        <v>0</v>
      </c>
      <c r="Q118" s="81">
        <f t="shared" si="103"/>
        <v>0</v>
      </c>
      <c r="R118" s="81">
        <f>IF(W118="",,SUM($W$4:W118))</f>
        <v>0</v>
      </c>
      <c r="S118" s="81">
        <f t="shared" si="67"/>
        <v>0</v>
      </c>
      <c r="T118" s="81">
        <f t="shared" si="104"/>
        <v>0</v>
      </c>
      <c r="U118" s="81">
        <f t="shared" si="68"/>
        <v>0</v>
      </c>
      <c r="V118" s="81" t="str">
        <f t="shared" ca="1" si="69"/>
        <v/>
      </c>
      <c r="X118" s="81">
        <f t="shared" si="107"/>
        <v>0</v>
      </c>
      <c r="Y118" s="81">
        <f t="shared" si="108"/>
        <v>0</v>
      </c>
      <c r="AE118" s="81">
        <v>118</v>
      </c>
      <c r="AI118" s="81">
        <v>115</v>
      </c>
      <c r="AJ118" s="81" t="str">
        <f t="shared" si="57"/>
        <v>Mars 28</v>
      </c>
      <c r="AK118" s="81" t="str">
        <f t="shared" si="106"/>
        <v>Mars</v>
      </c>
      <c r="AL118" s="81">
        <f t="shared" si="105"/>
        <v>28</v>
      </c>
      <c r="AM118" s="81" t="str">
        <f t="shared" si="70"/>
        <v>='Mars 28'!</v>
      </c>
      <c r="AN118" s="81" t="str">
        <f t="shared" si="63"/>
        <v>='Mars 28'!C27</v>
      </c>
      <c r="AO118" s="81" t="s">
        <v>1118</v>
      </c>
      <c r="AR118" s="81" t="s">
        <v>178</v>
      </c>
      <c r="AS118" s="83" t="str">
        <f t="shared" si="58"/>
        <v>='Mars 28'!C6</v>
      </c>
      <c r="AT118" s="83">
        <f t="shared" si="59"/>
        <v>0</v>
      </c>
      <c r="AV118" s="81" t="s">
        <v>479</v>
      </c>
      <c r="AW118" s="81" t="s">
        <v>2572</v>
      </c>
      <c r="AX118" s="81" t="s">
        <v>2573</v>
      </c>
      <c r="AY118" s="81" t="s">
        <v>2574</v>
      </c>
      <c r="AZ118" s="81" t="s">
        <v>2575</v>
      </c>
      <c r="BA118" s="81" t="s">
        <v>2576</v>
      </c>
      <c r="BB118" s="81" t="s">
        <v>2577</v>
      </c>
      <c r="BC118" s="81" t="s">
        <v>2578</v>
      </c>
      <c r="BD118" s="81" t="s">
        <v>2579</v>
      </c>
      <c r="BE118" s="81" t="s">
        <v>2580</v>
      </c>
      <c r="BF118" s="81" t="s">
        <v>2581</v>
      </c>
      <c r="BG118" s="81" t="s">
        <v>2582</v>
      </c>
      <c r="BH118" s="81" t="s">
        <v>4735</v>
      </c>
      <c r="BI118" s="81" t="s">
        <v>5039</v>
      </c>
      <c r="BJ118" s="81" t="s">
        <v>178</v>
      </c>
      <c r="BL118" s="81" t="s">
        <v>782</v>
      </c>
      <c r="BM118" s="81">
        <v>115</v>
      </c>
      <c r="BN118" s="81" t="str">
        <f t="shared" si="60"/>
        <v>='Mars 28'!C12</v>
      </c>
      <c r="BP118" s="81" t="str">
        <f t="shared" ca="1" si="71"/>
        <v/>
      </c>
      <c r="BR118" s="84">
        <f t="shared" si="64"/>
        <v>0</v>
      </c>
      <c r="BS118" s="84">
        <f t="shared" si="65"/>
        <v>0</v>
      </c>
      <c r="CA118" s="81" t="s">
        <v>2</v>
      </c>
      <c r="CB118" s="81">
        <f t="shared" si="72"/>
        <v>0</v>
      </c>
      <c r="CC118" s="81">
        <f t="shared" si="73"/>
        <v>0</v>
      </c>
      <c r="CD118" s="81" t="s">
        <v>16</v>
      </c>
      <c r="CE118" s="81">
        <f t="shared" si="74"/>
        <v>0</v>
      </c>
      <c r="CF118" s="81">
        <f t="shared" si="75"/>
        <v>0</v>
      </c>
      <c r="CG118" s="81" t="s">
        <v>5</v>
      </c>
      <c r="CH118" s="81">
        <f t="shared" si="76"/>
        <v>0</v>
      </c>
      <c r="CI118" s="81">
        <f t="shared" si="77"/>
        <v>0</v>
      </c>
      <c r="CJ118" s="81" t="s">
        <v>18</v>
      </c>
      <c r="CK118" s="81">
        <f t="shared" si="78"/>
        <v>0</v>
      </c>
      <c r="CL118" s="81">
        <f t="shared" si="79"/>
        <v>0</v>
      </c>
      <c r="CM118" s="81" t="s">
        <v>4</v>
      </c>
      <c r="CN118" s="81">
        <f t="shared" si="80"/>
        <v>0</v>
      </c>
      <c r="CO118" s="81">
        <f t="shared" si="81"/>
        <v>0</v>
      </c>
      <c r="CP118" s="81" t="s">
        <v>22</v>
      </c>
      <c r="CQ118" s="81">
        <f t="shared" si="82"/>
        <v>0</v>
      </c>
      <c r="CR118" s="81">
        <f t="shared" si="83"/>
        <v>0</v>
      </c>
      <c r="CS118" s="81" t="s">
        <v>21</v>
      </c>
      <c r="CT118" s="81">
        <f t="shared" si="84"/>
        <v>0</v>
      </c>
      <c r="CU118" s="81">
        <f t="shared" si="85"/>
        <v>0</v>
      </c>
      <c r="CV118" s="81" t="s">
        <v>998</v>
      </c>
      <c r="CW118" s="81">
        <f t="shared" si="86"/>
        <v>0</v>
      </c>
      <c r="CX118" s="81">
        <f t="shared" si="87"/>
        <v>0</v>
      </c>
      <c r="CY118" s="81" t="s">
        <v>19</v>
      </c>
      <c r="CZ118" s="81">
        <f t="shared" si="88"/>
        <v>0</v>
      </c>
      <c r="DA118" s="81">
        <f t="shared" si="89"/>
        <v>0</v>
      </c>
      <c r="DB118" s="81" t="s">
        <v>20</v>
      </c>
      <c r="DC118" s="81">
        <f t="shared" si="90"/>
        <v>0</v>
      </c>
      <c r="DD118" s="81">
        <f t="shared" si="91"/>
        <v>0</v>
      </c>
      <c r="DE118" s="81" t="s">
        <v>23</v>
      </c>
      <c r="DF118" s="81">
        <f t="shared" si="92"/>
        <v>0</v>
      </c>
      <c r="DG118" s="81">
        <f t="shared" si="93"/>
        <v>0</v>
      </c>
      <c r="DH118" s="81" t="s">
        <v>15</v>
      </c>
      <c r="DI118" s="81">
        <f t="shared" si="94"/>
        <v>0</v>
      </c>
      <c r="DJ118" s="81">
        <f t="shared" si="95"/>
        <v>0</v>
      </c>
      <c r="DK118" s="81" t="s">
        <v>5340</v>
      </c>
      <c r="DL118" s="81">
        <f t="shared" si="96"/>
        <v>0</v>
      </c>
      <c r="DM118" s="81">
        <f t="shared" si="97"/>
        <v>0</v>
      </c>
      <c r="DN118" s="81" t="s">
        <v>7</v>
      </c>
      <c r="DO118" s="81">
        <f t="shared" si="98"/>
        <v>0</v>
      </c>
      <c r="DP118" s="81">
        <f t="shared" si="99"/>
        <v>0</v>
      </c>
      <c r="DQ118" s="81" t="s">
        <v>1</v>
      </c>
      <c r="DR118" s="81">
        <f t="shared" si="100"/>
        <v>0</v>
      </c>
      <c r="DS118" s="81">
        <f t="shared" si="101"/>
        <v>0</v>
      </c>
    </row>
    <row r="119" spans="14:123" x14ac:dyDescent="0.3">
      <c r="N119" s="81">
        <f>IF(Q120=0,IF(Q119=0,,"x"),)</f>
        <v>0</v>
      </c>
      <c r="O119" s="81">
        <f t="shared" si="102"/>
        <v>0</v>
      </c>
      <c r="P119" s="81">
        <f t="shared" si="66"/>
        <v>0</v>
      </c>
      <c r="Q119" s="81">
        <f t="shared" si="103"/>
        <v>0</v>
      </c>
      <c r="R119" s="81">
        <f>IF(W119="",,SUM($W$4:W119))</f>
        <v>0</v>
      </c>
      <c r="S119" s="81">
        <f t="shared" si="67"/>
        <v>0</v>
      </c>
      <c r="T119" s="81">
        <f t="shared" si="104"/>
        <v>0</v>
      </c>
      <c r="U119" s="81">
        <f t="shared" si="68"/>
        <v>0</v>
      </c>
      <c r="V119" s="81" t="str">
        <f t="shared" ca="1" si="69"/>
        <v/>
      </c>
      <c r="X119" s="81">
        <f t="shared" si="107"/>
        <v>0</v>
      </c>
      <c r="Y119" s="81">
        <f t="shared" si="108"/>
        <v>0</v>
      </c>
      <c r="AE119" s="81">
        <v>119</v>
      </c>
      <c r="AI119" s="81">
        <v>116</v>
      </c>
      <c r="AJ119" s="81" t="str">
        <f t="shared" si="57"/>
        <v>April 28</v>
      </c>
      <c r="AK119" s="81" t="str">
        <f t="shared" si="106"/>
        <v>April</v>
      </c>
      <c r="AL119" s="81">
        <f t="shared" si="105"/>
        <v>28</v>
      </c>
      <c r="AM119" s="81" t="str">
        <f t="shared" si="70"/>
        <v>='April 28'!</v>
      </c>
      <c r="AN119" s="81" t="str">
        <f t="shared" si="63"/>
        <v>='April 28'!C27</v>
      </c>
      <c r="AO119" s="81" t="s">
        <v>1119</v>
      </c>
      <c r="AR119" s="81" t="s">
        <v>179</v>
      </c>
      <c r="AS119" s="83" t="str">
        <f t="shared" si="58"/>
        <v>='April 28'!C6</v>
      </c>
      <c r="AT119" s="83">
        <f t="shared" si="59"/>
        <v>0</v>
      </c>
      <c r="AV119" s="81" t="s">
        <v>480</v>
      </c>
      <c r="AW119" s="81" t="s">
        <v>2583</v>
      </c>
      <c r="AX119" s="81" t="s">
        <v>2584</v>
      </c>
      <c r="AY119" s="81" t="s">
        <v>2585</v>
      </c>
      <c r="AZ119" s="81" t="s">
        <v>2586</v>
      </c>
      <c r="BA119" s="81" t="s">
        <v>2587</v>
      </c>
      <c r="BB119" s="81" t="s">
        <v>2588</v>
      </c>
      <c r="BC119" s="81" t="s">
        <v>2589</v>
      </c>
      <c r="BD119" s="81" t="s">
        <v>2590</v>
      </c>
      <c r="BE119" s="81" t="s">
        <v>2591</v>
      </c>
      <c r="BF119" s="81" t="s">
        <v>2592</v>
      </c>
      <c r="BG119" s="81" t="s">
        <v>2593</v>
      </c>
      <c r="BH119" s="81" t="s">
        <v>4736</v>
      </c>
      <c r="BI119" s="81" t="s">
        <v>5040</v>
      </c>
      <c r="BJ119" s="81" t="s">
        <v>179</v>
      </c>
      <c r="BL119" s="81" t="s">
        <v>783</v>
      </c>
      <c r="BM119" s="81">
        <v>116</v>
      </c>
      <c r="BN119" s="81" t="str">
        <f t="shared" si="60"/>
        <v>='April 28'!C12</v>
      </c>
      <c r="BP119" s="81" t="str">
        <f t="shared" ca="1" si="71"/>
        <v/>
      </c>
      <c r="BR119" s="84">
        <f t="shared" si="64"/>
        <v>0</v>
      </c>
      <c r="BS119" s="84">
        <f t="shared" si="65"/>
        <v>0</v>
      </c>
      <c r="CA119" s="81" t="s">
        <v>2</v>
      </c>
      <c r="CB119" s="81">
        <f t="shared" si="72"/>
        <v>0</v>
      </c>
      <c r="CC119" s="81">
        <f t="shared" si="73"/>
        <v>0</v>
      </c>
      <c r="CD119" s="81" t="s">
        <v>16</v>
      </c>
      <c r="CE119" s="81">
        <f t="shared" si="74"/>
        <v>0</v>
      </c>
      <c r="CF119" s="81">
        <f t="shared" si="75"/>
        <v>0</v>
      </c>
      <c r="CG119" s="81" t="s">
        <v>5</v>
      </c>
      <c r="CH119" s="81">
        <f t="shared" si="76"/>
        <v>0</v>
      </c>
      <c r="CI119" s="81">
        <f t="shared" si="77"/>
        <v>0</v>
      </c>
      <c r="CJ119" s="81" t="s">
        <v>18</v>
      </c>
      <c r="CK119" s="81">
        <f t="shared" si="78"/>
        <v>0</v>
      </c>
      <c r="CL119" s="81">
        <f t="shared" si="79"/>
        <v>0</v>
      </c>
      <c r="CM119" s="81" t="s">
        <v>4</v>
      </c>
      <c r="CN119" s="81">
        <f t="shared" si="80"/>
        <v>0</v>
      </c>
      <c r="CO119" s="81">
        <f t="shared" si="81"/>
        <v>0</v>
      </c>
      <c r="CP119" s="81" t="s">
        <v>22</v>
      </c>
      <c r="CQ119" s="81">
        <f t="shared" si="82"/>
        <v>0</v>
      </c>
      <c r="CR119" s="81">
        <f t="shared" si="83"/>
        <v>0</v>
      </c>
      <c r="CS119" s="81" t="s">
        <v>21</v>
      </c>
      <c r="CT119" s="81">
        <f t="shared" si="84"/>
        <v>0</v>
      </c>
      <c r="CU119" s="81">
        <f t="shared" si="85"/>
        <v>0</v>
      </c>
      <c r="CV119" s="81" t="s">
        <v>998</v>
      </c>
      <c r="CW119" s="81">
        <f t="shared" si="86"/>
        <v>0</v>
      </c>
      <c r="CX119" s="81">
        <f t="shared" si="87"/>
        <v>0</v>
      </c>
      <c r="CY119" s="81" t="s">
        <v>19</v>
      </c>
      <c r="CZ119" s="81">
        <f t="shared" si="88"/>
        <v>0</v>
      </c>
      <c r="DA119" s="81">
        <f t="shared" si="89"/>
        <v>0</v>
      </c>
      <c r="DB119" s="81" t="s">
        <v>20</v>
      </c>
      <c r="DC119" s="81">
        <f t="shared" si="90"/>
        <v>0</v>
      </c>
      <c r="DD119" s="81">
        <f t="shared" si="91"/>
        <v>0</v>
      </c>
      <c r="DE119" s="81" t="s">
        <v>23</v>
      </c>
      <c r="DF119" s="81">
        <f t="shared" si="92"/>
        <v>0</v>
      </c>
      <c r="DG119" s="81">
        <f t="shared" si="93"/>
        <v>0</v>
      </c>
      <c r="DH119" s="81" t="s">
        <v>15</v>
      </c>
      <c r="DI119" s="81">
        <f t="shared" si="94"/>
        <v>0</v>
      </c>
      <c r="DJ119" s="81">
        <f t="shared" si="95"/>
        <v>0</v>
      </c>
      <c r="DK119" s="81" t="s">
        <v>5341</v>
      </c>
      <c r="DL119" s="81">
        <f t="shared" si="96"/>
        <v>0</v>
      </c>
      <c r="DM119" s="81">
        <f t="shared" si="97"/>
        <v>0</v>
      </c>
      <c r="DN119" s="81" t="s">
        <v>7</v>
      </c>
      <c r="DO119" s="81">
        <f t="shared" si="98"/>
        <v>0</v>
      </c>
      <c r="DP119" s="81">
        <f t="shared" si="99"/>
        <v>0</v>
      </c>
      <c r="DQ119" s="81" t="s">
        <v>1</v>
      </c>
      <c r="DR119" s="81">
        <f t="shared" si="100"/>
        <v>0</v>
      </c>
      <c r="DS119" s="81">
        <f t="shared" si="101"/>
        <v>0</v>
      </c>
    </row>
    <row r="120" spans="14:123" x14ac:dyDescent="0.3">
      <c r="N120" s="81">
        <f>IF(Q121=0,IF(Q120=0,,"x"),)</f>
        <v>0</v>
      </c>
      <c r="O120" s="81">
        <f t="shared" si="102"/>
        <v>0</v>
      </c>
      <c r="P120" s="81">
        <f t="shared" si="66"/>
        <v>0</v>
      </c>
      <c r="Q120" s="81">
        <f t="shared" si="103"/>
        <v>0</v>
      </c>
      <c r="R120" s="81">
        <f>IF(W120="",,SUM($W$4:W120))</f>
        <v>0</v>
      </c>
      <c r="S120" s="81">
        <f t="shared" si="67"/>
        <v>0</v>
      </c>
      <c r="T120" s="81">
        <f t="shared" si="104"/>
        <v>0</v>
      </c>
      <c r="U120" s="81">
        <f t="shared" si="68"/>
        <v>0</v>
      </c>
      <c r="V120" s="81" t="str">
        <f t="shared" ca="1" si="69"/>
        <v/>
      </c>
      <c r="X120" s="81">
        <f t="shared" si="107"/>
        <v>0</v>
      </c>
      <c r="Y120" s="81">
        <f t="shared" si="108"/>
        <v>0</v>
      </c>
      <c r="AE120" s="81">
        <v>120</v>
      </c>
      <c r="AI120" s="81">
        <v>117</v>
      </c>
      <c r="AJ120" s="81" t="str">
        <f t="shared" si="57"/>
        <v>Maj 28</v>
      </c>
      <c r="AK120" s="81" t="str">
        <f t="shared" si="106"/>
        <v>Maj</v>
      </c>
      <c r="AL120" s="81">
        <f t="shared" si="105"/>
        <v>28</v>
      </c>
      <c r="AM120" s="81" t="str">
        <f t="shared" si="70"/>
        <v>='Maj 28'!</v>
      </c>
      <c r="AN120" s="81" t="str">
        <f t="shared" si="63"/>
        <v>='Maj 28'!C27</v>
      </c>
      <c r="AO120" s="81" t="s">
        <v>1120</v>
      </c>
      <c r="AR120" s="81" t="s">
        <v>180</v>
      </c>
      <c r="AS120" s="83" t="str">
        <f t="shared" si="58"/>
        <v>='Maj 28'!C6</v>
      </c>
      <c r="AT120" s="83">
        <f t="shared" si="59"/>
        <v>0</v>
      </c>
      <c r="AV120" s="81" t="s">
        <v>481</v>
      </c>
      <c r="AW120" s="81" t="s">
        <v>2594</v>
      </c>
      <c r="AX120" s="81" t="s">
        <v>2595</v>
      </c>
      <c r="AY120" s="81" t="s">
        <v>2596</v>
      </c>
      <c r="AZ120" s="81" t="s">
        <v>2597</v>
      </c>
      <c r="BA120" s="81" t="s">
        <v>2598</v>
      </c>
      <c r="BB120" s="81" t="s">
        <v>2599</v>
      </c>
      <c r="BC120" s="81" t="s">
        <v>2600</v>
      </c>
      <c r="BD120" s="81" t="s">
        <v>2601</v>
      </c>
      <c r="BE120" s="81" t="s">
        <v>2602</v>
      </c>
      <c r="BF120" s="81" t="s">
        <v>2603</v>
      </c>
      <c r="BG120" s="81" t="s">
        <v>2604</v>
      </c>
      <c r="BH120" s="81" t="s">
        <v>4737</v>
      </c>
      <c r="BI120" s="81" t="s">
        <v>5041</v>
      </c>
      <c r="BJ120" s="81" t="s">
        <v>180</v>
      </c>
      <c r="BL120" s="81" t="s">
        <v>784</v>
      </c>
      <c r="BM120" s="81">
        <v>117</v>
      </c>
      <c r="BN120" s="81" t="str">
        <f t="shared" si="60"/>
        <v>='Maj 28'!C12</v>
      </c>
      <c r="BP120" s="81" t="str">
        <f t="shared" ca="1" si="71"/>
        <v/>
      </c>
      <c r="BR120" s="84">
        <f t="shared" si="64"/>
        <v>0</v>
      </c>
      <c r="BS120" s="84">
        <f t="shared" si="65"/>
        <v>0</v>
      </c>
      <c r="CA120" s="81" t="s">
        <v>2</v>
      </c>
      <c r="CB120" s="81">
        <f t="shared" si="72"/>
        <v>0</v>
      </c>
      <c r="CC120" s="81">
        <f t="shared" si="73"/>
        <v>0</v>
      </c>
      <c r="CD120" s="81" t="s">
        <v>16</v>
      </c>
      <c r="CE120" s="81">
        <f t="shared" si="74"/>
        <v>0</v>
      </c>
      <c r="CF120" s="81">
        <f t="shared" si="75"/>
        <v>0</v>
      </c>
      <c r="CG120" s="81" t="s">
        <v>5</v>
      </c>
      <c r="CH120" s="81">
        <f t="shared" si="76"/>
        <v>0</v>
      </c>
      <c r="CI120" s="81">
        <f t="shared" si="77"/>
        <v>0</v>
      </c>
      <c r="CJ120" s="81" t="s">
        <v>18</v>
      </c>
      <c r="CK120" s="81">
        <f t="shared" si="78"/>
        <v>0</v>
      </c>
      <c r="CL120" s="81">
        <f t="shared" si="79"/>
        <v>0</v>
      </c>
      <c r="CM120" s="81" t="s">
        <v>4</v>
      </c>
      <c r="CN120" s="81">
        <f t="shared" si="80"/>
        <v>0</v>
      </c>
      <c r="CO120" s="81">
        <f t="shared" si="81"/>
        <v>0</v>
      </c>
      <c r="CP120" s="81" t="s">
        <v>22</v>
      </c>
      <c r="CQ120" s="81">
        <f t="shared" si="82"/>
        <v>0</v>
      </c>
      <c r="CR120" s="81">
        <f t="shared" si="83"/>
        <v>0</v>
      </c>
      <c r="CS120" s="81" t="s">
        <v>21</v>
      </c>
      <c r="CT120" s="81">
        <f t="shared" si="84"/>
        <v>0</v>
      </c>
      <c r="CU120" s="81">
        <f t="shared" si="85"/>
        <v>0</v>
      </c>
      <c r="CV120" s="81" t="s">
        <v>998</v>
      </c>
      <c r="CW120" s="81">
        <f t="shared" si="86"/>
        <v>0</v>
      </c>
      <c r="CX120" s="81">
        <f t="shared" si="87"/>
        <v>0</v>
      </c>
      <c r="CY120" s="81" t="s">
        <v>19</v>
      </c>
      <c r="CZ120" s="81">
        <f t="shared" si="88"/>
        <v>0</v>
      </c>
      <c r="DA120" s="81">
        <f t="shared" si="89"/>
        <v>0</v>
      </c>
      <c r="DB120" s="81" t="s">
        <v>20</v>
      </c>
      <c r="DC120" s="81">
        <f t="shared" si="90"/>
        <v>0</v>
      </c>
      <c r="DD120" s="81">
        <f t="shared" si="91"/>
        <v>0</v>
      </c>
      <c r="DE120" s="81" t="s">
        <v>23</v>
      </c>
      <c r="DF120" s="81">
        <f t="shared" si="92"/>
        <v>0</v>
      </c>
      <c r="DG120" s="81">
        <f t="shared" si="93"/>
        <v>0</v>
      </c>
      <c r="DH120" s="81" t="s">
        <v>15</v>
      </c>
      <c r="DI120" s="81">
        <f t="shared" si="94"/>
        <v>0</v>
      </c>
      <c r="DJ120" s="81">
        <f t="shared" si="95"/>
        <v>0</v>
      </c>
      <c r="DK120" s="81" t="s">
        <v>5342</v>
      </c>
      <c r="DL120" s="81">
        <f t="shared" si="96"/>
        <v>0</v>
      </c>
      <c r="DM120" s="81">
        <f t="shared" si="97"/>
        <v>0</v>
      </c>
      <c r="DN120" s="81" t="s">
        <v>7</v>
      </c>
      <c r="DO120" s="81">
        <f t="shared" si="98"/>
        <v>0</v>
      </c>
      <c r="DP120" s="81">
        <f t="shared" si="99"/>
        <v>0</v>
      </c>
      <c r="DQ120" s="81" t="s">
        <v>1</v>
      </c>
      <c r="DR120" s="81">
        <f t="shared" si="100"/>
        <v>0</v>
      </c>
      <c r="DS120" s="81">
        <f t="shared" si="101"/>
        <v>0</v>
      </c>
    </row>
    <row r="121" spans="14:123" x14ac:dyDescent="0.3">
      <c r="N121" s="81">
        <f>IF(Q122=0,IF(Q121=0,,"x"),)</f>
        <v>0</v>
      </c>
      <c r="O121" s="81">
        <f t="shared" si="102"/>
        <v>0</v>
      </c>
      <c r="P121" s="81">
        <f t="shared" si="66"/>
        <v>0</v>
      </c>
      <c r="Q121" s="81">
        <f t="shared" si="103"/>
        <v>0</v>
      </c>
      <c r="R121" s="81">
        <f>IF(W121="",,SUM($W$4:W121))</f>
        <v>0</v>
      </c>
      <c r="S121" s="81">
        <f t="shared" si="67"/>
        <v>0</v>
      </c>
      <c r="T121" s="81">
        <f t="shared" si="104"/>
        <v>0</v>
      </c>
      <c r="U121" s="81">
        <f t="shared" si="68"/>
        <v>0</v>
      </c>
      <c r="V121" s="81" t="str">
        <f t="shared" ca="1" si="69"/>
        <v/>
      </c>
      <c r="X121" s="81">
        <f t="shared" si="107"/>
        <v>0</v>
      </c>
      <c r="Y121" s="81">
        <f t="shared" si="108"/>
        <v>0</v>
      </c>
      <c r="AE121" s="81">
        <v>121</v>
      </c>
      <c r="AI121" s="81">
        <v>118</v>
      </c>
      <c r="AJ121" s="81" t="str">
        <f t="shared" si="57"/>
        <v>Juni 28</v>
      </c>
      <c r="AK121" s="81" t="str">
        <f t="shared" si="106"/>
        <v>Juni</v>
      </c>
      <c r="AL121" s="81">
        <f t="shared" si="105"/>
        <v>28</v>
      </c>
      <c r="AM121" s="81" t="str">
        <f t="shared" si="70"/>
        <v>='Juni 28'!</v>
      </c>
      <c r="AN121" s="81" t="str">
        <f t="shared" si="63"/>
        <v>='Juni 28'!C27</v>
      </c>
      <c r="AO121" s="81" t="s">
        <v>1121</v>
      </c>
      <c r="AR121" s="81" t="s">
        <v>181</v>
      </c>
      <c r="AS121" s="83" t="str">
        <f t="shared" si="58"/>
        <v>='Juni 28'!C6</v>
      </c>
      <c r="AT121" s="83">
        <f t="shared" si="59"/>
        <v>0</v>
      </c>
      <c r="AV121" s="81" t="s">
        <v>482</v>
      </c>
      <c r="AW121" s="81" t="s">
        <v>2605</v>
      </c>
      <c r="AX121" s="81" t="s">
        <v>2606</v>
      </c>
      <c r="AY121" s="81" t="s">
        <v>2607</v>
      </c>
      <c r="AZ121" s="81" t="s">
        <v>2608</v>
      </c>
      <c r="BA121" s="81" t="s">
        <v>2609</v>
      </c>
      <c r="BB121" s="81" t="s">
        <v>2610</v>
      </c>
      <c r="BC121" s="81" t="s">
        <v>2611</v>
      </c>
      <c r="BD121" s="81" t="s">
        <v>2612</v>
      </c>
      <c r="BE121" s="81" t="s">
        <v>2613</v>
      </c>
      <c r="BF121" s="81" t="s">
        <v>2614</v>
      </c>
      <c r="BG121" s="81" t="s">
        <v>2615</v>
      </c>
      <c r="BH121" s="81" t="s">
        <v>4738</v>
      </c>
      <c r="BI121" s="81" t="s">
        <v>5042</v>
      </c>
      <c r="BJ121" s="81" t="s">
        <v>181</v>
      </c>
      <c r="BL121" s="81" t="s">
        <v>785</v>
      </c>
      <c r="BM121" s="81">
        <v>118</v>
      </c>
      <c r="BN121" s="81" t="str">
        <f t="shared" si="60"/>
        <v>='Juni 28'!C12</v>
      </c>
      <c r="BP121" s="81" t="str">
        <f t="shared" ca="1" si="71"/>
        <v/>
      </c>
      <c r="BR121" s="84">
        <f t="shared" si="64"/>
        <v>0</v>
      </c>
      <c r="BS121" s="84">
        <f t="shared" si="65"/>
        <v>0</v>
      </c>
      <c r="CA121" s="81" t="s">
        <v>2</v>
      </c>
      <c r="CB121" s="81">
        <f t="shared" si="72"/>
        <v>0</v>
      </c>
      <c r="CC121" s="81">
        <f t="shared" si="73"/>
        <v>0</v>
      </c>
      <c r="CD121" s="81" t="s">
        <v>16</v>
      </c>
      <c r="CE121" s="81">
        <f t="shared" si="74"/>
        <v>0</v>
      </c>
      <c r="CF121" s="81">
        <f t="shared" si="75"/>
        <v>0</v>
      </c>
      <c r="CG121" s="81" t="s">
        <v>5</v>
      </c>
      <c r="CH121" s="81">
        <f t="shared" si="76"/>
        <v>0</v>
      </c>
      <c r="CI121" s="81">
        <f t="shared" si="77"/>
        <v>0</v>
      </c>
      <c r="CJ121" s="81" t="s">
        <v>18</v>
      </c>
      <c r="CK121" s="81">
        <f t="shared" si="78"/>
        <v>0</v>
      </c>
      <c r="CL121" s="81">
        <f t="shared" si="79"/>
        <v>0</v>
      </c>
      <c r="CM121" s="81" t="s">
        <v>4</v>
      </c>
      <c r="CN121" s="81">
        <f t="shared" si="80"/>
        <v>0</v>
      </c>
      <c r="CO121" s="81">
        <f t="shared" si="81"/>
        <v>0</v>
      </c>
      <c r="CP121" s="81" t="s">
        <v>22</v>
      </c>
      <c r="CQ121" s="81">
        <f t="shared" si="82"/>
        <v>0</v>
      </c>
      <c r="CR121" s="81">
        <f t="shared" si="83"/>
        <v>0</v>
      </c>
      <c r="CS121" s="81" t="s">
        <v>21</v>
      </c>
      <c r="CT121" s="81">
        <f t="shared" si="84"/>
        <v>0</v>
      </c>
      <c r="CU121" s="81">
        <f t="shared" si="85"/>
        <v>0</v>
      </c>
      <c r="CV121" s="81" t="s">
        <v>998</v>
      </c>
      <c r="CW121" s="81">
        <f t="shared" si="86"/>
        <v>0</v>
      </c>
      <c r="CX121" s="81">
        <f t="shared" si="87"/>
        <v>0</v>
      </c>
      <c r="CY121" s="81" t="s">
        <v>19</v>
      </c>
      <c r="CZ121" s="81">
        <f t="shared" si="88"/>
        <v>0</v>
      </c>
      <c r="DA121" s="81">
        <f t="shared" si="89"/>
        <v>0</v>
      </c>
      <c r="DB121" s="81" t="s">
        <v>20</v>
      </c>
      <c r="DC121" s="81">
        <f t="shared" si="90"/>
        <v>0</v>
      </c>
      <c r="DD121" s="81">
        <f t="shared" si="91"/>
        <v>0</v>
      </c>
      <c r="DE121" s="81" t="s">
        <v>23</v>
      </c>
      <c r="DF121" s="81">
        <f t="shared" si="92"/>
        <v>0</v>
      </c>
      <c r="DG121" s="81">
        <f t="shared" si="93"/>
        <v>0</v>
      </c>
      <c r="DH121" s="81" t="s">
        <v>15</v>
      </c>
      <c r="DI121" s="81">
        <f t="shared" si="94"/>
        <v>0</v>
      </c>
      <c r="DJ121" s="81">
        <f t="shared" si="95"/>
        <v>0</v>
      </c>
      <c r="DK121" s="81" t="s">
        <v>5343</v>
      </c>
      <c r="DL121" s="81">
        <f t="shared" si="96"/>
        <v>0</v>
      </c>
      <c r="DM121" s="81">
        <f t="shared" si="97"/>
        <v>0</v>
      </c>
      <c r="DN121" s="81" t="s">
        <v>7</v>
      </c>
      <c r="DO121" s="81">
        <f t="shared" si="98"/>
        <v>0</v>
      </c>
      <c r="DP121" s="81">
        <f t="shared" si="99"/>
        <v>0</v>
      </c>
      <c r="DQ121" s="81" t="s">
        <v>1</v>
      </c>
      <c r="DR121" s="81">
        <f t="shared" si="100"/>
        <v>0</v>
      </c>
      <c r="DS121" s="81">
        <f t="shared" si="101"/>
        <v>0</v>
      </c>
    </row>
    <row r="122" spans="14:123" x14ac:dyDescent="0.3">
      <c r="N122" s="81">
        <f>IF(Q123=0,IF(Q122=0,,"x"),)</f>
        <v>0</v>
      </c>
      <c r="O122" s="81">
        <f t="shared" si="102"/>
        <v>0</v>
      </c>
      <c r="P122" s="81">
        <f t="shared" si="66"/>
        <v>0</v>
      </c>
      <c r="Q122" s="81">
        <f t="shared" si="103"/>
        <v>0</v>
      </c>
      <c r="R122" s="81">
        <f>IF(W122="",,SUM($W$4:W122))</f>
        <v>0</v>
      </c>
      <c r="S122" s="81">
        <f t="shared" si="67"/>
        <v>0</v>
      </c>
      <c r="T122" s="81">
        <f t="shared" si="104"/>
        <v>0</v>
      </c>
      <c r="U122" s="81">
        <f t="shared" si="68"/>
        <v>0</v>
      </c>
      <c r="V122" s="81" t="str">
        <f t="shared" ca="1" si="69"/>
        <v/>
      </c>
      <c r="X122" s="81">
        <f t="shared" si="107"/>
        <v>0</v>
      </c>
      <c r="Y122" s="81">
        <f t="shared" si="108"/>
        <v>0</v>
      </c>
      <c r="AE122" s="81">
        <v>122</v>
      </c>
      <c r="AI122" s="81">
        <v>119</v>
      </c>
      <c r="AJ122" s="81" t="str">
        <f t="shared" si="57"/>
        <v>Juli 28</v>
      </c>
      <c r="AK122" s="81" t="str">
        <f t="shared" si="106"/>
        <v>Juli</v>
      </c>
      <c r="AL122" s="81">
        <f t="shared" si="105"/>
        <v>28</v>
      </c>
      <c r="AM122" s="81" t="str">
        <f t="shared" si="70"/>
        <v>='Juli 28'!</v>
      </c>
      <c r="AN122" s="81" t="str">
        <f t="shared" si="63"/>
        <v>='Juli 28'!C27</v>
      </c>
      <c r="AO122" s="81" t="s">
        <v>1122</v>
      </c>
      <c r="AR122" s="81" t="s">
        <v>182</v>
      </c>
      <c r="AS122" s="83" t="str">
        <f t="shared" si="58"/>
        <v>='Juli 28'!C6</v>
      </c>
      <c r="AT122" s="83">
        <f t="shared" si="59"/>
        <v>0</v>
      </c>
      <c r="AV122" s="81" t="s">
        <v>483</v>
      </c>
      <c r="AW122" s="81" t="s">
        <v>2616</v>
      </c>
      <c r="AX122" s="81" t="s">
        <v>2617</v>
      </c>
      <c r="AY122" s="81" t="s">
        <v>2618</v>
      </c>
      <c r="AZ122" s="81" t="s">
        <v>2619</v>
      </c>
      <c r="BA122" s="81" t="s">
        <v>2620</v>
      </c>
      <c r="BB122" s="81" t="s">
        <v>2621</v>
      </c>
      <c r="BC122" s="81" t="s">
        <v>2622</v>
      </c>
      <c r="BD122" s="81" t="s">
        <v>2623</v>
      </c>
      <c r="BE122" s="81" t="s">
        <v>2624</v>
      </c>
      <c r="BF122" s="81" t="s">
        <v>2625</v>
      </c>
      <c r="BG122" s="81" t="s">
        <v>2626</v>
      </c>
      <c r="BH122" s="81" t="s">
        <v>4739</v>
      </c>
      <c r="BI122" s="81" t="s">
        <v>5043</v>
      </c>
      <c r="BJ122" s="81" t="s">
        <v>182</v>
      </c>
      <c r="BL122" s="81" t="s">
        <v>786</v>
      </c>
      <c r="BM122" s="81">
        <v>119</v>
      </c>
      <c r="BN122" s="81" t="str">
        <f t="shared" si="60"/>
        <v>='Juli 28'!C12</v>
      </c>
      <c r="BP122" s="81" t="str">
        <f t="shared" ca="1" si="71"/>
        <v/>
      </c>
      <c r="BR122" s="84">
        <f t="shared" si="64"/>
        <v>0</v>
      </c>
      <c r="BS122" s="84">
        <f t="shared" si="65"/>
        <v>0</v>
      </c>
      <c r="CA122" s="81" t="s">
        <v>2</v>
      </c>
      <c r="CB122" s="81">
        <f t="shared" si="72"/>
        <v>0</v>
      </c>
      <c r="CC122" s="81">
        <f t="shared" si="73"/>
        <v>0</v>
      </c>
      <c r="CD122" s="81" t="s">
        <v>16</v>
      </c>
      <c r="CE122" s="81">
        <f t="shared" si="74"/>
        <v>0</v>
      </c>
      <c r="CF122" s="81">
        <f t="shared" si="75"/>
        <v>0</v>
      </c>
      <c r="CG122" s="81" t="s">
        <v>5</v>
      </c>
      <c r="CH122" s="81">
        <f t="shared" si="76"/>
        <v>0</v>
      </c>
      <c r="CI122" s="81">
        <f t="shared" si="77"/>
        <v>0</v>
      </c>
      <c r="CJ122" s="81" t="s">
        <v>18</v>
      </c>
      <c r="CK122" s="81">
        <f t="shared" si="78"/>
        <v>0</v>
      </c>
      <c r="CL122" s="81">
        <f t="shared" si="79"/>
        <v>0</v>
      </c>
      <c r="CM122" s="81" t="s">
        <v>4</v>
      </c>
      <c r="CN122" s="81">
        <f t="shared" si="80"/>
        <v>0</v>
      </c>
      <c r="CO122" s="81">
        <f t="shared" si="81"/>
        <v>0</v>
      </c>
      <c r="CP122" s="81" t="s">
        <v>22</v>
      </c>
      <c r="CQ122" s="81">
        <f t="shared" si="82"/>
        <v>0</v>
      </c>
      <c r="CR122" s="81">
        <f t="shared" si="83"/>
        <v>0</v>
      </c>
      <c r="CS122" s="81" t="s">
        <v>21</v>
      </c>
      <c r="CT122" s="81">
        <f t="shared" si="84"/>
        <v>0</v>
      </c>
      <c r="CU122" s="81">
        <f t="shared" si="85"/>
        <v>0</v>
      </c>
      <c r="CV122" s="81" t="s">
        <v>998</v>
      </c>
      <c r="CW122" s="81">
        <f t="shared" si="86"/>
        <v>0</v>
      </c>
      <c r="CX122" s="81">
        <f t="shared" si="87"/>
        <v>0</v>
      </c>
      <c r="CY122" s="81" t="s">
        <v>19</v>
      </c>
      <c r="CZ122" s="81">
        <f t="shared" si="88"/>
        <v>0</v>
      </c>
      <c r="DA122" s="81">
        <f t="shared" si="89"/>
        <v>0</v>
      </c>
      <c r="DB122" s="81" t="s">
        <v>20</v>
      </c>
      <c r="DC122" s="81">
        <f t="shared" si="90"/>
        <v>0</v>
      </c>
      <c r="DD122" s="81">
        <f t="shared" si="91"/>
        <v>0</v>
      </c>
      <c r="DE122" s="81" t="s">
        <v>23</v>
      </c>
      <c r="DF122" s="81">
        <f t="shared" si="92"/>
        <v>0</v>
      </c>
      <c r="DG122" s="81">
        <f t="shared" si="93"/>
        <v>0</v>
      </c>
      <c r="DH122" s="81" t="s">
        <v>15</v>
      </c>
      <c r="DI122" s="81">
        <f t="shared" si="94"/>
        <v>0</v>
      </c>
      <c r="DJ122" s="81">
        <f t="shared" si="95"/>
        <v>0</v>
      </c>
      <c r="DK122" s="81" t="s">
        <v>5344</v>
      </c>
      <c r="DL122" s="81">
        <f t="shared" si="96"/>
        <v>0</v>
      </c>
      <c r="DM122" s="81">
        <f t="shared" si="97"/>
        <v>0</v>
      </c>
      <c r="DN122" s="81" t="s">
        <v>7</v>
      </c>
      <c r="DO122" s="81">
        <f t="shared" si="98"/>
        <v>0</v>
      </c>
      <c r="DP122" s="81">
        <f t="shared" si="99"/>
        <v>0</v>
      </c>
      <c r="DQ122" s="81" t="s">
        <v>1</v>
      </c>
      <c r="DR122" s="81">
        <f t="shared" si="100"/>
        <v>0</v>
      </c>
      <c r="DS122" s="81">
        <f t="shared" si="101"/>
        <v>0</v>
      </c>
    </row>
    <row r="123" spans="14:123" x14ac:dyDescent="0.3">
      <c r="N123" s="81">
        <f>IF(Q124=0,IF(Q123=0,,"x"),)</f>
        <v>0</v>
      </c>
      <c r="O123" s="81">
        <f t="shared" si="102"/>
        <v>0</v>
      </c>
      <c r="P123" s="81">
        <f t="shared" si="66"/>
        <v>0</v>
      </c>
      <c r="Q123" s="81">
        <f t="shared" si="103"/>
        <v>0</v>
      </c>
      <c r="R123" s="81">
        <f>IF(W123="",,SUM($W$4:W123))</f>
        <v>0</v>
      </c>
      <c r="S123" s="81">
        <f t="shared" si="67"/>
        <v>0</v>
      </c>
      <c r="T123" s="81">
        <f t="shared" si="104"/>
        <v>0</v>
      </c>
      <c r="U123" s="81">
        <f t="shared" si="68"/>
        <v>0</v>
      </c>
      <c r="V123" s="81" t="str">
        <f t="shared" ca="1" si="69"/>
        <v/>
      </c>
      <c r="X123" s="81">
        <f t="shared" si="107"/>
        <v>0</v>
      </c>
      <c r="Y123" s="81">
        <f t="shared" si="108"/>
        <v>0</v>
      </c>
      <c r="AE123" s="81">
        <v>123</v>
      </c>
      <c r="AI123" s="81">
        <v>120</v>
      </c>
      <c r="AJ123" s="81" t="str">
        <f t="shared" si="57"/>
        <v>Augusti 28</v>
      </c>
      <c r="AK123" s="81" t="str">
        <f t="shared" si="106"/>
        <v>Augusti</v>
      </c>
      <c r="AL123" s="81">
        <f t="shared" si="105"/>
        <v>28</v>
      </c>
      <c r="AM123" s="81" t="str">
        <f t="shared" si="70"/>
        <v>='Augusti 28'!</v>
      </c>
      <c r="AN123" s="81" t="str">
        <f t="shared" si="63"/>
        <v>='Augusti 28'!C27</v>
      </c>
      <c r="AO123" s="81" t="s">
        <v>1123</v>
      </c>
      <c r="AR123" s="81" t="s">
        <v>183</v>
      </c>
      <c r="AS123" s="83" t="str">
        <f t="shared" si="58"/>
        <v>='Augusti 28'!C6</v>
      </c>
      <c r="AT123" s="83">
        <f t="shared" si="59"/>
        <v>0</v>
      </c>
      <c r="AV123" s="81" t="s">
        <v>484</v>
      </c>
      <c r="AW123" s="81" t="s">
        <v>2627</v>
      </c>
      <c r="AX123" s="81" t="s">
        <v>2628</v>
      </c>
      <c r="AY123" s="81" t="s">
        <v>2629</v>
      </c>
      <c r="AZ123" s="81" t="s">
        <v>2630</v>
      </c>
      <c r="BA123" s="81" t="s">
        <v>2631</v>
      </c>
      <c r="BB123" s="81" t="s">
        <v>2632</v>
      </c>
      <c r="BC123" s="81" t="s">
        <v>2633</v>
      </c>
      <c r="BD123" s="81" t="s">
        <v>2634</v>
      </c>
      <c r="BE123" s="81" t="s">
        <v>2635</v>
      </c>
      <c r="BF123" s="81" t="s">
        <v>2636</v>
      </c>
      <c r="BG123" s="81" t="s">
        <v>2637</v>
      </c>
      <c r="BH123" s="81" t="s">
        <v>4740</v>
      </c>
      <c r="BI123" s="81" t="s">
        <v>5044</v>
      </c>
      <c r="BJ123" s="81" t="s">
        <v>183</v>
      </c>
      <c r="BL123" s="81" t="s">
        <v>787</v>
      </c>
      <c r="BM123" s="81">
        <v>120</v>
      </c>
      <c r="BN123" s="81" t="str">
        <f t="shared" si="60"/>
        <v>='Augusti 28'!C12</v>
      </c>
      <c r="BP123" s="81" t="str">
        <f t="shared" ca="1" si="71"/>
        <v/>
      </c>
      <c r="BR123" s="84">
        <f t="shared" si="64"/>
        <v>0</v>
      </c>
      <c r="BS123" s="84">
        <f t="shared" si="65"/>
        <v>0</v>
      </c>
      <c r="CA123" s="81" t="s">
        <v>2</v>
      </c>
      <c r="CB123" s="81">
        <f t="shared" si="72"/>
        <v>0</v>
      </c>
      <c r="CC123" s="81">
        <f t="shared" si="73"/>
        <v>0</v>
      </c>
      <c r="CD123" s="81" t="s">
        <v>16</v>
      </c>
      <c r="CE123" s="81">
        <f t="shared" si="74"/>
        <v>0</v>
      </c>
      <c r="CF123" s="81">
        <f t="shared" si="75"/>
        <v>0</v>
      </c>
      <c r="CG123" s="81" t="s">
        <v>5</v>
      </c>
      <c r="CH123" s="81">
        <f t="shared" si="76"/>
        <v>0</v>
      </c>
      <c r="CI123" s="81">
        <f t="shared" si="77"/>
        <v>0</v>
      </c>
      <c r="CJ123" s="81" t="s">
        <v>18</v>
      </c>
      <c r="CK123" s="81">
        <f t="shared" si="78"/>
        <v>0</v>
      </c>
      <c r="CL123" s="81">
        <f t="shared" si="79"/>
        <v>0</v>
      </c>
      <c r="CM123" s="81" t="s">
        <v>4</v>
      </c>
      <c r="CN123" s="81">
        <f t="shared" si="80"/>
        <v>0</v>
      </c>
      <c r="CO123" s="81">
        <f t="shared" si="81"/>
        <v>0</v>
      </c>
      <c r="CP123" s="81" t="s">
        <v>22</v>
      </c>
      <c r="CQ123" s="81">
        <f t="shared" si="82"/>
        <v>0</v>
      </c>
      <c r="CR123" s="81">
        <f t="shared" si="83"/>
        <v>0</v>
      </c>
      <c r="CS123" s="81" t="s">
        <v>21</v>
      </c>
      <c r="CT123" s="81">
        <f t="shared" si="84"/>
        <v>0</v>
      </c>
      <c r="CU123" s="81">
        <f t="shared" si="85"/>
        <v>0</v>
      </c>
      <c r="CV123" s="81" t="s">
        <v>998</v>
      </c>
      <c r="CW123" s="81">
        <f t="shared" si="86"/>
        <v>0</v>
      </c>
      <c r="CX123" s="81">
        <f t="shared" si="87"/>
        <v>0</v>
      </c>
      <c r="CY123" s="81" t="s">
        <v>19</v>
      </c>
      <c r="CZ123" s="81">
        <f t="shared" si="88"/>
        <v>0</v>
      </c>
      <c r="DA123" s="81">
        <f t="shared" si="89"/>
        <v>0</v>
      </c>
      <c r="DB123" s="81" t="s">
        <v>20</v>
      </c>
      <c r="DC123" s="81">
        <f t="shared" si="90"/>
        <v>0</v>
      </c>
      <c r="DD123" s="81">
        <f t="shared" si="91"/>
        <v>0</v>
      </c>
      <c r="DE123" s="81" t="s">
        <v>23</v>
      </c>
      <c r="DF123" s="81">
        <f t="shared" si="92"/>
        <v>0</v>
      </c>
      <c r="DG123" s="81">
        <f t="shared" si="93"/>
        <v>0</v>
      </c>
      <c r="DH123" s="81" t="s">
        <v>15</v>
      </c>
      <c r="DI123" s="81">
        <f t="shared" si="94"/>
        <v>0</v>
      </c>
      <c r="DJ123" s="81">
        <f t="shared" si="95"/>
        <v>0</v>
      </c>
      <c r="DK123" s="81" t="s">
        <v>5345</v>
      </c>
      <c r="DL123" s="81">
        <f t="shared" si="96"/>
        <v>0</v>
      </c>
      <c r="DM123" s="81">
        <f t="shared" si="97"/>
        <v>0</v>
      </c>
      <c r="DN123" s="81" t="s">
        <v>7</v>
      </c>
      <c r="DO123" s="81">
        <f t="shared" si="98"/>
        <v>0</v>
      </c>
      <c r="DP123" s="81">
        <f t="shared" si="99"/>
        <v>0</v>
      </c>
      <c r="DQ123" s="81" t="s">
        <v>1</v>
      </c>
      <c r="DR123" s="81">
        <f t="shared" si="100"/>
        <v>0</v>
      </c>
      <c r="DS123" s="81">
        <f t="shared" si="101"/>
        <v>0</v>
      </c>
    </row>
    <row r="124" spans="14:123" x14ac:dyDescent="0.3">
      <c r="N124" s="81">
        <f>IF(Q125=0,IF(Q124=0,,"x"),)</f>
        <v>0</v>
      </c>
      <c r="O124" s="81">
        <f t="shared" si="102"/>
        <v>0</v>
      </c>
      <c r="P124" s="81">
        <f t="shared" si="66"/>
        <v>0</v>
      </c>
      <c r="Q124" s="81">
        <f t="shared" si="103"/>
        <v>0</v>
      </c>
      <c r="R124" s="81">
        <f>IF(W124="",,SUM($W$4:W124))</f>
        <v>0</v>
      </c>
      <c r="S124" s="81">
        <f t="shared" si="67"/>
        <v>0</v>
      </c>
      <c r="T124" s="81">
        <f t="shared" si="104"/>
        <v>0</v>
      </c>
      <c r="U124" s="81">
        <f t="shared" si="68"/>
        <v>0</v>
      </c>
      <c r="V124" s="81" t="str">
        <f t="shared" ca="1" si="69"/>
        <v/>
      </c>
      <c r="X124" s="81">
        <f t="shared" si="107"/>
        <v>0</v>
      </c>
      <c r="Y124" s="81">
        <f t="shared" si="108"/>
        <v>0</v>
      </c>
      <c r="AE124" s="81">
        <v>124</v>
      </c>
      <c r="AI124" s="81">
        <v>121</v>
      </c>
      <c r="AJ124" s="81" t="str">
        <f t="shared" si="57"/>
        <v>September 28</v>
      </c>
      <c r="AK124" s="81" t="str">
        <f t="shared" si="106"/>
        <v>September</v>
      </c>
      <c r="AL124" s="81">
        <f t="shared" si="105"/>
        <v>28</v>
      </c>
      <c r="AM124" s="81" t="str">
        <f t="shared" si="70"/>
        <v>='September 28'!</v>
      </c>
      <c r="AN124" s="81" t="str">
        <f t="shared" si="63"/>
        <v>='September 28'!C27</v>
      </c>
      <c r="AO124" s="81" t="s">
        <v>1124</v>
      </c>
      <c r="AR124" s="81" t="s">
        <v>184</v>
      </c>
      <c r="AS124" s="83" t="str">
        <f t="shared" si="58"/>
        <v>='September 28'!C6</v>
      </c>
      <c r="AT124" s="83">
        <f t="shared" si="59"/>
        <v>0</v>
      </c>
      <c r="AV124" s="81" t="s">
        <v>485</v>
      </c>
      <c r="AW124" s="81" t="s">
        <v>2638</v>
      </c>
      <c r="AX124" s="81" t="s">
        <v>2639</v>
      </c>
      <c r="AY124" s="81" t="s">
        <v>2640</v>
      </c>
      <c r="AZ124" s="81" t="s">
        <v>2641</v>
      </c>
      <c r="BA124" s="81" t="s">
        <v>2642</v>
      </c>
      <c r="BB124" s="81" t="s">
        <v>2643</v>
      </c>
      <c r="BC124" s="81" t="s">
        <v>2644</v>
      </c>
      <c r="BD124" s="81" t="s">
        <v>2645</v>
      </c>
      <c r="BE124" s="81" t="s">
        <v>2646</v>
      </c>
      <c r="BF124" s="81" t="s">
        <v>2647</v>
      </c>
      <c r="BG124" s="81" t="s">
        <v>2648</v>
      </c>
      <c r="BH124" s="81" t="s">
        <v>4741</v>
      </c>
      <c r="BI124" s="81" t="s">
        <v>5045</v>
      </c>
      <c r="BJ124" s="81" t="s">
        <v>184</v>
      </c>
      <c r="BL124" s="81" t="s">
        <v>788</v>
      </c>
      <c r="BM124" s="81">
        <v>121</v>
      </c>
      <c r="BN124" s="81" t="str">
        <f t="shared" si="60"/>
        <v>='September 28'!C12</v>
      </c>
      <c r="BP124" s="81" t="str">
        <f t="shared" ca="1" si="71"/>
        <v/>
      </c>
      <c r="BR124" s="84">
        <f t="shared" si="64"/>
        <v>0</v>
      </c>
      <c r="BS124" s="84">
        <f t="shared" si="65"/>
        <v>0</v>
      </c>
      <c r="CA124" s="81" t="s">
        <v>2</v>
      </c>
      <c r="CB124" s="81">
        <f t="shared" si="72"/>
        <v>0</v>
      </c>
      <c r="CC124" s="81">
        <f t="shared" si="73"/>
        <v>0</v>
      </c>
      <c r="CD124" s="81" t="s">
        <v>16</v>
      </c>
      <c r="CE124" s="81">
        <f t="shared" si="74"/>
        <v>0</v>
      </c>
      <c r="CF124" s="81">
        <f t="shared" si="75"/>
        <v>0</v>
      </c>
      <c r="CG124" s="81" t="s">
        <v>5</v>
      </c>
      <c r="CH124" s="81">
        <f t="shared" si="76"/>
        <v>0</v>
      </c>
      <c r="CI124" s="81">
        <f t="shared" si="77"/>
        <v>0</v>
      </c>
      <c r="CJ124" s="81" t="s">
        <v>18</v>
      </c>
      <c r="CK124" s="81">
        <f t="shared" si="78"/>
        <v>0</v>
      </c>
      <c r="CL124" s="81">
        <f t="shared" si="79"/>
        <v>0</v>
      </c>
      <c r="CM124" s="81" t="s">
        <v>4</v>
      </c>
      <c r="CN124" s="81">
        <f t="shared" si="80"/>
        <v>0</v>
      </c>
      <c r="CO124" s="81">
        <f t="shared" si="81"/>
        <v>0</v>
      </c>
      <c r="CP124" s="81" t="s">
        <v>22</v>
      </c>
      <c r="CQ124" s="81">
        <f t="shared" si="82"/>
        <v>0</v>
      </c>
      <c r="CR124" s="81">
        <f t="shared" si="83"/>
        <v>0</v>
      </c>
      <c r="CS124" s="81" t="s">
        <v>21</v>
      </c>
      <c r="CT124" s="81">
        <f t="shared" si="84"/>
        <v>0</v>
      </c>
      <c r="CU124" s="81">
        <f t="shared" si="85"/>
        <v>0</v>
      </c>
      <c r="CV124" s="81" t="s">
        <v>998</v>
      </c>
      <c r="CW124" s="81">
        <f t="shared" si="86"/>
        <v>0</v>
      </c>
      <c r="CX124" s="81">
        <f t="shared" si="87"/>
        <v>0</v>
      </c>
      <c r="CY124" s="81" t="s">
        <v>19</v>
      </c>
      <c r="CZ124" s="81">
        <f t="shared" si="88"/>
        <v>0</v>
      </c>
      <c r="DA124" s="81">
        <f t="shared" si="89"/>
        <v>0</v>
      </c>
      <c r="DB124" s="81" t="s">
        <v>20</v>
      </c>
      <c r="DC124" s="81">
        <f t="shared" si="90"/>
        <v>0</v>
      </c>
      <c r="DD124" s="81">
        <f t="shared" si="91"/>
        <v>0</v>
      </c>
      <c r="DE124" s="81" t="s">
        <v>23</v>
      </c>
      <c r="DF124" s="81">
        <f t="shared" si="92"/>
        <v>0</v>
      </c>
      <c r="DG124" s="81">
        <f t="shared" si="93"/>
        <v>0</v>
      </c>
      <c r="DH124" s="81" t="s">
        <v>15</v>
      </c>
      <c r="DI124" s="81">
        <f t="shared" si="94"/>
        <v>0</v>
      </c>
      <c r="DJ124" s="81">
        <f t="shared" si="95"/>
        <v>0</v>
      </c>
      <c r="DK124" s="81" t="s">
        <v>5346</v>
      </c>
      <c r="DL124" s="81">
        <f t="shared" si="96"/>
        <v>0</v>
      </c>
      <c r="DM124" s="81">
        <f t="shared" si="97"/>
        <v>0</v>
      </c>
      <c r="DN124" s="81" t="s">
        <v>7</v>
      </c>
      <c r="DO124" s="81">
        <f t="shared" si="98"/>
        <v>0</v>
      </c>
      <c r="DP124" s="81">
        <f t="shared" si="99"/>
        <v>0</v>
      </c>
      <c r="DQ124" s="81" t="s">
        <v>1</v>
      </c>
      <c r="DR124" s="81">
        <f t="shared" si="100"/>
        <v>0</v>
      </c>
      <c r="DS124" s="81">
        <f t="shared" si="101"/>
        <v>0</v>
      </c>
    </row>
    <row r="125" spans="14:123" x14ac:dyDescent="0.3">
      <c r="N125" s="81">
        <f>IF(Q126=0,IF(Q125=0,,"x"),)</f>
        <v>0</v>
      </c>
      <c r="O125" s="81">
        <f t="shared" si="102"/>
        <v>0</v>
      </c>
      <c r="P125" s="81">
        <f t="shared" si="66"/>
        <v>0</v>
      </c>
      <c r="Q125" s="81">
        <f t="shared" si="103"/>
        <v>0</v>
      </c>
      <c r="R125" s="81">
        <f>IF(W125="",,SUM($W$4:W125))</f>
        <v>0</v>
      </c>
      <c r="S125" s="81">
        <f t="shared" si="67"/>
        <v>0</v>
      </c>
      <c r="T125" s="81">
        <f t="shared" si="104"/>
        <v>0</v>
      </c>
      <c r="U125" s="81">
        <f t="shared" si="68"/>
        <v>0</v>
      </c>
      <c r="V125" s="81" t="str">
        <f t="shared" ca="1" si="69"/>
        <v/>
      </c>
      <c r="X125" s="81">
        <f t="shared" si="107"/>
        <v>0</v>
      </c>
      <c r="Y125" s="81">
        <f t="shared" si="108"/>
        <v>0</v>
      </c>
      <c r="AE125" s="81">
        <v>125</v>
      </c>
      <c r="AI125" s="81">
        <v>122</v>
      </c>
      <c r="AJ125" s="81" t="str">
        <f t="shared" si="57"/>
        <v>Oktober 28</v>
      </c>
      <c r="AK125" s="81" t="str">
        <f t="shared" si="106"/>
        <v>Oktober</v>
      </c>
      <c r="AL125" s="81">
        <f t="shared" si="105"/>
        <v>28</v>
      </c>
      <c r="AM125" s="81" t="str">
        <f t="shared" si="70"/>
        <v>='Oktober 28'!</v>
      </c>
      <c r="AN125" s="81" t="str">
        <f t="shared" si="63"/>
        <v>='Oktober 28'!C27</v>
      </c>
      <c r="AO125" s="81" t="s">
        <v>1125</v>
      </c>
      <c r="AR125" s="81" t="s">
        <v>185</v>
      </c>
      <c r="AS125" s="83" t="str">
        <f t="shared" si="58"/>
        <v>='Oktober 28'!C6</v>
      </c>
      <c r="AT125" s="83">
        <f t="shared" si="59"/>
        <v>0</v>
      </c>
      <c r="AV125" s="81" t="s">
        <v>486</v>
      </c>
      <c r="AW125" s="81" t="s">
        <v>2649</v>
      </c>
      <c r="AX125" s="81" t="s">
        <v>2650</v>
      </c>
      <c r="AY125" s="81" t="s">
        <v>2651</v>
      </c>
      <c r="AZ125" s="81" t="s">
        <v>2652</v>
      </c>
      <c r="BA125" s="81" t="s">
        <v>2653</v>
      </c>
      <c r="BB125" s="81" t="s">
        <v>2654</v>
      </c>
      <c r="BC125" s="81" t="s">
        <v>2655</v>
      </c>
      <c r="BD125" s="81" t="s">
        <v>2656</v>
      </c>
      <c r="BE125" s="81" t="s">
        <v>2657</v>
      </c>
      <c r="BF125" s="81" t="s">
        <v>2658</v>
      </c>
      <c r="BG125" s="81" t="s">
        <v>2659</v>
      </c>
      <c r="BH125" s="81" t="s">
        <v>4742</v>
      </c>
      <c r="BI125" s="81" t="s">
        <v>5046</v>
      </c>
      <c r="BJ125" s="81" t="s">
        <v>185</v>
      </c>
      <c r="BL125" s="81" t="s">
        <v>789</v>
      </c>
      <c r="BM125" s="81">
        <v>122</v>
      </c>
      <c r="BN125" s="81" t="str">
        <f t="shared" si="60"/>
        <v>='Oktober 28'!C12</v>
      </c>
      <c r="BP125" s="81" t="str">
        <f t="shared" ca="1" si="71"/>
        <v/>
      </c>
      <c r="BR125" s="84">
        <f t="shared" si="64"/>
        <v>0</v>
      </c>
      <c r="BS125" s="84">
        <f t="shared" si="65"/>
        <v>0</v>
      </c>
      <c r="CA125" s="81" t="s">
        <v>2</v>
      </c>
      <c r="CB125" s="81">
        <f t="shared" si="72"/>
        <v>0</v>
      </c>
      <c r="CC125" s="81">
        <f t="shared" si="73"/>
        <v>0</v>
      </c>
      <c r="CD125" s="81" t="s">
        <v>16</v>
      </c>
      <c r="CE125" s="81">
        <f t="shared" si="74"/>
        <v>0</v>
      </c>
      <c r="CF125" s="81">
        <f t="shared" si="75"/>
        <v>0</v>
      </c>
      <c r="CG125" s="81" t="s">
        <v>5</v>
      </c>
      <c r="CH125" s="81">
        <f t="shared" si="76"/>
        <v>0</v>
      </c>
      <c r="CI125" s="81">
        <f t="shared" si="77"/>
        <v>0</v>
      </c>
      <c r="CJ125" s="81" t="s">
        <v>18</v>
      </c>
      <c r="CK125" s="81">
        <f t="shared" si="78"/>
        <v>0</v>
      </c>
      <c r="CL125" s="81">
        <f t="shared" si="79"/>
        <v>0</v>
      </c>
      <c r="CM125" s="81" t="s">
        <v>4</v>
      </c>
      <c r="CN125" s="81">
        <f t="shared" si="80"/>
        <v>0</v>
      </c>
      <c r="CO125" s="81">
        <f t="shared" si="81"/>
        <v>0</v>
      </c>
      <c r="CP125" s="81" t="s">
        <v>22</v>
      </c>
      <c r="CQ125" s="81">
        <f t="shared" si="82"/>
        <v>0</v>
      </c>
      <c r="CR125" s="81">
        <f t="shared" si="83"/>
        <v>0</v>
      </c>
      <c r="CS125" s="81" t="s">
        <v>21</v>
      </c>
      <c r="CT125" s="81">
        <f t="shared" si="84"/>
        <v>0</v>
      </c>
      <c r="CU125" s="81">
        <f t="shared" si="85"/>
        <v>0</v>
      </c>
      <c r="CV125" s="81" t="s">
        <v>998</v>
      </c>
      <c r="CW125" s="81">
        <f t="shared" si="86"/>
        <v>0</v>
      </c>
      <c r="CX125" s="81">
        <f t="shared" si="87"/>
        <v>0</v>
      </c>
      <c r="CY125" s="81" t="s">
        <v>19</v>
      </c>
      <c r="CZ125" s="81">
        <f t="shared" si="88"/>
        <v>0</v>
      </c>
      <c r="DA125" s="81">
        <f t="shared" si="89"/>
        <v>0</v>
      </c>
      <c r="DB125" s="81" t="s">
        <v>20</v>
      </c>
      <c r="DC125" s="81">
        <f t="shared" si="90"/>
        <v>0</v>
      </c>
      <c r="DD125" s="81">
        <f t="shared" si="91"/>
        <v>0</v>
      </c>
      <c r="DE125" s="81" t="s">
        <v>23</v>
      </c>
      <c r="DF125" s="81">
        <f t="shared" si="92"/>
        <v>0</v>
      </c>
      <c r="DG125" s="81">
        <f t="shared" si="93"/>
        <v>0</v>
      </c>
      <c r="DH125" s="81" t="s">
        <v>15</v>
      </c>
      <c r="DI125" s="81">
        <f t="shared" si="94"/>
        <v>0</v>
      </c>
      <c r="DJ125" s="81">
        <f t="shared" si="95"/>
        <v>0</v>
      </c>
      <c r="DK125" s="81" t="s">
        <v>5347</v>
      </c>
      <c r="DL125" s="81">
        <f t="shared" si="96"/>
        <v>0</v>
      </c>
      <c r="DM125" s="81">
        <f t="shared" si="97"/>
        <v>0</v>
      </c>
      <c r="DN125" s="81" t="s">
        <v>7</v>
      </c>
      <c r="DO125" s="81">
        <f t="shared" si="98"/>
        <v>0</v>
      </c>
      <c r="DP125" s="81">
        <f t="shared" si="99"/>
        <v>0</v>
      </c>
      <c r="DQ125" s="81" t="s">
        <v>1</v>
      </c>
      <c r="DR125" s="81">
        <f t="shared" si="100"/>
        <v>0</v>
      </c>
      <c r="DS125" s="81">
        <f t="shared" si="101"/>
        <v>0</v>
      </c>
    </row>
    <row r="126" spans="14:123" x14ac:dyDescent="0.3">
      <c r="N126" s="81">
        <f>IF(Q127=0,IF(Q126=0,,"x"),)</f>
        <v>0</v>
      </c>
      <c r="O126" s="81">
        <f t="shared" si="102"/>
        <v>0</v>
      </c>
      <c r="P126" s="81">
        <f t="shared" si="66"/>
        <v>0</v>
      </c>
      <c r="Q126" s="81">
        <f t="shared" si="103"/>
        <v>0</v>
      </c>
      <c r="R126" s="81">
        <f>IF(W126="",,SUM($W$4:W126))</f>
        <v>0</v>
      </c>
      <c r="S126" s="81">
        <f t="shared" si="67"/>
        <v>0</v>
      </c>
      <c r="T126" s="81">
        <f t="shared" si="104"/>
        <v>0</v>
      </c>
      <c r="U126" s="81">
        <f t="shared" si="68"/>
        <v>0</v>
      </c>
      <c r="V126" s="81" t="str">
        <f t="shared" ca="1" si="69"/>
        <v/>
      </c>
      <c r="X126" s="81">
        <f t="shared" si="107"/>
        <v>0</v>
      </c>
      <c r="Y126" s="81">
        <f t="shared" si="108"/>
        <v>0</v>
      </c>
      <c r="AE126" s="81">
        <v>126</v>
      </c>
      <c r="AI126" s="81">
        <v>123</v>
      </c>
      <c r="AJ126" s="81" t="str">
        <f t="shared" si="57"/>
        <v>November 28</v>
      </c>
      <c r="AK126" s="81" t="str">
        <f t="shared" si="106"/>
        <v>November</v>
      </c>
      <c r="AL126" s="81">
        <f t="shared" si="105"/>
        <v>28</v>
      </c>
      <c r="AM126" s="81" t="str">
        <f t="shared" si="70"/>
        <v>='November 28'!</v>
      </c>
      <c r="AN126" s="81" t="str">
        <f t="shared" si="63"/>
        <v>='November 28'!C27</v>
      </c>
      <c r="AO126" s="81" t="s">
        <v>1126</v>
      </c>
      <c r="AR126" s="81" t="s">
        <v>186</v>
      </c>
      <c r="AS126" s="83" t="str">
        <f t="shared" si="58"/>
        <v>='November 28'!C6</v>
      </c>
      <c r="AT126" s="83">
        <f t="shared" si="59"/>
        <v>0</v>
      </c>
      <c r="AV126" s="81" t="s">
        <v>487</v>
      </c>
      <c r="AW126" s="81" t="s">
        <v>2660</v>
      </c>
      <c r="AX126" s="81" t="s">
        <v>2661</v>
      </c>
      <c r="AY126" s="81" t="s">
        <v>2662</v>
      </c>
      <c r="AZ126" s="81" t="s">
        <v>2663</v>
      </c>
      <c r="BA126" s="81" t="s">
        <v>2664</v>
      </c>
      <c r="BB126" s="81" t="s">
        <v>2665</v>
      </c>
      <c r="BC126" s="81" t="s">
        <v>2666</v>
      </c>
      <c r="BD126" s="81" t="s">
        <v>2667</v>
      </c>
      <c r="BE126" s="81" t="s">
        <v>2668</v>
      </c>
      <c r="BF126" s="81" t="s">
        <v>2669</v>
      </c>
      <c r="BG126" s="81" t="s">
        <v>2670</v>
      </c>
      <c r="BH126" s="81" t="s">
        <v>4743</v>
      </c>
      <c r="BI126" s="81" t="s">
        <v>5047</v>
      </c>
      <c r="BJ126" s="81" t="s">
        <v>186</v>
      </c>
      <c r="BL126" s="81" t="s">
        <v>790</v>
      </c>
      <c r="BM126" s="81">
        <v>123</v>
      </c>
      <c r="BN126" s="81" t="str">
        <f t="shared" si="60"/>
        <v>='November 28'!C12</v>
      </c>
      <c r="BP126" s="81" t="str">
        <f t="shared" ca="1" si="71"/>
        <v/>
      </c>
      <c r="BR126" s="84">
        <f t="shared" si="64"/>
        <v>0</v>
      </c>
      <c r="BS126" s="84">
        <f t="shared" si="65"/>
        <v>0</v>
      </c>
      <c r="CA126" s="81" t="s">
        <v>2</v>
      </c>
      <c r="CB126" s="81">
        <f t="shared" si="72"/>
        <v>0</v>
      </c>
      <c r="CC126" s="81">
        <f t="shared" si="73"/>
        <v>0</v>
      </c>
      <c r="CD126" s="81" t="s">
        <v>16</v>
      </c>
      <c r="CE126" s="81">
        <f t="shared" si="74"/>
        <v>0</v>
      </c>
      <c r="CF126" s="81">
        <f t="shared" si="75"/>
        <v>0</v>
      </c>
      <c r="CG126" s="81" t="s">
        <v>5</v>
      </c>
      <c r="CH126" s="81">
        <f t="shared" si="76"/>
        <v>0</v>
      </c>
      <c r="CI126" s="81">
        <f t="shared" si="77"/>
        <v>0</v>
      </c>
      <c r="CJ126" s="81" t="s">
        <v>18</v>
      </c>
      <c r="CK126" s="81">
        <f t="shared" si="78"/>
        <v>0</v>
      </c>
      <c r="CL126" s="81">
        <f t="shared" si="79"/>
        <v>0</v>
      </c>
      <c r="CM126" s="81" t="s">
        <v>4</v>
      </c>
      <c r="CN126" s="81">
        <f t="shared" si="80"/>
        <v>0</v>
      </c>
      <c r="CO126" s="81">
        <f t="shared" si="81"/>
        <v>0</v>
      </c>
      <c r="CP126" s="81" t="s">
        <v>22</v>
      </c>
      <c r="CQ126" s="81">
        <f t="shared" si="82"/>
        <v>0</v>
      </c>
      <c r="CR126" s="81">
        <f t="shared" si="83"/>
        <v>0</v>
      </c>
      <c r="CS126" s="81" t="s">
        <v>21</v>
      </c>
      <c r="CT126" s="81">
        <f t="shared" si="84"/>
        <v>0</v>
      </c>
      <c r="CU126" s="81">
        <f t="shared" si="85"/>
        <v>0</v>
      </c>
      <c r="CV126" s="81" t="s">
        <v>998</v>
      </c>
      <c r="CW126" s="81">
        <f t="shared" si="86"/>
        <v>0</v>
      </c>
      <c r="CX126" s="81">
        <f t="shared" si="87"/>
        <v>0</v>
      </c>
      <c r="CY126" s="81" t="s">
        <v>19</v>
      </c>
      <c r="CZ126" s="81">
        <f t="shared" si="88"/>
        <v>0</v>
      </c>
      <c r="DA126" s="81">
        <f t="shared" si="89"/>
        <v>0</v>
      </c>
      <c r="DB126" s="81" t="s">
        <v>20</v>
      </c>
      <c r="DC126" s="81">
        <f t="shared" si="90"/>
        <v>0</v>
      </c>
      <c r="DD126" s="81">
        <f t="shared" si="91"/>
        <v>0</v>
      </c>
      <c r="DE126" s="81" t="s">
        <v>23</v>
      </c>
      <c r="DF126" s="81">
        <f t="shared" si="92"/>
        <v>0</v>
      </c>
      <c r="DG126" s="81">
        <f t="shared" si="93"/>
        <v>0</v>
      </c>
      <c r="DH126" s="81" t="s">
        <v>15</v>
      </c>
      <c r="DI126" s="81">
        <f t="shared" si="94"/>
        <v>0</v>
      </c>
      <c r="DJ126" s="81">
        <f t="shared" si="95"/>
        <v>0</v>
      </c>
      <c r="DK126" s="81" t="s">
        <v>5348</v>
      </c>
      <c r="DL126" s="81">
        <f t="shared" si="96"/>
        <v>0</v>
      </c>
      <c r="DM126" s="81">
        <f t="shared" si="97"/>
        <v>0</v>
      </c>
      <c r="DN126" s="81" t="s">
        <v>7</v>
      </c>
      <c r="DO126" s="81">
        <f t="shared" si="98"/>
        <v>0</v>
      </c>
      <c r="DP126" s="81">
        <f t="shared" si="99"/>
        <v>0</v>
      </c>
      <c r="DQ126" s="81" t="s">
        <v>1</v>
      </c>
      <c r="DR126" s="81">
        <f t="shared" si="100"/>
        <v>0</v>
      </c>
      <c r="DS126" s="81">
        <f t="shared" si="101"/>
        <v>0</v>
      </c>
    </row>
    <row r="127" spans="14:123" x14ac:dyDescent="0.3">
      <c r="N127" s="81">
        <f>IF(Q128=0,IF(Q127=0,,"x"),)</f>
        <v>0</v>
      </c>
      <c r="O127" s="81">
        <f t="shared" si="102"/>
        <v>0</v>
      </c>
      <c r="P127" s="81">
        <f t="shared" si="66"/>
        <v>0</v>
      </c>
      <c r="Q127" s="81">
        <f t="shared" si="103"/>
        <v>0</v>
      </c>
      <c r="R127" s="81">
        <f>IF(W127="",,SUM($W$4:W127))</f>
        <v>0</v>
      </c>
      <c r="S127" s="81">
        <f t="shared" si="67"/>
        <v>0</v>
      </c>
      <c r="T127" s="81">
        <f t="shared" si="104"/>
        <v>0</v>
      </c>
      <c r="U127" s="81">
        <f t="shared" si="68"/>
        <v>0</v>
      </c>
      <c r="V127" s="81" t="str">
        <f t="shared" ca="1" si="69"/>
        <v/>
      </c>
      <c r="X127" s="81">
        <f t="shared" si="107"/>
        <v>0</v>
      </c>
      <c r="Y127" s="81">
        <f t="shared" si="108"/>
        <v>0</v>
      </c>
      <c r="AE127" s="81">
        <v>127</v>
      </c>
      <c r="AI127" s="81">
        <v>124</v>
      </c>
      <c r="AJ127" s="81" t="str">
        <f t="shared" si="57"/>
        <v>December 28</v>
      </c>
      <c r="AK127" s="81" t="str">
        <f t="shared" si="106"/>
        <v>December</v>
      </c>
      <c r="AL127" s="81">
        <f t="shared" si="105"/>
        <v>28</v>
      </c>
      <c r="AM127" s="81" t="str">
        <f t="shared" si="70"/>
        <v>='December 28'!</v>
      </c>
      <c r="AN127" s="81" t="str">
        <f t="shared" si="63"/>
        <v>='December 28'!C27</v>
      </c>
      <c r="AO127" s="81" t="s">
        <v>1127</v>
      </c>
      <c r="AR127" s="81" t="s">
        <v>187</v>
      </c>
      <c r="AS127" s="83" t="str">
        <f t="shared" si="58"/>
        <v>='December 28'!C6</v>
      </c>
      <c r="AT127" s="83">
        <f t="shared" si="59"/>
        <v>0</v>
      </c>
      <c r="AV127" s="81" t="s">
        <v>488</v>
      </c>
      <c r="AW127" s="81" t="s">
        <v>2671</v>
      </c>
      <c r="AX127" s="81" t="s">
        <v>2672</v>
      </c>
      <c r="AY127" s="81" t="s">
        <v>2673</v>
      </c>
      <c r="AZ127" s="81" t="s">
        <v>2674</v>
      </c>
      <c r="BA127" s="81" t="s">
        <v>2675</v>
      </c>
      <c r="BB127" s="81" t="s">
        <v>2676</v>
      </c>
      <c r="BC127" s="81" t="s">
        <v>2677</v>
      </c>
      <c r="BD127" s="81" t="s">
        <v>2678</v>
      </c>
      <c r="BE127" s="81" t="s">
        <v>2679</v>
      </c>
      <c r="BF127" s="81" t="s">
        <v>2680</v>
      </c>
      <c r="BG127" s="81" t="s">
        <v>2681</v>
      </c>
      <c r="BH127" s="81" t="s">
        <v>4744</v>
      </c>
      <c r="BI127" s="81" t="s">
        <v>5048</v>
      </c>
      <c r="BJ127" s="81" t="s">
        <v>187</v>
      </c>
      <c r="BL127" s="81" t="s">
        <v>791</v>
      </c>
      <c r="BM127" s="81">
        <v>124</v>
      </c>
      <c r="BN127" s="81" t="str">
        <f t="shared" si="60"/>
        <v>='December 28'!C12</v>
      </c>
      <c r="BP127" s="81" t="str">
        <f t="shared" ca="1" si="71"/>
        <v/>
      </c>
      <c r="BR127" s="84">
        <f t="shared" si="64"/>
        <v>0</v>
      </c>
      <c r="BS127" s="84">
        <f t="shared" si="65"/>
        <v>0</v>
      </c>
      <c r="CA127" s="81" t="s">
        <v>2</v>
      </c>
      <c r="CB127" s="81">
        <f t="shared" si="72"/>
        <v>0</v>
      </c>
      <c r="CC127" s="81">
        <f t="shared" si="73"/>
        <v>0</v>
      </c>
      <c r="CD127" s="81" t="s">
        <v>16</v>
      </c>
      <c r="CE127" s="81">
        <f t="shared" si="74"/>
        <v>0</v>
      </c>
      <c r="CF127" s="81">
        <f t="shared" si="75"/>
        <v>0</v>
      </c>
      <c r="CG127" s="81" t="s">
        <v>5</v>
      </c>
      <c r="CH127" s="81">
        <f t="shared" si="76"/>
        <v>0</v>
      </c>
      <c r="CI127" s="81">
        <f t="shared" si="77"/>
        <v>0</v>
      </c>
      <c r="CJ127" s="81" t="s">
        <v>18</v>
      </c>
      <c r="CK127" s="81">
        <f t="shared" si="78"/>
        <v>0</v>
      </c>
      <c r="CL127" s="81">
        <f t="shared" si="79"/>
        <v>0</v>
      </c>
      <c r="CM127" s="81" t="s">
        <v>4</v>
      </c>
      <c r="CN127" s="81">
        <f t="shared" si="80"/>
        <v>0</v>
      </c>
      <c r="CO127" s="81">
        <f t="shared" si="81"/>
        <v>0</v>
      </c>
      <c r="CP127" s="81" t="s">
        <v>22</v>
      </c>
      <c r="CQ127" s="81">
        <f t="shared" si="82"/>
        <v>0</v>
      </c>
      <c r="CR127" s="81">
        <f t="shared" si="83"/>
        <v>0</v>
      </c>
      <c r="CS127" s="81" t="s">
        <v>21</v>
      </c>
      <c r="CT127" s="81">
        <f t="shared" si="84"/>
        <v>0</v>
      </c>
      <c r="CU127" s="81">
        <f t="shared" si="85"/>
        <v>0</v>
      </c>
      <c r="CV127" s="81" t="s">
        <v>998</v>
      </c>
      <c r="CW127" s="81">
        <f t="shared" si="86"/>
        <v>0</v>
      </c>
      <c r="CX127" s="81">
        <f t="shared" si="87"/>
        <v>0</v>
      </c>
      <c r="CY127" s="81" t="s">
        <v>19</v>
      </c>
      <c r="CZ127" s="81">
        <f t="shared" si="88"/>
        <v>0</v>
      </c>
      <c r="DA127" s="81">
        <f t="shared" si="89"/>
        <v>0</v>
      </c>
      <c r="DB127" s="81" t="s">
        <v>20</v>
      </c>
      <c r="DC127" s="81">
        <f t="shared" si="90"/>
        <v>0</v>
      </c>
      <c r="DD127" s="81">
        <f t="shared" si="91"/>
        <v>0</v>
      </c>
      <c r="DE127" s="81" t="s">
        <v>23</v>
      </c>
      <c r="DF127" s="81">
        <f t="shared" si="92"/>
        <v>0</v>
      </c>
      <c r="DG127" s="81">
        <f t="shared" si="93"/>
        <v>0</v>
      </c>
      <c r="DH127" s="81" t="s">
        <v>15</v>
      </c>
      <c r="DI127" s="81">
        <f t="shared" si="94"/>
        <v>0</v>
      </c>
      <c r="DJ127" s="81">
        <f t="shared" si="95"/>
        <v>0</v>
      </c>
      <c r="DK127" s="81" t="s">
        <v>5349</v>
      </c>
      <c r="DL127" s="81">
        <f t="shared" si="96"/>
        <v>0</v>
      </c>
      <c r="DM127" s="81">
        <f t="shared" si="97"/>
        <v>0</v>
      </c>
      <c r="DN127" s="81" t="s">
        <v>7</v>
      </c>
      <c r="DO127" s="81">
        <f t="shared" si="98"/>
        <v>0</v>
      </c>
      <c r="DP127" s="81">
        <f t="shared" si="99"/>
        <v>0</v>
      </c>
      <c r="DQ127" s="81" t="s">
        <v>1</v>
      </c>
      <c r="DR127" s="81">
        <f t="shared" si="100"/>
        <v>0</v>
      </c>
      <c r="DS127" s="81">
        <f t="shared" si="101"/>
        <v>0</v>
      </c>
    </row>
    <row r="128" spans="14:123" x14ac:dyDescent="0.3">
      <c r="N128" s="81">
        <f>IF(Q129=0,IF(Q128=0,,"x"),)</f>
        <v>0</v>
      </c>
      <c r="O128" s="81">
        <f t="shared" si="102"/>
        <v>0</v>
      </c>
      <c r="P128" s="81">
        <f t="shared" si="66"/>
        <v>0</v>
      </c>
      <c r="Q128" s="81">
        <f t="shared" si="103"/>
        <v>0</v>
      </c>
      <c r="R128" s="81">
        <f>IF(W128="",,SUM($W$4:W128))</f>
        <v>0</v>
      </c>
      <c r="S128" s="81">
        <f t="shared" si="67"/>
        <v>0</v>
      </c>
      <c r="T128" s="81">
        <f t="shared" si="104"/>
        <v>0</v>
      </c>
      <c r="U128" s="81">
        <f t="shared" si="68"/>
        <v>0</v>
      </c>
      <c r="V128" s="81" t="str">
        <f t="shared" ca="1" si="69"/>
        <v/>
      </c>
      <c r="X128" s="81">
        <f t="shared" si="107"/>
        <v>0</v>
      </c>
      <c r="Y128" s="81">
        <f t="shared" si="108"/>
        <v>0</v>
      </c>
      <c r="AE128" s="81">
        <v>128</v>
      </c>
      <c r="AI128" s="81">
        <v>125</v>
      </c>
      <c r="AJ128" s="81" t="str">
        <f t="shared" si="57"/>
        <v>Januari 29</v>
      </c>
      <c r="AK128" s="81" t="str">
        <f t="shared" si="106"/>
        <v>Januari</v>
      </c>
      <c r="AL128" s="81">
        <f t="shared" si="105"/>
        <v>29</v>
      </c>
      <c r="AM128" s="81" t="str">
        <f t="shared" si="70"/>
        <v>='Januari 29'!</v>
      </c>
      <c r="AN128" s="81" t="str">
        <f t="shared" si="63"/>
        <v>='Januari 29'!C27</v>
      </c>
      <c r="AO128" s="81" t="s">
        <v>1128</v>
      </c>
      <c r="AR128" s="81" t="s">
        <v>188</v>
      </c>
      <c r="AS128" s="83" t="str">
        <f t="shared" si="58"/>
        <v>='Januari 29'!C6</v>
      </c>
      <c r="AT128" s="83">
        <f t="shared" si="59"/>
        <v>0</v>
      </c>
      <c r="AV128" s="81" t="s">
        <v>489</v>
      </c>
      <c r="AW128" s="81" t="s">
        <v>2682</v>
      </c>
      <c r="AX128" s="81" t="s">
        <v>2683</v>
      </c>
      <c r="AY128" s="81" t="s">
        <v>2684</v>
      </c>
      <c r="AZ128" s="81" t="s">
        <v>2685</v>
      </c>
      <c r="BA128" s="81" t="s">
        <v>2686</v>
      </c>
      <c r="BB128" s="81" t="s">
        <v>2687</v>
      </c>
      <c r="BC128" s="81" t="s">
        <v>2688</v>
      </c>
      <c r="BD128" s="81" t="s">
        <v>2689</v>
      </c>
      <c r="BE128" s="81" t="s">
        <v>2690</v>
      </c>
      <c r="BF128" s="81" t="s">
        <v>2691</v>
      </c>
      <c r="BG128" s="81" t="s">
        <v>2692</v>
      </c>
      <c r="BH128" s="81" t="s">
        <v>4745</v>
      </c>
      <c r="BI128" s="81" t="s">
        <v>5049</v>
      </c>
      <c r="BJ128" s="81" t="s">
        <v>188</v>
      </c>
      <c r="BL128" s="81" t="s">
        <v>792</v>
      </c>
      <c r="BM128" s="81">
        <v>125</v>
      </c>
      <c r="BN128" s="81" t="str">
        <f t="shared" si="60"/>
        <v>='Januari 29'!C12</v>
      </c>
      <c r="BP128" s="81" t="str">
        <f t="shared" ca="1" si="71"/>
        <v/>
      </c>
      <c r="BR128" s="84">
        <f t="shared" si="64"/>
        <v>0</v>
      </c>
      <c r="BS128" s="84">
        <f t="shared" si="65"/>
        <v>0</v>
      </c>
      <c r="CA128" s="81" t="s">
        <v>2</v>
      </c>
      <c r="CB128" s="81">
        <f t="shared" si="72"/>
        <v>0</v>
      </c>
      <c r="CC128" s="81">
        <f t="shared" si="73"/>
        <v>0</v>
      </c>
      <c r="CD128" s="81" t="s">
        <v>16</v>
      </c>
      <c r="CE128" s="81">
        <f t="shared" si="74"/>
        <v>0</v>
      </c>
      <c r="CF128" s="81">
        <f t="shared" si="75"/>
        <v>0</v>
      </c>
      <c r="CG128" s="81" t="s">
        <v>5</v>
      </c>
      <c r="CH128" s="81">
        <f t="shared" si="76"/>
        <v>0</v>
      </c>
      <c r="CI128" s="81">
        <f t="shared" si="77"/>
        <v>0</v>
      </c>
      <c r="CJ128" s="81" t="s">
        <v>18</v>
      </c>
      <c r="CK128" s="81">
        <f t="shared" si="78"/>
        <v>0</v>
      </c>
      <c r="CL128" s="81">
        <f t="shared" si="79"/>
        <v>0</v>
      </c>
      <c r="CM128" s="81" t="s">
        <v>4</v>
      </c>
      <c r="CN128" s="81">
        <f t="shared" si="80"/>
        <v>0</v>
      </c>
      <c r="CO128" s="81">
        <f t="shared" si="81"/>
        <v>0</v>
      </c>
      <c r="CP128" s="81" t="s">
        <v>22</v>
      </c>
      <c r="CQ128" s="81">
        <f t="shared" si="82"/>
        <v>0</v>
      </c>
      <c r="CR128" s="81">
        <f t="shared" si="83"/>
        <v>0</v>
      </c>
      <c r="CS128" s="81" t="s">
        <v>21</v>
      </c>
      <c r="CT128" s="81">
        <f t="shared" si="84"/>
        <v>0</v>
      </c>
      <c r="CU128" s="81">
        <f t="shared" si="85"/>
        <v>0</v>
      </c>
      <c r="CV128" s="81" t="s">
        <v>998</v>
      </c>
      <c r="CW128" s="81">
        <f t="shared" si="86"/>
        <v>0</v>
      </c>
      <c r="CX128" s="81">
        <f t="shared" si="87"/>
        <v>0</v>
      </c>
      <c r="CY128" s="81" t="s">
        <v>19</v>
      </c>
      <c r="CZ128" s="81">
        <f t="shared" si="88"/>
        <v>0</v>
      </c>
      <c r="DA128" s="81">
        <f t="shared" si="89"/>
        <v>0</v>
      </c>
      <c r="DB128" s="81" t="s">
        <v>20</v>
      </c>
      <c r="DC128" s="81">
        <f t="shared" si="90"/>
        <v>0</v>
      </c>
      <c r="DD128" s="81">
        <f t="shared" si="91"/>
        <v>0</v>
      </c>
      <c r="DE128" s="81" t="s">
        <v>23</v>
      </c>
      <c r="DF128" s="81">
        <f t="shared" si="92"/>
        <v>0</v>
      </c>
      <c r="DG128" s="81">
        <f t="shared" si="93"/>
        <v>0</v>
      </c>
      <c r="DH128" s="81" t="s">
        <v>15</v>
      </c>
      <c r="DI128" s="81">
        <f t="shared" si="94"/>
        <v>0</v>
      </c>
      <c r="DJ128" s="81">
        <f t="shared" si="95"/>
        <v>0</v>
      </c>
      <c r="DK128" s="81" t="s">
        <v>5350</v>
      </c>
      <c r="DL128" s="81">
        <f t="shared" si="96"/>
        <v>0</v>
      </c>
      <c r="DM128" s="81">
        <f t="shared" si="97"/>
        <v>0</v>
      </c>
      <c r="DN128" s="81" t="s">
        <v>7</v>
      </c>
      <c r="DO128" s="81">
        <f t="shared" si="98"/>
        <v>0</v>
      </c>
      <c r="DP128" s="81">
        <f t="shared" si="99"/>
        <v>0</v>
      </c>
      <c r="DQ128" s="81" t="s">
        <v>1</v>
      </c>
      <c r="DR128" s="81">
        <f t="shared" si="100"/>
        <v>0</v>
      </c>
      <c r="DS128" s="81">
        <f t="shared" si="101"/>
        <v>0</v>
      </c>
    </row>
    <row r="129" spans="14:123" x14ac:dyDescent="0.3">
      <c r="N129" s="81">
        <f>IF(Q130=0,IF(Q129=0,,"x"),)</f>
        <v>0</v>
      </c>
      <c r="O129" s="81">
        <f t="shared" si="102"/>
        <v>0</v>
      </c>
      <c r="P129" s="81">
        <f t="shared" si="66"/>
        <v>0</v>
      </c>
      <c r="Q129" s="81">
        <f t="shared" si="103"/>
        <v>0</v>
      </c>
      <c r="R129" s="81">
        <f>IF(W129="",,SUM($W$4:W129))</f>
        <v>0</v>
      </c>
      <c r="S129" s="81">
        <f t="shared" si="67"/>
        <v>0</v>
      </c>
      <c r="T129" s="81">
        <f t="shared" si="104"/>
        <v>0</v>
      </c>
      <c r="U129" s="81">
        <f t="shared" si="68"/>
        <v>0</v>
      </c>
      <c r="V129" s="81" t="str">
        <f t="shared" ca="1" si="69"/>
        <v/>
      </c>
      <c r="X129" s="81">
        <f t="shared" si="107"/>
        <v>0</v>
      </c>
      <c r="Y129" s="81">
        <f t="shared" si="108"/>
        <v>0</v>
      </c>
      <c r="AE129" s="81">
        <v>129</v>
      </c>
      <c r="AI129" s="81">
        <v>126</v>
      </c>
      <c r="AJ129" s="81" t="str">
        <f t="shared" si="57"/>
        <v>Februari 29</v>
      </c>
      <c r="AK129" s="81" t="str">
        <f t="shared" si="106"/>
        <v>Februari</v>
      </c>
      <c r="AL129" s="81">
        <f t="shared" si="105"/>
        <v>29</v>
      </c>
      <c r="AM129" s="81" t="str">
        <f t="shared" si="70"/>
        <v>='Februari 29'!</v>
      </c>
      <c r="AN129" s="81" t="str">
        <f t="shared" si="63"/>
        <v>='Februari 29'!C27</v>
      </c>
      <c r="AO129" s="81" t="s">
        <v>1129</v>
      </c>
      <c r="AR129" s="81" t="s">
        <v>189</v>
      </c>
      <c r="AS129" s="83" t="str">
        <f t="shared" si="58"/>
        <v>='Februari 29'!C6</v>
      </c>
      <c r="AT129" s="83">
        <f t="shared" si="59"/>
        <v>0</v>
      </c>
      <c r="AV129" s="81" t="s">
        <v>490</v>
      </c>
      <c r="AW129" s="81" t="s">
        <v>2693</v>
      </c>
      <c r="AX129" s="81" t="s">
        <v>2694</v>
      </c>
      <c r="AY129" s="81" t="s">
        <v>2695</v>
      </c>
      <c r="AZ129" s="81" t="s">
        <v>2696</v>
      </c>
      <c r="BA129" s="81" t="s">
        <v>2697</v>
      </c>
      <c r="BB129" s="81" t="s">
        <v>2698</v>
      </c>
      <c r="BC129" s="81" t="s">
        <v>2699</v>
      </c>
      <c r="BD129" s="81" t="s">
        <v>2700</v>
      </c>
      <c r="BE129" s="81" t="s">
        <v>2701</v>
      </c>
      <c r="BF129" s="81" t="s">
        <v>2702</v>
      </c>
      <c r="BG129" s="81" t="s">
        <v>2703</v>
      </c>
      <c r="BH129" s="81" t="s">
        <v>4746</v>
      </c>
      <c r="BI129" s="81" t="s">
        <v>5050</v>
      </c>
      <c r="BJ129" s="81" t="s">
        <v>189</v>
      </c>
      <c r="BL129" s="81" t="s">
        <v>793</v>
      </c>
      <c r="BM129" s="81">
        <v>126</v>
      </c>
      <c r="BN129" s="81" t="str">
        <f t="shared" si="60"/>
        <v>='Februari 29'!C12</v>
      </c>
      <c r="BP129" s="81" t="str">
        <f t="shared" ca="1" si="71"/>
        <v/>
      </c>
      <c r="BR129" s="84">
        <f t="shared" si="64"/>
        <v>0</v>
      </c>
      <c r="BS129" s="84">
        <f t="shared" si="65"/>
        <v>0</v>
      </c>
      <c r="CA129" s="81" t="s">
        <v>2</v>
      </c>
      <c r="CB129" s="81">
        <f t="shared" si="72"/>
        <v>0</v>
      </c>
      <c r="CC129" s="81">
        <f t="shared" si="73"/>
        <v>0</v>
      </c>
      <c r="CD129" s="81" t="s">
        <v>16</v>
      </c>
      <c r="CE129" s="81">
        <f t="shared" si="74"/>
        <v>0</v>
      </c>
      <c r="CF129" s="81">
        <f t="shared" si="75"/>
        <v>0</v>
      </c>
      <c r="CG129" s="81" t="s">
        <v>5</v>
      </c>
      <c r="CH129" s="81">
        <f t="shared" si="76"/>
        <v>0</v>
      </c>
      <c r="CI129" s="81">
        <f t="shared" si="77"/>
        <v>0</v>
      </c>
      <c r="CJ129" s="81" t="s">
        <v>18</v>
      </c>
      <c r="CK129" s="81">
        <f t="shared" si="78"/>
        <v>0</v>
      </c>
      <c r="CL129" s="81">
        <f t="shared" si="79"/>
        <v>0</v>
      </c>
      <c r="CM129" s="81" t="s">
        <v>4</v>
      </c>
      <c r="CN129" s="81">
        <f t="shared" si="80"/>
        <v>0</v>
      </c>
      <c r="CO129" s="81">
        <f t="shared" si="81"/>
        <v>0</v>
      </c>
      <c r="CP129" s="81" t="s">
        <v>22</v>
      </c>
      <c r="CQ129" s="81">
        <f t="shared" si="82"/>
        <v>0</v>
      </c>
      <c r="CR129" s="81">
        <f t="shared" si="83"/>
        <v>0</v>
      </c>
      <c r="CS129" s="81" t="s">
        <v>21</v>
      </c>
      <c r="CT129" s="81">
        <f t="shared" si="84"/>
        <v>0</v>
      </c>
      <c r="CU129" s="81">
        <f t="shared" si="85"/>
        <v>0</v>
      </c>
      <c r="CV129" s="81" t="s">
        <v>998</v>
      </c>
      <c r="CW129" s="81">
        <f t="shared" si="86"/>
        <v>0</v>
      </c>
      <c r="CX129" s="81">
        <f t="shared" si="87"/>
        <v>0</v>
      </c>
      <c r="CY129" s="81" t="s">
        <v>19</v>
      </c>
      <c r="CZ129" s="81">
        <f t="shared" si="88"/>
        <v>0</v>
      </c>
      <c r="DA129" s="81">
        <f t="shared" si="89"/>
        <v>0</v>
      </c>
      <c r="DB129" s="81" t="s">
        <v>20</v>
      </c>
      <c r="DC129" s="81">
        <f t="shared" si="90"/>
        <v>0</v>
      </c>
      <c r="DD129" s="81">
        <f t="shared" si="91"/>
        <v>0</v>
      </c>
      <c r="DE129" s="81" t="s">
        <v>23</v>
      </c>
      <c r="DF129" s="81">
        <f t="shared" si="92"/>
        <v>0</v>
      </c>
      <c r="DG129" s="81">
        <f t="shared" si="93"/>
        <v>0</v>
      </c>
      <c r="DH129" s="81" t="s">
        <v>15</v>
      </c>
      <c r="DI129" s="81">
        <f t="shared" si="94"/>
        <v>0</v>
      </c>
      <c r="DJ129" s="81">
        <f t="shared" si="95"/>
        <v>0</v>
      </c>
      <c r="DK129" s="81" t="s">
        <v>5351</v>
      </c>
      <c r="DL129" s="81">
        <f t="shared" si="96"/>
        <v>0</v>
      </c>
      <c r="DM129" s="81">
        <f t="shared" si="97"/>
        <v>0</v>
      </c>
      <c r="DN129" s="81" t="s">
        <v>7</v>
      </c>
      <c r="DO129" s="81">
        <f t="shared" si="98"/>
        <v>0</v>
      </c>
      <c r="DP129" s="81">
        <f t="shared" si="99"/>
        <v>0</v>
      </c>
      <c r="DQ129" s="81" t="s">
        <v>1</v>
      </c>
      <c r="DR129" s="81">
        <f t="shared" si="100"/>
        <v>0</v>
      </c>
      <c r="DS129" s="81">
        <f t="shared" si="101"/>
        <v>0</v>
      </c>
    </row>
    <row r="130" spans="14:123" x14ac:dyDescent="0.3">
      <c r="N130" s="81">
        <f>IF(Q131=0,IF(Q130=0,,"x"),)</f>
        <v>0</v>
      </c>
      <c r="O130" s="81">
        <f t="shared" si="102"/>
        <v>0</v>
      </c>
      <c r="P130" s="81">
        <f t="shared" si="66"/>
        <v>0</v>
      </c>
      <c r="Q130" s="81">
        <f t="shared" si="103"/>
        <v>0</v>
      </c>
      <c r="R130" s="81">
        <f>IF(W130="",,SUM($W$4:W130))</f>
        <v>0</v>
      </c>
      <c r="S130" s="81">
        <f t="shared" si="67"/>
        <v>0</v>
      </c>
      <c r="T130" s="81">
        <f t="shared" si="104"/>
        <v>0</v>
      </c>
      <c r="U130" s="81">
        <f t="shared" si="68"/>
        <v>0</v>
      </c>
      <c r="V130" s="81" t="str">
        <f t="shared" ca="1" si="69"/>
        <v/>
      </c>
      <c r="X130" s="81">
        <f t="shared" si="107"/>
        <v>0</v>
      </c>
      <c r="Y130" s="81">
        <f t="shared" si="108"/>
        <v>0</v>
      </c>
      <c r="AE130" s="81">
        <v>130</v>
      </c>
      <c r="AI130" s="81">
        <v>127</v>
      </c>
      <c r="AJ130" s="81" t="str">
        <f t="shared" si="57"/>
        <v>Mars 29</v>
      </c>
      <c r="AK130" s="81" t="str">
        <f t="shared" si="106"/>
        <v>Mars</v>
      </c>
      <c r="AL130" s="81">
        <f t="shared" si="105"/>
        <v>29</v>
      </c>
      <c r="AM130" s="81" t="str">
        <f t="shared" si="70"/>
        <v>='Mars 29'!</v>
      </c>
      <c r="AN130" s="81" t="str">
        <f t="shared" si="63"/>
        <v>='Mars 29'!C27</v>
      </c>
      <c r="AO130" s="81" t="s">
        <v>1130</v>
      </c>
      <c r="AR130" s="81" t="s">
        <v>190</v>
      </c>
      <c r="AS130" s="83" t="str">
        <f t="shared" si="58"/>
        <v>='Mars 29'!C6</v>
      </c>
      <c r="AT130" s="83">
        <f t="shared" si="59"/>
        <v>0</v>
      </c>
      <c r="AV130" s="81" t="s">
        <v>491</v>
      </c>
      <c r="AW130" s="81" t="s">
        <v>2704</v>
      </c>
      <c r="AX130" s="81" t="s">
        <v>2705</v>
      </c>
      <c r="AY130" s="81" t="s">
        <v>2706</v>
      </c>
      <c r="AZ130" s="81" t="s">
        <v>2707</v>
      </c>
      <c r="BA130" s="81" t="s">
        <v>2708</v>
      </c>
      <c r="BB130" s="81" t="s">
        <v>2709</v>
      </c>
      <c r="BC130" s="81" t="s">
        <v>2710</v>
      </c>
      <c r="BD130" s="81" t="s">
        <v>2711</v>
      </c>
      <c r="BE130" s="81" t="s">
        <v>2712</v>
      </c>
      <c r="BF130" s="81" t="s">
        <v>2713</v>
      </c>
      <c r="BG130" s="81" t="s">
        <v>2714</v>
      </c>
      <c r="BH130" s="81" t="s">
        <v>4747</v>
      </c>
      <c r="BI130" s="81" t="s">
        <v>5051</v>
      </c>
      <c r="BJ130" s="81" t="s">
        <v>190</v>
      </c>
      <c r="BL130" s="81" t="s">
        <v>794</v>
      </c>
      <c r="BM130" s="81">
        <v>127</v>
      </c>
      <c r="BN130" s="81" t="str">
        <f t="shared" si="60"/>
        <v>='Mars 29'!C12</v>
      </c>
      <c r="BP130" s="81" t="str">
        <f t="shared" ca="1" si="71"/>
        <v/>
      </c>
      <c r="BR130" s="84">
        <f t="shared" si="64"/>
        <v>0</v>
      </c>
      <c r="BS130" s="84">
        <f t="shared" si="65"/>
        <v>0</v>
      </c>
      <c r="CA130" s="81" t="s">
        <v>2</v>
      </c>
      <c r="CB130" s="81">
        <f t="shared" si="72"/>
        <v>0</v>
      </c>
      <c r="CC130" s="81">
        <f t="shared" si="73"/>
        <v>0</v>
      </c>
      <c r="CD130" s="81" t="s">
        <v>16</v>
      </c>
      <c r="CE130" s="81">
        <f t="shared" si="74"/>
        <v>0</v>
      </c>
      <c r="CF130" s="81">
        <f t="shared" si="75"/>
        <v>0</v>
      </c>
      <c r="CG130" s="81" t="s">
        <v>5</v>
      </c>
      <c r="CH130" s="81">
        <f t="shared" si="76"/>
        <v>0</v>
      </c>
      <c r="CI130" s="81">
        <f t="shared" si="77"/>
        <v>0</v>
      </c>
      <c r="CJ130" s="81" t="s">
        <v>18</v>
      </c>
      <c r="CK130" s="81">
        <f t="shared" si="78"/>
        <v>0</v>
      </c>
      <c r="CL130" s="81">
        <f t="shared" si="79"/>
        <v>0</v>
      </c>
      <c r="CM130" s="81" t="s">
        <v>4</v>
      </c>
      <c r="CN130" s="81">
        <f t="shared" si="80"/>
        <v>0</v>
      </c>
      <c r="CO130" s="81">
        <f t="shared" si="81"/>
        <v>0</v>
      </c>
      <c r="CP130" s="81" t="s">
        <v>22</v>
      </c>
      <c r="CQ130" s="81">
        <f t="shared" si="82"/>
        <v>0</v>
      </c>
      <c r="CR130" s="81">
        <f t="shared" si="83"/>
        <v>0</v>
      </c>
      <c r="CS130" s="81" t="s">
        <v>21</v>
      </c>
      <c r="CT130" s="81">
        <f t="shared" si="84"/>
        <v>0</v>
      </c>
      <c r="CU130" s="81">
        <f t="shared" si="85"/>
        <v>0</v>
      </c>
      <c r="CV130" s="81" t="s">
        <v>998</v>
      </c>
      <c r="CW130" s="81">
        <f t="shared" si="86"/>
        <v>0</v>
      </c>
      <c r="CX130" s="81">
        <f t="shared" si="87"/>
        <v>0</v>
      </c>
      <c r="CY130" s="81" t="s">
        <v>19</v>
      </c>
      <c r="CZ130" s="81">
        <f t="shared" si="88"/>
        <v>0</v>
      </c>
      <c r="DA130" s="81">
        <f t="shared" si="89"/>
        <v>0</v>
      </c>
      <c r="DB130" s="81" t="s">
        <v>20</v>
      </c>
      <c r="DC130" s="81">
        <f t="shared" si="90"/>
        <v>0</v>
      </c>
      <c r="DD130" s="81">
        <f t="shared" si="91"/>
        <v>0</v>
      </c>
      <c r="DE130" s="81" t="s">
        <v>23</v>
      </c>
      <c r="DF130" s="81">
        <f t="shared" si="92"/>
        <v>0</v>
      </c>
      <c r="DG130" s="81">
        <f t="shared" si="93"/>
        <v>0</v>
      </c>
      <c r="DH130" s="81" t="s">
        <v>15</v>
      </c>
      <c r="DI130" s="81">
        <f t="shared" si="94"/>
        <v>0</v>
      </c>
      <c r="DJ130" s="81">
        <f t="shared" si="95"/>
        <v>0</v>
      </c>
      <c r="DK130" s="81" t="s">
        <v>5352</v>
      </c>
      <c r="DL130" s="81">
        <f t="shared" si="96"/>
        <v>0</v>
      </c>
      <c r="DM130" s="81">
        <f t="shared" si="97"/>
        <v>0</v>
      </c>
      <c r="DN130" s="81" t="s">
        <v>7</v>
      </c>
      <c r="DO130" s="81">
        <f t="shared" si="98"/>
        <v>0</v>
      </c>
      <c r="DP130" s="81">
        <f t="shared" si="99"/>
        <v>0</v>
      </c>
      <c r="DQ130" s="81" t="s">
        <v>1</v>
      </c>
      <c r="DR130" s="81">
        <f t="shared" si="100"/>
        <v>0</v>
      </c>
      <c r="DS130" s="81">
        <f t="shared" si="101"/>
        <v>0</v>
      </c>
    </row>
    <row r="131" spans="14:123" x14ac:dyDescent="0.3">
      <c r="N131" s="81">
        <f>IF(Q132=0,IF(Q131=0,,"x"),)</f>
        <v>0</v>
      </c>
      <c r="O131" s="81">
        <f t="shared" si="102"/>
        <v>0</v>
      </c>
      <c r="P131" s="81">
        <f t="shared" si="66"/>
        <v>0</v>
      </c>
      <c r="Q131" s="81">
        <f t="shared" si="103"/>
        <v>0</v>
      </c>
      <c r="R131" s="81">
        <f>IF(W131="",,SUM($W$4:W131))</f>
        <v>0</v>
      </c>
      <c r="S131" s="81">
        <f t="shared" si="67"/>
        <v>0</v>
      </c>
      <c r="T131" s="81">
        <f t="shared" si="104"/>
        <v>0</v>
      </c>
      <c r="U131" s="81">
        <f t="shared" si="68"/>
        <v>0</v>
      </c>
      <c r="V131" s="81" t="str">
        <f t="shared" ca="1" si="69"/>
        <v/>
      </c>
      <c r="X131" s="81">
        <f t="shared" si="107"/>
        <v>0</v>
      </c>
      <c r="Y131" s="81">
        <f t="shared" si="108"/>
        <v>0</v>
      </c>
      <c r="AE131" s="81">
        <v>131</v>
      </c>
      <c r="AI131" s="81">
        <v>128</v>
      </c>
      <c r="AJ131" s="81" t="str">
        <f t="shared" ref="AJ131:AJ194" si="109">AK131&amp;" "&amp;AL131</f>
        <v>April 29</v>
      </c>
      <c r="AK131" s="81" t="str">
        <f t="shared" si="106"/>
        <v>April</v>
      </c>
      <c r="AL131" s="81">
        <f t="shared" si="105"/>
        <v>29</v>
      </c>
      <c r="AM131" s="81" t="str">
        <f t="shared" si="70"/>
        <v>='April 29'!</v>
      </c>
      <c r="AN131" s="81" t="str">
        <f t="shared" si="63"/>
        <v>='April 29'!C27</v>
      </c>
      <c r="AO131" s="81" t="s">
        <v>1131</v>
      </c>
      <c r="AR131" s="81" t="s">
        <v>191</v>
      </c>
      <c r="AS131" s="83" t="str">
        <f t="shared" ref="AS131:AS194" si="110">IF(AR131&gt;$B$12*(1+$C$12),AR131,0)</f>
        <v>='April 29'!C6</v>
      </c>
      <c r="AT131" s="83">
        <f t="shared" ref="AT131:AT194" si="111">IF(AR131&lt;$B$12*(1-$C$12),AR131,0)</f>
        <v>0</v>
      </c>
      <c r="AV131" s="81" t="s">
        <v>492</v>
      </c>
      <c r="AW131" s="81" t="s">
        <v>2715</v>
      </c>
      <c r="AX131" s="81" t="s">
        <v>2716</v>
      </c>
      <c r="AY131" s="81" t="s">
        <v>2717</v>
      </c>
      <c r="AZ131" s="81" t="s">
        <v>2718</v>
      </c>
      <c r="BA131" s="81" t="s">
        <v>2719</v>
      </c>
      <c r="BB131" s="81" t="s">
        <v>2720</v>
      </c>
      <c r="BC131" s="81" t="s">
        <v>2721</v>
      </c>
      <c r="BD131" s="81" t="s">
        <v>2722</v>
      </c>
      <c r="BE131" s="81" t="s">
        <v>2723</v>
      </c>
      <c r="BF131" s="81" t="s">
        <v>2724</v>
      </c>
      <c r="BG131" s="81" t="s">
        <v>2725</v>
      </c>
      <c r="BH131" s="81" t="s">
        <v>4748</v>
      </c>
      <c r="BI131" s="81" t="s">
        <v>5052</v>
      </c>
      <c r="BJ131" s="81" t="s">
        <v>191</v>
      </c>
      <c r="BL131" s="81" t="s">
        <v>795</v>
      </c>
      <c r="BM131" s="81">
        <v>128</v>
      </c>
      <c r="BN131" s="81" t="str">
        <f t="shared" ref="BN131:BN194" si="112">IF($A$5=$A$18,AV131,IF($A$5=$A$19,AW131,IF($A$5=$A$20,AX131,IF($A$5=$A$21,AY131,IF($A$5=$A$22,AZ131,IF($A$5=$A$23,BA131,IF($A$5=$A$24,BB131,IF($A$5=$A$25,BC131,IF($A$5=$A$26,BD131,IF($A$5=$A$27,BE131,IF($A$5=$A$28,BF131,IF($A$5=$A$29,BG131,IF($A$5=$A$30,BH131,IF($A$5=$A$12,BJ131,IF($A$5=$A$31,BI131,"")))))))))))))))</f>
        <v>='April 29'!C12</v>
      </c>
      <c r="BP131" s="81" t="str">
        <f t="shared" ca="1" si="71"/>
        <v/>
      </c>
      <c r="BR131" s="84">
        <f t="shared" si="64"/>
        <v>0</v>
      </c>
      <c r="BS131" s="84">
        <f t="shared" si="65"/>
        <v>0</v>
      </c>
      <c r="CA131" s="81" t="s">
        <v>2</v>
      </c>
      <c r="CB131" s="81">
        <f t="shared" si="72"/>
        <v>0</v>
      </c>
      <c r="CC131" s="81">
        <f t="shared" si="73"/>
        <v>0</v>
      </c>
      <c r="CD131" s="81" t="s">
        <v>16</v>
      </c>
      <c r="CE131" s="81">
        <f t="shared" si="74"/>
        <v>0</v>
      </c>
      <c r="CF131" s="81">
        <f t="shared" si="75"/>
        <v>0</v>
      </c>
      <c r="CG131" s="81" t="s">
        <v>5</v>
      </c>
      <c r="CH131" s="81">
        <f t="shared" si="76"/>
        <v>0</v>
      </c>
      <c r="CI131" s="81">
        <f t="shared" si="77"/>
        <v>0</v>
      </c>
      <c r="CJ131" s="81" t="s">
        <v>18</v>
      </c>
      <c r="CK131" s="81">
        <f t="shared" si="78"/>
        <v>0</v>
      </c>
      <c r="CL131" s="81">
        <f t="shared" si="79"/>
        <v>0</v>
      </c>
      <c r="CM131" s="81" t="s">
        <v>4</v>
      </c>
      <c r="CN131" s="81">
        <f t="shared" si="80"/>
        <v>0</v>
      </c>
      <c r="CO131" s="81">
        <f t="shared" si="81"/>
        <v>0</v>
      </c>
      <c r="CP131" s="81" t="s">
        <v>22</v>
      </c>
      <c r="CQ131" s="81">
        <f t="shared" si="82"/>
        <v>0</v>
      </c>
      <c r="CR131" s="81">
        <f t="shared" si="83"/>
        <v>0</v>
      </c>
      <c r="CS131" s="81" t="s">
        <v>21</v>
      </c>
      <c r="CT131" s="81">
        <f t="shared" si="84"/>
        <v>0</v>
      </c>
      <c r="CU131" s="81">
        <f t="shared" si="85"/>
        <v>0</v>
      </c>
      <c r="CV131" s="81" t="s">
        <v>998</v>
      </c>
      <c r="CW131" s="81">
        <f t="shared" si="86"/>
        <v>0</v>
      </c>
      <c r="CX131" s="81">
        <f t="shared" si="87"/>
        <v>0</v>
      </c>
      <c r="CY131" s="81" t="s">
        <v>19</v>
      </c>
      <c r="CZ131" s="81">
        <f t="shared" si="88"/>
        <v>0</v>
      </c>
      <c r="DA131" s="81">
        <f t="shared" si="89"/>
        <v>0</v>
      </c>
      <c r="DB131" s="81" t="s">
        <v>20</v>
      </c>
      <c r="DC131" s="81">
        <f t="shared" si="90"/>
        <v>0</v>
      </c>
      <c r="DD131" s="81">
        <f t="shared" si="91"/>
        <v>0</v>
      </c>
      <c r="DE131" s="81" t="s">
        <v>23</v>
      </c>
      <c r="DF131" s="81">
        <f t="shared" si="92"/>
        <v>0</v>
      </c>
      <c r="DG131" s="81">
        <f t="shared" si="93"/>
        <v>0</v>
      </c>
      <c r="DH131" s="81" t="s">
        <v>15</v>
      </c>
      <c r="DI131" s="81">
        <f t="shared" si="94"/>
        <v>0</v>
      </c>
      <c r="DJ131" s="81">
        <f t="shared" si="95"/>
        <v>0</v>
      </c>
      <c r="DK131" s="81" t="s">
        <v>5353</v>
      </c>
      <c r="DL131" s="81">
        <f t="shared" si="96"/>
        <v>0</v>
      </c>
      <c r="DM131" s="81">
        <f t="shared" si="97"/>
        <v>0</v>
      </c>
      <c r="DN131" s="81" t="s">
        <v>7</v>
      </c>
      <c r="DO131" s="81">
        <f t="shared" si="98"/>
        <v>0</v>
      </c>
      <c r="DP131" s="81">
        <f t="shared" si="99"/>
        <v>0</v>
      </c>
      <c r="DQ131" s="81" t="s">
        <v>1</v>
      </c>
      <c r="DR131" s="81">
        <f t="shared" si="100"/>
        <v>0</v>
      </c>
      <c r="DS131" s="81">
        <f t="shared" si="101"/>
        <v>0</v>
      </c>
    </row>
    <row r="132" spans="14:123" x14ac:dyDescent="0.3">
      <c r="N132" s="81">
        <f>IF(Q133=0,IF(Q132=0,,"x"),)</f>
        <v>0</v>
      </c>
      <c r="O132" s="81">
        <f t="shared" si="102"/>
        <v>0</v>
      </c>
      <c r="P132" s="81">
        <f t="shared" si="66"/>
        <v>0</v>
      </c>
      <c r="Q132" s="81">
        <f t="shared" si="103"/>
        <v>0</v>
      </c>
      <c r="R132" s="81">
        <f>IF(W132="",,SUM($W$4:W132))</f>
        <v>0</v>
      </c>
      <c r="S132" s="81">
        <f t="shared" si="67"/>
        <v>0</v>
      </c>
      <c r="T132" s="81">
        <f t="shared" si="104"/>
        <v>0</v>
      </c>
      <c r="U132" s="81">
        <f t="shared" si="68"/>
        <v>0</v>
      </c>
      <c r="V132" s="81" t="str">
        <f t="shared" ca="1" si="69"/>
        <v/>
      </c>
      <c r="X132" s="81">
        <f t="shared" ref="X132:X163" si="113">IF(W132&gt;$B$33*(1+$C$33),W132,0)</f>
        <v>0</v>
      </c>
      <c r="Y132" s="81">
        <f t="shared" ref="Y132:Y163" si="114">IF(W132&lt;$B$33*(1-$C$33),W132,0)</f>
        <v>0</v>
      </c>
      <c r="AE132" s="81">
        <v>132</v>
      </c>
      <c r="AI132" s="81">
        <v>129</v>
      </c>
      <c r="AJ132" s="81" t="str">
        <f t="shared" si="109"/>
        <v>Maj 29</v>
      </c>
      <c r="AK132" s="81" t="str">
        <f t="shared" si="106"/>
        <v>Maj</v>
      </c>
      <c r="AL132" s="81">
        <f t="shared" si="105"/>
        <v>29</v>
      </c>
      <c r="AM132" s="81" t="str">
        <f t="shared" si="70"/>
        <v>='Maj 29'!</v>
      </c>
      <c r="AN132" s="81" t="str">
        <f t="shared" ref="AN132:AN195" si="115">AM132&amp;"C27"</f>
        <v>='Maj 29'!C27</v>
      </c>
      <c r="AO132" s="81" t="s">
        <v>1132</v>
      </c>
      <c r="AR132" s="81" t="s">
        <v>192</v>
      </c>
      <c r="AS132" s="83" t="str">
        <f t="shared" si="110"/>
        <v>='Maj 29'!C6</v>
      </c>
      <c r="AT132" s="83">
        <f t="shared" si="111"/>
        <v>0</v>
      </c>
      <c r="AV132" s="81" t="s">
        <v>493</v>
      </c>
      <c r="AW132" s="81" t="s">
        <v>2726</v>
      </c>
      <c r="AX132" s="81" t="s">
        <v>2727</v>
      </c>
      <c r="AY132" s="81" t="s">
        <v>2728</v>
      </c>
      <c r="AZ132" s="81" t="s">
        <v>2729</v>
      </c>
      <c r="BA132" s="81" t="s">
        <v>2730</v>
      </c>
      <c r="BB132" s="81" t="s">
        <v>2731</v>
      </c>
      <c r="BC132" s="81" t="s">
        <v>2732</v>
      </c>
      <c r="BD132" s="81" t="s">
        <v>2733</v>
      </c>
      <c r="BE132" s="81" t="s">
        <v>2734</v>
      </c>
      <c r="BF132" s="81" t="s">
        <v>2735</v>
      </c>
      <c r="BG132" s="81" t="s">
        <v>2736</v>
      </c>
      <c r="BH132" s="81" t="s">
        <v>4749</v>
      </c>
      <c r="BI132" s="81" t="s">
        <v>5053</v>
      </c>
      <c r="BJ132" s="81" t="s">
        <v>192</v>
      </c>
      <c r="BL132" s="81" t="s">
        <v>796</v>
      </c>
      <c r="BM132" s="81">
        <v>129</v>
      </c>
      <c r="BN132" s="81" t="str">
        <f t="shared" si="112"/>
        <v>='Maj 29'!C12</v>
      </c>
      <c r="BP132" s="81" t="str">
        <f t="shared" ca="1" si="71"/>
        <v/>
      </c>
      <c r="BR132" s="84">
        <f t="shared" ref="BR132:BR195" si="116">IF($A$5=$A$18,CB132,IF($A$5=$A$19,CE132,IF($A$5=$A$20,CH132,IF($A$5=$A$21,CK132,IF($A$5=$A$22,CN132,IF($A$5=$A$23,CQ132,IF($A$5=$A$24,CT132,IF($A$5=$A$25,CW132,IF($A$5=$A$26,CZ132,IF($A$5=$A$27,DC132,IF($A$5=$A$28,DF132,IF($A$5=$A$29,DI132,IF($A$5=$A$30,DL132,IF($A$5=$A$30,DO132,IF($A$5=$A$12,DR132,"")))))))))))))))</f>
        <v>0</v>
      </c>
      <c r="BS132" s="84">
        <f t="shared" ref="BS132:BS195" si="117">IF($A$5=$A$18,CC132,IF($A$5=$A$19,CF132,IF($A$5=$A$20,CI132,IF($A$5=$A$21,CL132,IF($A$5=$A$22,CO132,IF($A$5=$A$23,CR132,IF($A$5=$A$24,CU132,IF($A$5=$A$25,CX132,IF($A$5=$A$26,DA132,IF($A$5=$A$27,DD132,IF($A$5=$A$28,DG132,IF($A$5=$A$29,DJ132,IF($A$5=$A$30,DM132,IF($A$5=$A$30,DP132,IF($A$5=$A$12,DS132,"")))))))))))))))</f>
        <v>0</v>
      </c>
      <c r="CA132" s="81" t="s">
        <v>2</v>
      </c>
      <c r="CB132" s="81">
        <f t="shared" si="72"/>
        <v>0</v>
      </c>
      <c r="CC132" s="81">
        <f t="shared" si="73"/>
        <v>0</v>
      </c>
      <c r="CD132" s="81" t="s">
        <v>16</v>
      </c>
      <c r="CE132" s="81">
        <f t="shared" si="74"/>
        <v>0</v>
      </c>
      <c r="CF132" s="81">
        <f t="shared" si="75"/>
        <v>0</v>
      </c>
      <c r="CG132" s="81" t="s">
        <v>5</v>
      </c>
      <c r="CH132" s="81">
        <f t="shared" si="76"/>
        <v>0</v>
      </c>
      <c r="CI132" s="81">
        <f t="shared" si="77"/>
        <v>0</v>
      </c>
      <c r="CJ132" s="81" t="s">
        <v>18</v>
      </c>
      <c r="CK132" s="81">
        <f t="shared" si="78"/>
        <v>0</v>
      </c>
      <c r="CL132" s="81">
        <f t="shared" si="79"/>
        <v>0</v>
      </c>
      <c r="CM132" s="81" t="s">
        <v>4</v>
      </c>
      <c r="CN132" s="81">
        <f t="shared" si="80"/>
        <v>0</v>
      </c>
      <c r="CO132" s="81">
        <f t="shared" si="81"/>
        <v>0</v>
      </c>
      <c r="CP132" s="81" t="s">
        <v>22</v>
      </c>
      <c r="CQ132" s="81">
        <f t="shared" si="82"/>
        <v>0</v>
      </c>
      <c r="CR132" s="81">
        <f t="shared" si="83"/>
        <v>0</v>
      </c>
      <c r="CS132" s="81" t="s">
        <v>21</v>
      </c>
      <c r="CT132" s="81">
        <f t="shared" si="84"/>
        <v>0</v>
      </c>
      <c r="CU132" s="81">
        <f t="shared" si="85"/>
        <v>0</v>
      </c>
      <c r="CV132" s="81" t="s">
        <v>998</v>
      </c>
      <c r="CW132" s="81">
        <f t="shared" si="86"/>
        <v>0</v>
      </c>
      <c r="CX132" s="81">
        <f t="shared" si="87"/>
        <v>0</v>
      </c>
      <c r="CY132" s="81" t="s">
        <v>19</v>
      </c>
      <c r="CZ132" s="81">
        <f t="shared" si="88"/>
        <v>0</v>
      </c>
      <c r="DA132" s="81">
        <f t="shared" si="89"/>
        <v>0</v>
      </c>
      <c r="DB132" s="81" t="s">
        <v>20</v>
      </c>
      <c r="DC132" s="81">
        <f t="shared" si="90"/>
        <v>0</v>
      </c>
      <c r="DD132" s="81">
        <f t="shared" si="91"/>
        <v>0</v>
      </c>
      <c r="DE132" s="81" t="s">
        <v>23</v>
      </c>
      <c r="DF132" s="81">
        <f t="shared" si="92"/>
        <v>0</v>
      </c>
      <c r="DG132" s="81">
        <f t="shared" si="93"/>
        <v>0</v>
      </c>
      <c r="DH132" s="81" t="s">
        <v>15</v>
      </c>
      <c r="DI132" s="81">
        <f t="shared" si="94"/>
        <v>0</v>
      </c>
      <c r="DJ132" s="81">
        <f t="shared" si="95"/>
        <v>0</v>
      </c>
      <c r="DK132" s="81" t="s">
        <v>5354</v>
      </c>
      <c r="DL132" s="81">
        <f t="shared" si="96"/>
        <v>0</v>
      </c>
      <c r="DM132" s="81">
        <f t="shared" si="97"/>
        <v>0</v>
      </c>
      <c r="DN132" s="81" t="s">
        <v>7</v>
      </c>
      <c r="DO132" s="81">
        <f t="shared" si="98"/>
        <v>0</v>
      </c>
      <c r="DP132" s="81">
        <f t="shared" si="99"/>
        <v>0</v>
      </c>
      <c r="DQ132" s="81" t="s">
        <v>1</v>
      </c>
      <c r="DR132" s="81">
        <f t="shared" si="100"/>
        <v>0</v>
      </c>
      <c r="DS132" s="81">
        <f t="shared" si="101"/>
        <v>0</v>
      </c>
    </row>
    <row r="133" spans="14:123" x14ac:dyDescent="0.3">
      <c r="N133" s="81">
        <f>IF(Q134=0,IF(Q133=0,,"x"),)</f>
        <v>0</v>
      </c>
      <c r="O133" s="81">
        <f t="shared" si="102"/>
        <v>0</v>
      </c>
      <c r="P133" s="81">
        <f t="shared" ref="P133:P196" si="118">O133-R133</f>
        <v>0</v>
      </c>
      <c r="Q133" s="81">
        <f t="shared" si="103"/>
        <v>0</v>
      </c>
      <c r="R133" s="81">
        <f>IF(W133="",,SUM($W$4:W133))</f>
        <v>0</v>
      </c>
      <c r="S133" s="81">
        <f t="shared" ref="S133:S196" si="119">Q133-R133</f>
        <v>0</v>
      </c>
      <c r="T133" s="81">
        <f t="shared" si="104"/>
        <v>0</v>
      </c>
      <c r="U133" s="81">
        <f t="shared" ref="U133:U196" si="120">T133-R133</f>
        <v>0</v>
      </c>
      <c r="V133" s="81" t="str">
        <f t="shared" ref="V133:V189" ca="1" si="121">IF($AG$6&gt;=AE130,AJ133,"")</f>
        <v/>
      </c>
      <c r="X133" s="81">
        <f t="shared" si="113"/>
        <v>0</v>
      </c>
      <c r="Y133" s="81">
        <f t="shared" si="114"/>
        <v>0</v>
      </c>
      <c r="AE133" s="81">
        <v>133</v>
      </c>
      <c r="AI133" s="81">
        <v>130</v>
      </c>
      <c r="AJ133" s="81" t="str">
        <f t="shared" si="109"/>
        <v>Juni 29</v>
      </c>
      <c r="AK133" s="81" t="str">
        <f t="shared" si="106"/>
        <v>Juni</v>
      </c>
      <c r="AL133" s="81">
        <f t="shared" si="105"/>
        <v>29</v>
      </c>
      <c r="AM133" s="81" t="str">
        <f t="shared" ref="AM133:AM196" si="122">"="&amp;"'"&amp;AJ133&amp;"'"&amp;"!"</f>
        <v>='Juni 29'!</v>
      </c>
      <c r="AN133" s="81" t="str">
        <f t="shared" si="115"/>
        <v>='Juni 29'!C27</v>
      </c>
      <c r="AO133" s="81" t="s">
        <v>1133</v>
      </c>
      <c r="AR133" s="81" t="s">
        <v>193</v>
      </c>
      <c r="AS133" s="83" t="str">
        <f t="shared" si="110"/>
        <v>='Juni 29'!C6</v>
      </c>
      <c r="AT133" s="83">
        <f t="shared" si="111"/>
        <v>0</v>
      </c>
      <c r="AV133" s="81" t="s">
        <v>494</v>
      </c>
      <c r="AW133" s="81" t="s">
        <v>2737</v>
      </c>
      <c r="AX133" s="81" t="s">
        <v>2738</v>
      </c>
      <c r="AY133" s="81" t="s">
        <v>2739</v>
      </c>
      <c r="AZ133" s="81" t="s">
        <v>2740</v>
      </c>
      <c r="BA133" s="81" t="s">
        <v>2741</v>
      </c>
      <c r="BB133" s="81" t="s">
        <v>2742</v>
      </c>
      <c r="BC133" s="81" t="s">
        <v>2743</v>
      </c>
      <c r="BD133" s="81" t="s">
        <v>2744</v>
      </c>
      <c r="BE133" s="81" t="s">
        <v>2745</v>
      </c>
      <c r="BF133" s="81" t="s">
        <v>2746</v>
      </c>
      <c r="BG133" s="81" t="s">
        <v>2747</v>
      </c>
      <c r="BH133" s="81" t="s">
        <v>4750</v>
      </c>
      <c r="BI133" s="81" t="s">
        <v>5054</v>
      </c>
      <c r="BJ133" s="81" t="s">
        <v>193</v>
      </c>
      <c r="BL133" s="81" t="s">
        <v>797</v>
      </c>
      <c r="BM133" s="81">
        <v>130</v>
      </c>
      <c r="BN133" s="81" t="str">
        <f t="shared" si="112"/>
        <v>='Juni 29'!C12</v>
      </c>
      <c r="BP133" s="81" t="str">
        <f t="shared" ref="BP133:BP196" ca="1" si="123">IF($AG$6&gt;=AE130,AJ133,"")</f>
        <v/>
      </c>
      <c r="BR133" s="84">
        <f t="shared" si="116"/>
        <v>0</v>
      </c>
      <c r="BS133" s="84">
        <f t="shared" si="117"/>
        <v>0</v>
      </c>
      <c r="CA133" s="81" t="s">
        <v>2</v>
      </c>
      <c r="CB133" s="81">
        <f t="shared" ref="CB133:CB196" si="124">ROUND(IF(BQ133&lt;$BV$4*(1-$BW$4),BQ133,0),0)</f>
        <v>0</v>
      </c>
      <c r="CC133" s="81">
        <f t="shared" ref="CC133:CC196" si="125">IF(BQ133&gt;$BV$4*(1+$BW$4),BQ133,0)</f>
        <v>0</v>
      </c>
      <c r="CD133" s="81" t="s">
        <v>16</v>
      </c>
      <c r="CE133" s="81">
        <f t="shared" ref="CE133:CE196" si="126">IF(BQ133&lt;$BV$5*(1-$BW$5),BQ133,0)</f>
        <v>0</v>
      </c>
      <c r="CF133" s="81">
        <f t="shared" ref="CF133:CF196" si="127">IF(BQ133&gt;$BV$5*(1+$BW$5),BQ133,0)</f>
        <v>0</v>
      </c>
      <c r="CG133" s="81" t="s">
        <v>5</v>
      </c>
      <c r="CH133" s="81">
        <f t="shared" ref="CH133:CH196" si="128">IF(BQ133&lt;$BV$6*(1-$BW$6),BQ133,0)</f>
        <v>0</v>
      </c>
      <c r="CI133" s="81">
        <f t="shared" ref="CI133:CI196" si="129">IF(BQ133&gt;$BV$6*(1+$BW$6),BQ133,0)</f>
        <v>0</v>
      </c>
      <c r="CJ133" s="81" t="s">
        <v>18</v>
      </c>
      <c r="CK133" s="81">
        <f t="shared" ref="CK133:CK196" si="130">IF(BQ133&lt;$BV$7*(1-$BW$7),BQ133,0)</f>
        <v>0</v>
      </c>
      <c r="CL133" s="81">
        <f t="shared" ref="CL133:CL196" si="131">ROUND(IF(BQ133&gt;$BV$7*(1+$BW$7),BQ133,0),0)</f>
        <v>0</v>
      </c>
      <c r="CM133" s="81" t="s">
        <v>4</v>
      </c>
      <c r="CN133" s="81">
        <f t="shared" ref="CN133:CN196" si="132">IF(BQ133&lt;$BV$8*(1-$BW$8),BQ133,0)</f>
        <v>0</v>
      </c>
      <c r="CO133" s="81">
        <f t="shared" ref="CO133:CO196" si="133">IF(BQ133&gt;$BV$8*(1+$BW$8),BQ133,0)</f>
        <v>0</v>
      </c>
      <c r="CP133" s="81" t="s">
        <v>22</v>
      </c>
      <c r="CQ133" s="81">
        <f t="shared" ref="CQ133:CQ196" si="134">IF(BQ133&lt;$BV$9*(1-$BW$9),BQ133,0)</f>
        <v>0</v>
      </c>
      <c r="CR133" s="81">
        <f t="shared" ref="CR133:CR196" si="135">IF(BQ133&gt;$BV$9*(1+$BW$9),BQ133,0)</f>
        <v>0</v>
      </c>
      <c r="CS133" s="81" t="s">
        <v>21</v>
      </c>
      <c r="CT133" s="81">
        <f t="shared" ref="CT133:CT196" si="136">IF(BQ133&lt;$BV$10*(1-$BW$10),BQ133,0)</f>
        <v>0</v>
      </c>
      <c r="CU133" s="81">
        <f t="shared" ref="CU133:CU196" si="137">IF(BQ133&gt;$BV$10*(1+$BW$10),BQ133,0)</f>
        <v>0</v>
      </c>
      <c r="CV133" s="81" t="s">
        <v>998</v>
      </c>
      <c r="CW133" s="81">
        <f t="shared" ref="CW133:CW196" si="138">IF(BQ133&lt;$BV$11*(1-$BW$11),BQ133,0)</f>
        <v>0</v>
      </c>
      <c r="CX133" s="81">
        <f t="shared" ref="CX133:CX196" si="139">IF(BQ133&gt;$BV$11*(1+$BW$11),BQ133,0)</f>
        <v>0</v>
      </c>
      <c r="CY133" s="81" t="s">
        <v>19</v>
      </c>
      <c r="CZ133" s="81">
        <f t="shared" ref="CZ133:CZ196" si="140">IF(BQ133&lt;$BV$12*(1-$BW$12),BQ133,0)</f>
        <v>0</v>
      </c>
      <c r="DA133" s="81">
        <f t="shared" ref="DA133:DA196" si="141">IF(BQ133&gt;$BV$12*(1+$BW$12),BQ133,0)</f>
        <v>0</v>
      </c>
      <c r="DB133" s="81" t="s">
        <v>20</v>
      </c>
      <c r="DC133" s="81">
        <f t="shared" ref="DC133:DC196" si="142">IF(BQ133&lt;$BV$13*(1-$BW$13),BQ133,0)</f>
        <v>0</v>
      </c>
      <c r="DD133" s="81">
        <f t="shared" ref="DD133:DD196" si="143">IF(BQ133&gt;$BV$13*(1+$BW$13),BQ133,0)</f>
        <v>0</v>
      </c>
      <c r="DE133" s="81" t="s">
        <v>23</v>
      </c>
      <c r="DF133" s="81">
        <f t="shared" ref="DF133:DF196" si="144">IF(BQ133&lt;$BV$14*(1-$BW$14),BQ133,0)</f>
        <v>0</v>
      </c>
      <c r="DG133" s="81">
        <f t="shared" ref="DG133:DG196" si="145">IF(BQ133&gt;$BV$14*(1+$BW$14),BQ133,0)</f>
        <v>0</v>
      </c>
      <c r="DH133" s="81" t="s">
        <v>15</v>
      </c>
      <c r="DI133" s="81">
        <f t="shared" ref="DI133:DI196" si="146">IF(BQ133&lt;$BV$15*(1-$BW$15),BQ133,0)</f>
        <v>0</v>
      </c>
      <c r="DJ133" s="81">
        <f t="shared" ref="DJ133:DJ196" si="147">IF(BQ133&gt;$BV$15*(1+$BW$15),BQ133,0)</f>
        <v>0</v>
      </c>
      <c r="DK133" s="81" t="s">
        <v>5355</v>
      </c>
      <c r="DL133" s="81">
        <f t="shared" ref="DL133:DL196" si="148">IF(BQ133&lt;$BV$16*(1-$BW$16),BQ133,0)</f>
        <v>0</v>
      </c>
      <c r="DM133" s="81">
        <f t="shared" ref="DM133:DM196" si="149">IF(BQ133&gt;$BV$16*(1+$BW$16),BQ133,0)</f>
        <v>0</v>
      </c>
      <c r="DN133" s="81" t="s">
        <v>7</v>
      </c>
      <c r="DO133" s="81">
        <f t="shared" ref="DO133:DO196" si="150">IF(BQ133&lt;$BV$17*(1-$BW$17),BQ133,0)</f>
        <v>0</v>
      </c>
      <c r="DP133" s="81">
        <f t="shared" ref="DP133:DP196" si="151">IF(BQ133&gt;$BV$17*(1+$BW$17),BQ133,0)</f>
        <v>0</v>
      </c>
      <c r="DQ133" s="81" t="s">
        <v>1</v>
      </c>
      <c r="DR133" s="81">
        <f t="shared" ref="DR133:DR196" si="152">IF(BQ133&gt;$BV$18*(1+$BW$18),BQ133,0)</f>
        <v>0</v>
      </c>
      <c r="DS133" s="81">
        <f t="shared" ref="DS133:DS196" si="153">IF(BQ133&lt;$BV$18*(1-$BW$18),BQ133,0)</f>
        <v>0</v>
      </c>
    </row>
    <row r="134" spans="14:123" x14ac:dyDescent="0.3">
      <c r="N134" s="81">
        <f>IF(Q135=0,IF(Q134=0,,"x"),)</f>
        <v>0</v>
      </c>
      <c r="O134" s="81">
        <f t="shared" ref="O134:O197" si="154">IF(W134="",,ROUND(O133*(1+0.045/12)+W134,0))</f>
        <v>0</v>
      </c>
      <c r="P134" s="81">
        <f t="shared" si="118"/>
        <v>0</v>
      </c>
      <c r="Q134" s="81">
        <f t="shared" ref="Q134:Q197" si="155">IF(W134="",,ROUND(Q133*(1+0.06/12)+W134,0))</f>
        <v>0</v>
      </c>
      <c r="R134" s="81">
        <f>IF(W134="",,SUM($W$4:W134))</f>
        <v>0</v>
      </c>
      <c r="S134" s="81">
        <f t="shared" si="119"/>
        <v>0</v>
      </c>
      <c r="T134" s="81">
        <f t="shared" ref="T134:T197" si="156">IF(W134="",,ROUND(T133*(1+0.025/12)+W134,0))</f>
        <v>0</v>
      </c>
      <c r="U134" s="81">
        <f t="shared" si="120"/>
        <v>0</v>
      </c>
      <c r="V134" s="81" t="str">
        <f t="shared" ca="1" si="121"/>
        <v/>
      </c>
      <c r="X134" s="81">
        <f t="shared" si="113"/>
        <v>0</v>
      </c>
      <c r="Y134" s="81">
        <f t="shared" si="114"/>
        <v>0</v>
      </c>
      <c r="AE134" s="81">
        <v>134</v>
      </c>
      <c r="AI134" s="81">
        <v>131</v>
      </c>
      <c r="AJ134" s="81" t="str">
        <f t="shared" si="109"/>
        <v>Juli 29</v>
      </c>
      <c r="AK134" s="81" t="str">
        <f t="shared" si="106"/>
        <v>Juli</v>
      </c>
      <c r="AL134" s="81">
        <f t="shared" si="105"/>
        <v>29</v>
      </c>
      <c r="AM134" s="81" t="str">
        <f t="shared" si="122"/>
        <v>='Juli 29'!</v>
      </c>
      <c r="AN134" s="81" t="str">
        <f t="shared" si="115"/>
        <v>='Juli 29'!C27</v>
      </c>
      <c r="AO134" s="81" t="s">
        <v>1134</v>
      </c>
      <c r="AR134" s="81" t="s">
        <v>194</v>
      </c>
      <c r="AS134" s="83" t="str">
        <f t="shared" si="110"/>
        <v>='Juli 29'!C6</v>
      </c>
      <c r="AT134" s="83">
        <f t="shared" si="111"/>
        <v>0</v>
      </c>
      <c r="AV134" s="81" t="s">
        <v>495</v>
      </c>
      <c r="AW134" s="81" t="s">
        <v>2748</v>
      </c>
      <c r="AX134" s="81" t="s">
        <v>2749</v>
      </c>
      <c r="AY134" s="81" t="s">
        <v>2750</v>
      </c>
      <c r="AZ134" s="81" t="s">
        <v>2751</v>
      </c>
      <c r="BA134" s="81" t="s">
        <v>2752</v>
      </c>
      <c r="BB134" s="81" t="s">
        <v>2753</v>
      </c>
      <c r="BC134" s="81" t="s">
        <v>2754</v>
      </c>
      <c r="BD134" s="81" t="s">
        <v>2755</v>
      </c>
      <c r="BE134" s="81" t="s">
        <v>2756</v>
      </c>
      <c r="BF134" s="81" t="s">
        <v>2757</v>
      </c>
      <c r="BG134" s="81" t="s">
        <v>2758</v>
      </c>
      <c r="BH134" s="81" t="s">
        <v>4751</v>
      </c>
      <c r="BI134" s="81" t="s">
        <v>5055</v>
      </c>
      <c r="BJ134" s="81" t="s">
        <v>194</v>
      </c>
      <c r="BL134" s="81" t="s">
        <v>798</v>
      </c>
      <c r="BM134" s="81">
        <v>131</v>
      </c>
      <c r="BN134" s="81" t="str">
        <f t="shared" si="112"/>
        <v>='Juli 29'!C12</v>
      </c>
      <c r="BP134" s="81" t="str">
        <f t="shared" ca="1" si="123"/>
        <v/>
      </c>
      <c r="BR134" s="84">
        <f t="shared" si="116"/>
        <v>0</v>
      </c>
      <c r="BS134" s="84">
        <f t="shared" si="117"/>
        <v>0</v>
      </c>
      <c r="CA134" s="81" t="s">
        <v>2</v>
      </c>
      <c r="CB134" s="81">
        <f t="shared" si="124"/>
        <v>0</v>
      </c>
      <c r="CC134" s="81">
        <f t="shared" si="125"/>
        <v>0</v>
      </c>
      <c r="CD134" s="81" t="s">
        <v>16</v>
      </c>
      <c r="CE134" s="81">
        <f t="shared" si="126"/>
        <v>0</v>
      </c>
      <c r="CF134" s="81">
        <f t="shared" si="127"/>
        <v>0</v>
      </c>
      <c r="CG134" s="81" t="s">
        <v>5</v>
      </c>
      <c r="CH134" s="81">
        <f t="shared" si="128"/>
        <v>0</v>
      </c>
      <c r="CI134" s="81">
        <f t="shared" si="129"/>
        <v>0</v>
      </c>
      <c r="CJ134" s="81" t="s">
        <v>18</v>
      </c>
      <c r="CK134" s="81">
        <f t="shared" si="130"/>
        <v>0</v>
      </c>
      <c r="CL134" s="81">
        <f t="shared" si="131"/>
        <v>0</v>
      </c>
      <c r="CM134" s="81" t="s">
        <v>4</v>
      </c>
      <c r="CN134" s="81">
        <f t="shared" si="132"/>
        <v>0</v>
      </c>
      <c r="CO134" s="81">
        <f t="shared" si="133"/>
        <v>0</v>
      </c>
      <c r="CP134" s="81" t="s">
        <v>22</v>
      </c>
      <c r="CQ134" s="81">
        <f t="shared" si="134"/>
        <v>0</v>
      </c>
      <c r="CR134" s="81">
        <f t="shared" si="135"/>
        <v>0</v>
      </c>
      <c r="CS134" s="81" t="s">
        <v>21</v>
      </c>
      <c r="CT134" s="81">
        <f t="shared" si="136"/>
        <v>0</v>
      </c>
      <c r="CU134" s="81">
        <f t="shared" si="137"/>
        <v>0</v>
      </c>
      <c r="CV134" s="81" t="s">
        <v>998</v>
      </c>
      <c r="CW134" s="81">
        <f t="shared" si="138"/>
        <v>0</v>
      </c>
      <c r="CX134" s="81">
        <f t="shared" si="139"/>
        <v>0</v>
      </c>
      <c r="CY134" s="81" t="s">
        <v>19</v>
      </c>
      <c r="CZ134" s="81">
        <f t="shared" si="140"/>
        <v>0</v>
      </c>
      <c r="DA134" s="81">
        <f t="shared" si="141"/>
        <v>0</v>
      </c>
      <c r="DB134" s="81" t="s">
        <v>20</v>
      </c>
      <c r="DC134" s="81">
        <f t="shared" si="142"/>
        <v>0</v>
      </c>
      <c r="DD134" s="81">
        <f t="shared" si="143"/>
        <v>0</v>
      </c>
      <c r="DE134" s="81" t="s">
        <v>23</v>
      </c>
      <c r="DF134" s="81">
        <f t="shared" si="144"/>
        <v>0</v>
      </c>
      <c r="DG134" s="81">
        <f t="shared" si="145"/>
        <v>0</v>
      </c>
      <c r="DH134" s="81" t="s">
        <v>15</v>
      </c>
      <c r="DI134" s="81">
        <f t="shared" si="146"/>
        <v>0</v>
      </c>
      <c r="DJ134" s="81">
        <f t="shared" si="147"/>
        <v>0</v>
      </c>
      <c r="DK134" s="81" t="s">
        <v>5356</v>
      </c>
      <c r="DL134" s="81">
        <f t="shared" si="148"/>
        <v>0</v>
      </c>
      <c r="DM134" s="81">
        <f t="shared" si="149"/>
        <v>0</v>
      </c>
      <c r="DN134" s="81" t="s">
        <v>7</v>
      </c>
      <c r="DO134" s="81">
        <f t="shared" si="150"/>
        <v>0</v>
      </c>
      <c r="DP134" s="81">
        <f t="shared" si="151"/>
        <v>0</v>
      </c>
      <c r="DQ134" s="81" t="s">
        <v>1</v>
      </c>
      <c r="DR134" s="81">
        <f t="shared" si="152"/>
        <v>0</v>
      </c>
      <c r="DS134" s="81">
        <f t="shared" si="153"/>
        <v>0</v>
      </c>
    </row>
    <row r="135" spans="14:123" x14ac:dyDescent="0.3">
      <c r="N135" s="81">
        <f>IF(Q136=0,IF(Q135=0,,"x"),)</f>
        <v>0</v>
      </c>
      <c r="O135" s="81">
        <f t="shared" si="154"/>
        <v>0</v>
      </c>
      <c r="P135" s="81">
        <f t="shared" si="118"/>
        <v>0</v>
      </c>
      <c r="Q135" s="81">
        <f t="shared" si="155"/>
        <v>0</v>
      </c>
      <c r="R135" s="81">
        <f>IF(W135="",,SUM($W$4:W135))</f>
        <v>0</v>
      </c>
      <c r="S135" s="81">
        <f t="shared" si="119"/>
        <v>0</v>
      </c>
      <c r="T135" s="81">
        <f t="shared" si="156"/>
        <v>0</v>
      </c>
      <c r="U135" s="81">
        <f t="shared" si="120"/>
        <v>0</v>
      </c>
      <c r="V135" s="81" t="str">
        <f t="shared" ca="1" si="121"/>
        <v/>
      </c>
      <c r="X135" s="81">
        <f t="shared" si="113"/>
        <v>0</v>
      </c>
      <c r="Y135" s="81">
        <f t="shared" si="114"/>
        <v>0</v>
      </c>
      <c r="AE135" s="81">
        <v>135</v>
      </c>
      <c r="AI135" s="81">
        <v>132</v>
      </c>
      <c r="AJ135" s="81" t="str">
        <f t="shared" si="109"/>
        <v>Augusti 29</v>
      </c>
      <c r="AK135" s="81" t="str">
        <f t="shared" si="106"/>
        <v>Augusti</v>
      </c>
      <c r="AL135" s="81">
        <f t="shared" si="105"/>
        <v>29</v>
      </c>
      <c r="AM135" s="81" t="str">
        <f t="shared" si="122"/>
        <v>='Augusti 29'!</v>
      </c>
      <c r="AN135" s="81" t="str">
        <f t="shared" si="115"/>
        <v>='Augusti 29'!C27</v>
      </c>
      <c r="AO135" s="81" t="s">
        <v>1135</v>
      </c>
      <c r="AR135" s="81" t="s">
        <v>195</v>
      </c>
      <c r="AS135" s="83" t="str">
        <f t="shared" si="110"/>
        <v>='Augusti 29'!C6</v>
      </c>
      <c r="AT135" s="83">
        <f t="shared" si="111"/>
        <v>0</v>
      </c>
      <c r="AV135" s="81" t="s">
        <v>496</v>
      </c>
      <c r="AW135" s="81" t="s">
        <v>2759</v>
      </c>
      <c r="AX135" s="81" t="s">
        <v>2760</v>
      </c>
      <c r="AY135" s="81" t="s">
        <v>2761</v>
      </c>
      <c r="AZ135" s="81" t="s">
        <v>2762</v>
      </c>
      <c r="BA135" s="81" t="s">
        <v>2763</v>
      </c>
      <c r="BB135" s="81" t="s">
        <v>2764</v>
      </c>
      <c r="BC135" s="81" t="s">
        <v>2765</v>
      </c>
      <c r="BD135" s="81" t="s">
        <v>2766</v>
      </c>
      <c r="BE135" s="81" t="s">
        <v>2767</v>
      </c>
      <c r="BF135" s="81" t="s">
        <v>2768</v>
      </c>
      <c r="BG135" s="81" t="s">
        <v>2769</v>
      </c>
      <c r="BH135" s="81" t="s">
        <v>4752</v>
      </c>
      <c r="BI135" s="81" t="s">
        <v>5056</v>
      </c>
      <c r="BJ135" s="81" t="s">
        <v>195</v>
      </c>
      <c r="BL135" s="81" t="s">
        <v>799</v>
      </c>
      <c r="BM135" s="81">
        <v>132</v>
      </c>
      <c r="BN135" s="81" t="str">
        <f t="shared" si="112"/>
        <v>='Augusti 29'!C12</v>
      </c>
      <c r="BP135" s="81" t="str">
        <f t="shared" ca="1" si="123"/>
        <v/>
      </c>
      <c r="BR135" s="84">
        <f t="shared" si="116"/>
        <v>0</v>
      </c>
      <c r="BS135" s="84">
        <f t="shared" si="117"/>
        <v>0</v>
      </c>
      <c r="CA135" s="81" t="s">
        <v>2</v>
      </c>
      <c r="CB135" s="81">
        <f t="shared" si="124"/>
        <v>0</v>
      </c>
      <c r="CC135" s="81">
        <f t="shared" si="125"/>
        <v>0</v>
      </c>
      <c r="CD135" s="81" t="s">
        <v>16</v>
      </c>
      <c r="CE135" s="81">
        <f t="shared" si="126"/>
        <v>0</v>
      </c>
      <c r="CF135" s="81">
        <f t="shared" si="127"/>
        <v>0</v>
      </c>
      <c r="CG135" s="81" t="s">
        <v>5</v>
      </c>
      <c r="CH135" s="81">
        <f t="shared" si="128"/>
        <v>0</v>
      </c>
      <c r="CI135" s="81">
        <f t="shared" si="129"/>
        <v>0</v>
      </c>
      <c r="CJ135" s="81" t="s">
        <v>18</v>
      </c>
      <c r="CK135" s="81">
        <f t="shared" si="130"/>
        <v>0</v>
      </c>
      <c r="CL135" s="81">
        <f t="shared" si="131"/>
        <v>0</v>
      </c>
      <c r="CM135" s="81" t="s">
        <v>4</v>
      </c>
      <c r="CN135" s="81">
        <f t="shared" si="132"/>
        <v>0</v>
      </c>
      <c r="CO135" s="81">
        <f t="shared" si="133"/>
        <v>0</v>
      </c>
      <c r="CP135" s="81" t="s">
        <v>22</v>
      </c>
      <c r="CQ135" s="81">
        <f t="shared" si="134"/>
        <v>0</v>
      </c>
      <c r="CR135" s="81">
        <f t="shared" si="135"/>
        <v>0</v>
      </c>
      <c r="CS135" s="81" t="s">
        <v>21</v>
      </c>
      <c r="CT135" s="81">
        <f t="shared" si="136"/>
        <v>0</v>
      </c>
      <c r="CU135" s="81">
        <f t="shared" si="137"/>
        <v>0</v>
      </c>
      <c r="CV135" s="81" t="s">
        <v>998</v>
      </c>
      <c r="CW135" s="81">
        <f t="shared" si="138"/>
        <v>0</v>
      </c>
      <c r="CX135" s="81">
        <f t="shared" si="139"/>
        <v>0</v>
      </c>
      <c r="CY135" s="81" t="s">
        <v>19</v>
      </c>
      <c r="CZ135" s="81">
        <f t="shared" si="140"/>
        <v>0</v>
      </c>
      <c r="DA135" s="81">
        <f t="shared" si="141"/>
        <v>0</v>
      </c>
      <c r="DB135" s="81" t="s">
        <v>20</v>
      </c>
      <c r="DC135" s="81">
        <f t="shared" si="142"/>
        <v>0</v>
      </c>
      <c r="DD135" s="81">
        <f t="shared" si="143"/>
        <v>0</v>
      </c>
      <c r="DE135" s="81" t="s">
        <v>23</v>
      </c>
      <c r="DF135" s="81">
        <f t="shared" si="144"/>
        <v>0</v>
      </c>
      <c r="DG135" s="81">
        <f t="shared" si="145"/>
        <v>0</v>
      </c>
      <c r="DH135" s="81" t="s">
        <v>15</v>
      </c>
      <c r="DI135" s="81">
        <f t="shared" si="146"/>
        <v>0</v>
      </c>
      <c r="DJ135" s="81">
        <f t="shared" si="147"/>
        <v>0</v>
      </c>
      <c r="DK135" s="81" t="s">
        <v>5357</v>
      </c>
      <c r="DL135" s="81">
        <f t="shared" si="148"/>
        <v>0</v>
      </c>
      <c r="DM135" s="81">
        <f t="shared" si="149"/>
        <v>0</v>
      </c>
      <c r="DN135" s="81" t="s">
        <v>7</v>
      </c>
      <c r="DO135" s="81">
        <f t="shared" si="150"/>
        <v>0</v>
      </c>
      <c r="DP135" s="81">
        <f t="shared" si="151"/>
        <v>0</v>
      </c>
      <c r="DQ135" s="81" t="s">
        <v>1</v>
      </c>
      <c r="DR135" s="81">
        <f t="shared" si="152"/>
        <v>0</v>
      </c>
      <c r="DS135" s="81">
        <f t="shared" si="153"/>
        <v>0</v>
      </c>
    </row>
    <row r="136" spans="14:123" x14ac:dyDescent="0.3">
      <c r="N136" s="81">
        <f>IF(Q137=0,IF(Q136=0,,"x"),)</f>
        <v>0</v>
      </c>
      <c r="O136" s="81">
        <f t="shared" si="154"/>
        <v>0</v>
      </c>
      <c r="P136" s="81">
        <f t="shared" si="118"/>
        <v>0</v>
      </c>
      <c r="Q136" s="81">
        <f t="shared" si="155"/>
        <v>0</v>
      </c>
      <c r="R136" s="81">
        <f>IF(W136="",,SUM($W$4:W136))</f>
        <v>0</v>
      </c>
      <c r="S136" s="81">
        <f t="shared" si="119"/>
        <v>0</v>
      </c>
      <c r="T136" s="81">
        <f t="shared" si="156"/>
        <v>0</v>
      </c>
      <c r="U136" s="81">
        <f t="shared" si="120"/>
        <v>0</v>
      </c>
      <c r="V136" s="81" t="str">
        <f t="shared" ca="1" si="121"/>
        <v/>
      </c>
      <c r="X136" s="81">
        <f t="shared" si="113"/>
        <v>0</v>
      </c>
      <c r="Y136" s="81">
        <f t="shared" si="114"/>
        <v>0</v>
      </c>
      <c r="AE136" s="81">
        <v>136</v>
      </c>
      <c r="AI136" s="81">
        <v>133</v>
      </c>
      <c r="AJ136" s="81" t="str">
        <f t="shared" si="109"/>
        <v>September 29</v>
      </c>
      <c r="AK136" s="81" t="str">
        <f t="shared" si="106"/>
        <v>September</v>
      </c>
      <c r="AL136" s="81">
        <f t="shared" si="105"/>
        <v>29</v>
      </c>
      <c r="AM136" s="81" t="str">
        <f t="shared" si="122"/>
        <v>='September 29'!</v>
      </c>
      <c r="AN136" s="81" t="str">
        <f t="shared" si="115"/>
        <v>='September 29'!C27</v>
      </c>
      <c r="AO136" s="81" t="s">
        <v>1136</v>
      </c>
      <c r="AR136" s="81" t="s">
        <v>196</v>
      </c>
      <c r="AS136" s="83" t="str">
        <f t="shared" si="110"/>
        <v>='September 29'!C6</v>
      </c>
      <c r="AT136" s="83">
        <f t="shared" si="111"/>
        <v>0</v>
      </c>
      <c r="AV136" s="81" t="s">
        <v>497</v>
      </c>
      <c r="AW136" s="81" t="s">
        <v>2770</v>
      </c>
      <c r="AX136" s="81" t="s">
        <v>2771</v>
      </c>
      <c r="AY136" s="81" t="s">
        <v>2772</v>
      </c>
      <c r="AZ136" s="81" t="s">
        <v>2773</v>
      </c>
      <c r="BA136" s="81" t="s">
        <v>2774</v>
      </c>
      <c r="BB136" s="81" t="s">
        <v>2775</v>
      </c>
      <c r="BC136" s="81" t="s">
        <v>2776</v>
      </c>
      <c r="BD136" s="81" t="s">
        <v>2777</v>
      </c>
      <c r="BE136" s="81" t="s">
        <v>2778</v>
      </c>
      <c r="BF136" s="81" t="s">
        <v>2779</v>
      </c>
      <c r="BG136" s="81" t="s">
        <v>2780</v>
      </c>
      <c r="BH136" s="81" t="s">
        <v>4753</v>
      </c>
      <c r="BI136" s="81" t="s">
        <v>5057</v>
      </c>
      <c r="BJ136" s="81" t="s">
        <v>196</v>
      </c>
      <c r="BL136" s="81" t="s">
        <v>800</v>
      </c>
      <c r="BM136" s="81">
        <v>133</v>
      </c>
      <c r="BN136" s="81" t="str">
        <f t="shared" si="112"/>
        <v>='September 29'!C12</v>
      </c>
      <c r="BP136" s="81" t="str">
        <f t="shared" ca="1" si="123"/>
        <v/>
      </c>
      <c r="BR136" s="84">
        <f t="shared" si="116"/>
        <v>0</v>
      </c>
      <c r="BS136" s="84">
        <f t="shared" si="117"/>
        <v>0</v>
      </c>
      <c r="CA136" s="81" t="s">
        <v>2</v>
      </c>
      <c r="CB136" s="81">
        <f t="shared" si="124"/>
        <v>0</v>
      </c>
      <c r="CC136" s="81">
        <f t="shared" si="125"/>
        <v>0</v>
      </c>
      <c r="CD136" s="81" t="s">
        <v>16</v>
      </c>
      <c r="CE136" s="81">
        <f t="shared" si="126"/>
        <v>0</v>
      </c>
      <c r="CF136" s="81">
        <f t="shared" si="127"/>
        <v>0</v>
      </c>
      <c r="CG136" s="81" t="s">
        <v>5</v>
      </c>
      <c r="CH136" s="81">
        <f t="shared" si="128"/>
        <v>0</v>
      </c>
      <c r="CI136" s="81">
        <f t="shared" si="129"/>
        <v>0</v>
      </c>
      <c r="CJ136" s="81" t="s">
        <v>18</v>
      </c>
      <c r="CK136" s="81">
        <f t="shared" si="130"/>
        <v>0</v>
      </c>
      <c r="CL136" s="81">
        <f t="shared" si="131"/>
        <v>0</v>
      </c>
      <c r="CM136" s="81" t="s">
        <v>4</v>
      </c>
      <c r="CN136" s="81">
        <f t="shared" si="132"/>
        <v>0</v>
      </c>
      <c r="CO136" s="81">
        <f t="shared" si="133"/>
        <v>0</v>
      </c>
      <c r="CP136" s="81" t="s">
        <v>22</v>
      </c>
      <c r="CQ136" s="81">
        <f t="shared" si="134"/>
        <v>0</v>
      </c>
      <c r="CR136" s="81">
        <f t="shared" si="135"/>
        <v>0</v>
      </c>
      <c r="CS136" s="81" t="s">
        <v>21</v>
      </c>
      <c r="CT136" s="81">
        <f t="shared" si="136"/>
        <v>0</v>
      </c>
      <c r="CU136" s="81">
        <f t="shared" si="137"/>
        <v>0</v>
      </c>
      <c r="CV136" s="81" t="s">
        <v>998</v>
      </c>
      <c r="CW136" s="81">
        <f t="shared" si="138"/>
        <v>0</v>
      </c>
      <c r="CX136" s="81">
        <f t="shared" si="139"/>
        <v>0</v>
      </c>
      <c r="CY136" s="81" t="s">
        <v>19</v>
      </c>
      <c r="CZ136" s="81">
        <f t="shared" si="140"/>
        <v>0</v>
      </c>
      <c r="DA136" s="81">
        <f t="shared" si="141"/>
        <v>0</v>
      </c>
      <c r="DB136" s="81" t="s">
        <v>20</v>
      </c>
      <c r="DC136" s="81">
        <f t="shared" si="142"/>
        <v>0</v>
      </c>
      <c r="DD136" s="81">
        <f t="shared" si="143"/>
        <v>0</v>
      </c>
      <c r="DE136" s="81" t="s">
        <v>23</v>
      </c>
      <c r="DF136" s="81">
        <f t="shared" si="144"/>
        <v>0</v>
      </c>
      <c r="DG136" s="81">
        <f t="shared" si="145"/>
        <v>0</v>
      </c>
      <c r="DH136" s="81" t="s">
        <v>15</v>
      </c>
      <c r="DI136" s="81">
        <f t="shared" si="146"/>
        <v>0</v>
      </c>
      <c r="DJ136" s="81">
        <f t="shared" si="147"/>
        <v>0</v>
      </c>
      <c r="DK136" s="81" t="s">
        <v>5358</v>
      </c>
      <c r="DL136" s="81">
        <f t="shared" si="148"/>
        <v>0</v>
      </c>
      <c r="DM136" s="81">
        <f t="shared" si="149"/>
        <v>0</v>
      </c>
      <c r="DN136" s="81" t="s">
        <v>7</v>
      </c>
      <c r="DO136" s="81">
        <f t="shared" si="150"/>
        <v>0</v>
      </c>
      <c r="DP136" s="81">
        <f t="shared" si="151"/>
        <v>0</v>
      </c>
      <c r="DQ136" s="81" t="s">
        <v>1</v>
      </c>
      <c r="DR136" s="81">
        <f t="shared" si="152"/>
        <v>0</v>
      </c>
      <c r="DS136" s="81">
        <f t="shared" si="153"/>
        <v>0</v>
      </c>
    </row>
    <row r="137" spans="14:123" x14ac:dyDescent="0.3">
      <c r="N137" s="81">
        <f>IF(Q138=0,IF(Q137=0,,"x"),)</f>
        <v>0</v>
      </c>
      <c r="O137" s="81">
        <f t="shared" si="154"/>
        <v>0</v>
      </c>
      <c r="P137" s="81">
        <f t="shared" si="118"/>
        <v>0</v>
      </c>
      <c r="Q137" s="81">
        <f t="shared" si="155"/>
        <v>0</v>
      </c>
      <c r="R137" s="81">
        <f>IF(W137="",,SUM($W$4:W137))</f>
        <v>0</v>
      </c>
      <c r="S137" s="81">
        <f t="shared" si="119"/>
        <v>0</v>
      </c>
      <c r="T137" s="81">
        <f t="shared" si="156"/>
        <v>0</v>
      </c>
      <c r="U137" s="81">
        <f t="shared" si="120"/>
        <v>0</v>
      </c>
      <c r="V137" s="81" t="str">
        <f t="shared" ca="1" si="121"/>
        <v/>
      </c>
      <c r="X137" s="81">
        <f t="shared" si="113"/>
        <v>0</v>
      </c>
      <c r="Y137" s="81">
        <f t="shared" si="114"/>
        <v>0</v>
      </c>
      <c r="AE137" s="81">
        <v>137</v>
      </c>
      <c r="AI137" s="81">
        <v>134</v>
      </c>
      <c r="AJ137" s="81" t="str">
        <f t="shared" si="109"/>
        <v>Oktober 29</v>
      </c>
      <c r="AK137" s="81" t="str">
        <f t="shared" si="106"/>
        <v>Oktober</v>
      </c>
      <c r="AL137" s="81">
        <f t="shared" si="105"/>
        <v>29</v>
      </c>
      <c r="AM137" s="81" t="str">
        <f t="shared" si="122"/>
        <v>='Oktober 29'!</v>
      </c>
      <c r="AN137" s="81" t="str">
        <f t="shared" si="115"/>
        <v>='Oktober 29'!C27</v>
      </c>
      <c r="AO137" s="81" t="s">
        <v>1137</v>
      </c>
      <c r="AR137" s="81" t="s">
        <v>197</v>
      </c>
      <c r="AS137" s="83" t="str">
        <f t="shared" si="110"/>
        <v>='Oktober 29'!C6</v>
      </c>
      <c r="AT137" s="83">
        <f t="shared" si="111"/>
        <v>0</v>
      </c>
      <c r="AV137" s="81" t="s">
        <v>498</v>
      </c>
      <c r="AW137" s="81" t="s">
        <v>2781</v>
      </c>
      <c r="AX137" s="81" t="s">
        <v>2782</v>
      </c>
      <c r="AY137" s="81" t="s">
        <v>2783</v>
      </c>
      <c r="AZ137" s="81" t="s">
        <v>2784</v>
      </c>
      <c r="BA137" s="81" t="s">
        <v>2785</v>
      </c>
      <c r="BB137" s="81" t="s">
        <v>2786</v>
      </c>
      <c r="BC137" s="81" t="s">
        <v>2787</v>
      </c>
      <c r="BD137" s="81" t="s">
        <v>2788</v>
      </c>
      <c r="BE137" s="81" t="s">
        <v>2789</v>
      </c>
      <c r="BF137" s="81" t="s">
        <v>2790</v>
      </c>
      <c r="BG137" s="81" t="s">
        <v>2791</v>
      </c>
      <c r="BH137" s="81" t="s">
        <v>4754</v>
      </c>
      <c r="BI137" s="81" t="s">
        <v>5058</v>
      </c>
      <c r="BJ137" s="81" t="s">
        <v>197</v>
      </c>
      <c r="BL137" s="81" t="s">
        <v>801</v>
      </c>
      <c r="BM137" s="81">
        <v>134</v>
      </c>
      <c r="BN137" s="81" t="str">
        <f t="shared" si="112"/>
        <v>='Oktober 29'!C12</v>
      </c>
      <c r="BP137" s="81" t="str">
        <f t="shared" ca="1" si="123"/>
        <v/>
      </c>
      <c r="BR137" s="84">
        <f t="shared" si="116"/>
        <v>0</v>
      </c>
      <c r="BS137" s="84">
        <f t="shared" si="117"/>
        <v>0</v>
      </c>
      <c r="CA137" s="81" t="s">
        <v>2</v>
      </c>
      <c r="CB137" s="81">
        <f t="shared" si="124"/>
        <v>0</v>
      </c>
      <c r="CC137" s="81">
        <f t="shared" si="125"/>
        <v>0</v>
      </c>
      <c r="CD137" s="81" t="s">
        <v>16</v>
      </c>
      <c r="CE137" s="81">
        <f t="shared" si="126"/>
        <v>0</v>
      </c>
      <c r="CF137" s="81">
        <f t="shared" si="127"/>
        <v>0</v>
      </c>
      <c r="CG137" s="81" t="s">
        <v>5</v>
      </c>
      <c r="CH137" s="81">
        <f t="shared" si="128"/>
        <v>0</v>
      </c>
      <c r="CI137" s="81">
        <f t="shared" si="129"/>
        <v>0</v>
      </c>
      <c r="CJ137" s="81" t="s">
        <v>18</v>
      </c>
      <c r="CK137" s="81">
        <f t="shared" si="130"/>
        <v>0</v>
      </c>
      <c r="CL137" s="81">
        <f t="shared" si="131"/>
        <v>0</v>
      </c>
      <c r="CM137" s="81" t="s">
        <v>4</v>
      </c>
      <c r="CN137" s="81">
        <f t="shared" si="132"/>
        <v>0</v>
      </c>
      <c r="CO137" s="81">
        <f t="shared" si="133"/>
        <v>0</v>
      </c>
      <c r="CP137" s="81" t="s">
        <v>22</v>
      </c>
      <c r="CQ137" s="81">
        <f t="shared" si="134"/>
        <v>0</v>
      </c>
      <c r="CR137" s="81">
        <f t="shared" si="135"/>
        <v>0</v>
      </c>
      <c r="CS137" s="81" t="s">
        <v>21</v>
      </c>
      <c r="CT137" s="81">
        <f t="shared" si="136"/>
        <v>0</v>
      </c>
      <c r="CU137" s="81">
        <f t="shared" si="137"/>
        <v>0</v>
      </c>
      <c r="CV137" s="81" t="s">
        <v>998</v>
      </c>
      <c r="CW137" s="81">
        <f t="shared" si="138"/>
        <v>0</v>
      </c>
      <c r="CX137" s="81">
        <f t="shared" si="139"/>
        <v>0</v>
      </c>
      <c r="CY137" s="81" t="s">
        <v>19</v>
      </c>
      <c r="CZ137" s="81">
        <f t="shared" si="140"/>
        <v>0</v>
      </c>
      <c r="DA137" s="81">
        <f t="shared" si="141"/>
        <v>0</v>
      </c>
      <c r="DB137" s="81" t="s">
        <v>20</v>
      </c>
      <c r="DC137" s="81">
        <f t="shared" si="142"/>
        <v>0</v>
      </c>
      <c r="DD137" s="81">
        <f t="shared" si="143"/>
        <v>0</v>
      </c>
      <c r="DE137" s="81" t="s">
        <v>23</v>
      </c>
      <c r="DF137" s="81">
        <f t="shared" si="144"/>
        <v>0</v>
      </c>
      <c r="DG137" s="81">
        <f t="shared" si="145"/>
        <v>0</v>
      </c>
      <c r="DH137" s="81" t="s">
        <v>15</v>
      </c>
      <c r="DI137" s="81">
        <f t="shared" si="146"/>
        <v>0</v>
      </c>
      <c r="DJ137" s="81">
        <f t="shared" si="147"/>
        <v>0</v>
      </c>
      <c r="DK137" s="81" t="s">
        <v>5359</v>
      </c>
      <c r="DL137" s="81">
        <f t="shared" si="148"/>
        <v>0</v>
      </c>
      <c r="DM137" s="81">
        <f t="shared" si="149"/>
        <v>0</v>
      </c>
      <c r="DN137" s="81" t="s">
        <v>7</v>
      </c>
      <c r="DO137" s="81">
        <f t="shared" si="150"/>
        <v>0</v>
      </c>
      <c r="DP137" s="81">
        <f t="shared" si="151"/>
        <v>0</v>
      </c>
      <c r="DQ137" s="81" t="s">
        <v>1</v>
      </c>
      <c r="DR137" s="81">
        <f t="shared" si="152"/>
        <v>0</v>
      </c>
      <c r="DS137" s="81">
        <f t="shared" si="153"/>
        <v>0</v>
      </c>
    </row>
    <row r="138" spans="14:123" x14ac:dyDescent="0.3">
      <c r="N138" s="81">
        <f>IF(Q139=0,IF(Q138=0,,"x"),)</f>
        <v>0</v>
      </c>
      <c r="O138" s="81">
        <f t="shared" si="154"/>
        <v>0</v>
      </c>
      <c r="P138" s="81">
        <f t="shared" si="118"/>
        <v>0</v>
      </c>
      <c r="Q138" s="81">
        <f t="shared" si="155"/>
        <v>0</v>
      </c>
      <c r="R138" s="81">
        <f>IF(W138="",,SUM($W$4:W138))</f>
        <v>0</v>
      </c>
      <c r="S138" s="81">
        <f t="shared" si="119"/>
        <v>0</v>
      </c>
      <c r="T138" s="81">
        <f t="shared" si="156"/>
        <v>0</v>
      </c>
      <c r="U138" s="81">
        <f t="shared" si="120"/>
        <v>0</v>
      </c>
      <c r="V138" s="81" t="str">
        <f t="shared" ca="1" si="121"/>
        <v/>
      </c>
      <c r="X138" s="81">
        <f t="shared" si="113"/>
        <v>0</v>
      </c>
      <c r="Y138" s="81">
        <f t="shared" si="114"/>
        <v>0</v>
      </c>
      <c r="AE138" s="81">
        <v>138</v>
      </c>
      <c r="AI138" s="81">
        <v>135</v>
      </c>
      <c r="AJ138" s="81" t="str">
        <f t="shared" si="109"/>
        <v>November 29</v>
      </c>
      <c r="AK138" s="81" t="str">
        <f t="shared" si="106"/>
        <v>November</v>
      </c>
      <c r="AL138" s="81">
        <f t="shared" si="105"/>
        <v>29</v>
      </c>
      <c r="AM138" s="81" t="str">
        <f t="shared" si="122"/>
        <v>='November 29'!</v>
      </c>
      <c r="AN138" s="81" t="str">
        <f t="shared" si="115"/>
        <v>='November 29'!C27</v>
      </c>
      <c r="AO138" s="81" t="s">
        <v>1138</v>
      </c>
      <c r="AR138" s="81" t="s">
        <v>198</v>
      </c>
      <c r="AS138" s="83" t="str">
        <f t="shared" si="110"/>
        <v>='November 29'!C6</v>
      </c>
      <c r="AT138" s="83">
        <f t="shared" si="111"/>
        <v>0</v>
      </c>
      <c r="AV138" s="81" t="s">
        <v>499</v>
      </c>
      <c r="AW138" s="81" t="s">
        <v>2792</v>
      </c>
      <c r="AX138" s="81" t="s">
        <v>2793</v>
      </c>
      <c r="AY138" s="81" t="s">
        <v>2794</v>
      </c>
      <c r="AZ138" s="81" t="s">
        <v>2795</v>
      </c>
      <c r="BA138" s="81" t="s">
        <v>2796</v>
      </c>
      <c r="BB138" s="81" t="s">
        <v>2797</v>
      </c>
      <c r="BC138" s="81" t="s">
        <v>2798</v>
      </c>
      <c r="BD138" s="81" t="s">
        <v>2799</v>
      </c>
      <c r="BE138" s="81" t="s">
        <v>2800</v>
      </c>
      <c r="BF138" s="81" t="s">
        <v>2801</v>
      </c>
      <c r="BG138" s="81" t="s">
        <v>2802</v>
      </c>
      <c r="BH138" s="81" t="s">
        <v>4755</v>
      </c>
      <c r="BI138" s="81" t="s">
        <v>5059</v>
      </c>
      <c r="BJ138" s="81" t="s">
        <v>198</v>
      </c>
      <c r="BL138" s="81" t="s">
        <v>802</v>
      </c>
      <c r="BM138" s="81">
        <v>135</v>
      </c>
      <c r="BN138" s="81" t="str">
        <f t="shared" si="112"/>
        <v>='November 29'!C12</v>
      </c>
      <c r="BP138" s="81" t="str">
        <f t="shared" ca="1" si="123"/>
        <v/>
      </c>
      <c r="BR138" s="84">
        <f t="shared" si="116"/>
        <v>0</v>
      </c>
      <c r="BS138" s="84">
        <f t="shared" si="117"/>
        <v>0</v>
      </c>
      <c r="CA138" s="81" t="s">
        <v>2</v>
      </c>
      <c r="CB138" s="81">
        <f t="shared" si="124"/>
        <v>0</v>
      </c>
      <c r="CC138" s="81">
        <f t="shared" si="125"/>
        <v>0</v>
      </c>
      <c r="CD138" s="81" t="s">
        <v>16</v>
      </c>
      <c r="CE138" s="81">
        <f t="shared" si="126"/>
        <v>0</v>
      </c>
      <c r="CF138" s="81">
        <f t="shared" si="127"/>
        <v>0</v>
      </c>
      <c r="CG138" s="81" t="s">
        <v>5</v>
      </c>
      <c r="CH138" s="81">
        <f t="shared" si="128"/>
        <v>0</v>
      </c>
      <c r="CI138" s="81">
        <f t="shared" si="129"/>
        <v>0</v>
      </c>
      <c r="CJ138" s="81" t="s">
        <v>18</v>
      </c>
      <c r="CK138" s="81">
        <f t="shared" si="130"/>
        <v>0</v>
      </c>
      <c r="CL138" s="81">
        <f t="shared" si="131"/>
        <v>0</v>
      </c>
      <c r="CM138" s="81" t="s">
        <v>4</v>
      </c>
      <c r="CN138" s="81">
        <f t="shared" si="132"/>
        <v>0</v>
      </c>
      <c r="CO138" s="81">
        <f t="shared" si="133"/>
        <v>0</v>
      </c>
      <c r="CP138" s="81" t="s">
        <v>22</v>
      </c>
      <c r="CQ138" s="81">
        <f t="shared" si="134"/>
        <v>0</v>
      </c>
      <c r="CR138" s="81">
        <f t="shared" si="135"/>
        <v>0</v>
      </c>
      <c r="CS138" s="81" t="s">
        <v>21</v>
      </c>
      <c r="CT138" s="81">
        <f t="shared" si="136"/>
        <v>0</v>
      </c>
      <c r="CU138" s="81">
        <f t="shared" si="137"/>
        <v>0</v>
      </c>
      <c r="CV138" s="81" t="s">
        <v>998</v>
      </c>
      <c r="CW138" s="81">
        <f t="shared" si="138"/>
        <v>0</v>
      </c>
      <c r="CX138" s="81">
        <f t="shared" si="139"/>
        <v>0</v>
      </c>
      <c r="CY138" s="81" t="s">
        <v>19</v>
      </c>
      <c r="CZ138" s="81">
        <f t="shared" si="140"/>
        <v>0</v>
      </c>
      <c r="DA138" s="81">
        <f t="shared" si="141"/>
        <v>0</v>
      </c>
      <c r="DB138" s="81" t="s">
        <v>20</v>
      </c>
      <c r="DC138" s="81">
        <f t="shared" si="142"/>
        <v>0</v>
      </c>
      <c r="DD138" s="81">
        <f t="shared" si="143"/>
        <v>0</v>
      </c>
      <c r="DE138" s="81" t="s">
        <v>23</v>
      </c>
      <c r="DF138" s="81">
        <f t="shared" si="144"/>
        <v>0</v>
      </c>
      <c r="DG138" s="81">
        <f t="shared" si="145"/>
        <v>0</v>
      </c>
      <c r="DH138" s="81" t="s">
        <v>15</v>
      </c>
      <c r="DI138" s="81">
        <f t="shared" si="146"/>
        <v>0</v>
      </c>
      <c r="DJ138" s="81">
        <f t="shared" si="147"/>
        <v>0</v>
      </c>
      <c r="DK138" s="81" t="s">
        <v>5360</v>
      </c>
      <c r="DL138" s="81">
        <f t="shared" si="148"/>
        <v>0</v>
      </c>
      <c r="DM138" s="81">
        <f t="shared" si="149"/>
        <v>0</v>
      </c>
      <c r="DN138" s="81" t="s">
        <v>7</v>
      </c>
      <c r="DO138" s="81">
        <f t="shared" si="150"/>
        <v>0</v>
      </c>
      <c r="DP138" s="81">
        <f t="shared" si="151"/>
        <v>0</v>
      </c>
      <c r="DQ138" s="81" t="s">
        <v>1</v>
      </c>
      <c r="DR138" s="81">
        <f t="shared" si="152"/>
        <v>0</v>
      </c>
      <c r="DS138" s="81">
        <f t="shared" si="153"/>
        <v>0</v>
      </c>
    </row>
    <row r="139" spans="14:123" x14ac:dyDescent="0.3">
      <c r="N139" s="81">
        <f>IF(Q140=0,IF(Q139=0,,"x"),)</f>
        <v>0</v>
      </c>
      <c r="O139" s="81">
        <f t="shared" si="154"/>
        <v>0</v>
      </c>
      <c r="P139" s="81">
        <f t="shared" si="118"/>
        <v>0</v>
      </c>
      <c r="Q139" s="81">
        <f t="shared" si="155"/>
        <v>0</v>
      </c>
      <c r="R139" s="81">
        <f>IF(W139="",,SUM($W$4:W139))</f>
        <v>0</v>
      </c>
      <c r="S139" s="81">
        <f t="shared" si="119"/>
        <v>0</v>
      </c>
      <c r="T139" s="81">
        <f t="shared" si="156"/>
        <v>0</v>
      </c>
      <c r="U139" s="81">
        <f t="shared" si="120"/>
        <v>0</v>
      </c>
      <c r="V139" s="81" t="str">
        <f t="shared" ca="1" si="121"/>
        <v/>
      </c>
      <c r="X139" s="81">
        <f t="shared" si="113"/>
        <v>0</v>
      </c>
      <c r="Y139" s="81">
        <f t="shared" si="114"/>
        <v>0</v>
      </c>
      <c r="AE139" s="81">
        <v>139</v>
      </c>
      <c r="AI139" s="81">
        <v>136</v>
      </c>
      <c r="AJ139" s="81" t="str">
        <f t="shared" si="109"/>
        <v>December 29</v>
      </c>
      <c r="AK139" s="81" t="str">
        <f t="shared" si="106"/>
        <v>December</v>
      </c>
      <c r="AL139" s="81">
        <f t="shared" si="105"/>
        <v>29</v>
      </c>
      <c r="AM139" s="81" t="str">
        <f t="shared" si="122"/>
        <v>='December 29'!</v>
      </c>
      <c r="AN139" s="81" t="str">
        <f t="shared" si="115"/>
        <v>='December 29'!C27</v>
      </c>
      <c r="AO139" s="81" t="s">
        <v>1139</v>
      </c>
      <c r="AR139" s="81" t="s">
        <v>199</v>
      </c>
      <c r="AS139" s="83" t="str">
        <f t="shared" si="110"/>
        <v>='December 29'!C6</v>
      </c>
      <c r="AT139" s="83">
        <f t="shared" si="111"/>
        <v>0</v>
      </c>
      <c r="AV139" s="81" t="s">
        <v>500</v>
      </c>
      <c r="AW139" s="81" t="s">
        <v>2803</v>
      </c>
      <c r="AX139" s="81" t="s">
        <v>2804</v>
      </c>
      <c r="AY139" s="81" t="s">
        <v>2805</v>
      </c>
      <c r="AZ139" s="81" t="s">
        <v>2806</v>
      </c>
      <c r="BA139" s="81" t="s">
        <v>2807</v>
      </c>
      <c r="BB139" s="81" t="s">
        <v>2808</v>
      </c>
      <c r="BC139" s="81" t="s">
        <v>2809</v>
      </c>
      <c r="BD139" s="81" t="s">
        <v>2810</v>
      </c>
      <c r="BE139" s="81" t="s">
        <v>2811</v>
      </c>
      <c r="BF139" s="81" t="s">
        <v>2812</v>
      </c>
      <c r="BG139" s="81" t="s">
        <v>2813</v>
      </c>
      <c r="BH139" s="81" t="s">
        <v>4756</v>
      </c>
      <c r="BI139" s="81" t="s">
        <v>5060</v>
      </c>
      <c r="BJ139" s="81" t="s">
        <v>199</v>
      </c>
      <c r="BL139" s="81" t="s">
        <v>803</v>
      </c>
      <c r="BM139" s="81">
        <v>136</v>
      </c>
      <c r="BN139" s="81" t="str">
        <f t="shared" si="112"/>
        <v>='December 29'!C12</v>
      </c>
      <c r="BP139" s="81" t="str">
        <f t="shared" ca="1" si="123"/>
        <v/>
      </c>
      <c r="BR139" s="84">
        <f t="shared" si="116"/>
        <v>0</v>
      </c>
      <c r="BS139" s="84">
        <f t="shared" si="117"/>
        <v>0</v>
      </c>
      <c r="CA139" s="81" t="s">
        <v>2</v>
      </c>
      <c r="CB139" s="81">
        <f t="shared" si="124"/>
        <v>0</v>
      </c>
      <c r="CC139" s="81">
        <f t="shared" si="125"/>
        <v>0</v>
      </c>
      <c r="CD139" s="81" t="s">
        <v>16</v>
      </c>
      <c r="CE139" s="81">
        <f t="shared" si="126"/>
        <v>0</v>
      </c>
      <c r="CF139" s="81">
        <f t="shared" si="127"/>
        <v>0</v>
      </c>
      <c r="CG139" s="81" t="s">
        <v>5</v>
      </c>
      <c r="CH139" s="81">
        <f t="shared" si="128"/>
        <v>0</v>
      </c>
      <c r="CI139" s="81">
        <f t="shared" si="129"/>
        <v>0</v>
      </c>
      <c r="CJ139" s="81" t="s">
        <v>18</v>
      </c>
      <c r="CK139" s="81">
        <f t="shared" si="130"/>
        <v>0</v>
      </c>
      <c r="CL139" s="81">
        <f t="shared" si="131"/>
        <v>0</v>
      </c>
      <c r="CM139" s="81" t="s">
        <v>4</v>
      </c>
      <c r="CN139" s="81">
        <f t="shared" si="132"/>
        <v>0</v>
      </c>
      <c r="CO139" s="81">
        <f t="shared" si="133"/>
        <v>0</v>
      </c>
      <c r="CP139" s="81" t="s">
        <v>22</v>
      </c>
      <c r="CQ139" s="81">
        <f t="shared" si="134"/>
        <v>0</v>
      </c>
      <c r="CR139" s="81">
        <f t="shared" si="135"/>
        <v>0</v>
      </c>
      <c r="CS139" s="81" t="s">
        <v>21</v>
      </c>
      <c r="CT139" s="81">
        <f t="shared" si="136"/>
        <v>0</v>
      </c>
      <c r="CU139" s="81">
        <f t="shared" si="137"/>
        <v>0</v>
      </c>
      <c r="CV139" s="81" t="s">
        <v>998</v>
      </c>
      <c r="CW139" s="81">
        <f t="shared" si="138"/>
        <v>0</v>
      </c>
      <c r="CX139" s="81">
        <f t="shared" si="139"/>
        <v>0</v>
      </c>
      <c r="CY139" s="81" t="s">
        <v>19</v>
      </c>
      <c r="CZ139" s="81">
        <f t="shared" si="140"/>
        <v>0</v>
      </c>
      <c r="DA139" s="81">
        <f t="shared" si="141"/>
        <v>0</v>
      </c>
      <c r="DB139" s="81" t="s">
        <v>20</v>
      </c>
      <c r="DC139" s="81">
        <f t="shared" si="142"/>
        <v>0</v>
      </c>
      <c r="DD139" s="81">
        <f t="shared" si="143"/>
        <v>0</v>
      </c>
      <c r="DE139" s="81" t="s">
        <v>23</v>
      </c>
      <c r="DF139" s="81">
        <f t="shared" si="144"/>
        <v>0</v>
      </c>
      <c r="DG139" s="81">
        <f t="shared" si="145"/>
        <v>0</v>
      </c>
      <c r="DH139" s="81" t="s">
        <v>15</v>
      </c>
      <c r="DI139" s="81">
        <f t="shared" si="146"/>
        <v>0</v>
      </c>
      <c r="DJ139" s="81">
        <f t="shared" si="147"/>
        <v>0</v>
      </c>
      <c r="DK139" s="81" t="s">
        <v>5361</v>
      </c>
      <c r="DL139" s="81">
        <f t="shared" si="148"/>
        <v>0</v>
      </c>
      <c r="DM139" s="81">
        <f t="shared" si="149"/>
        <v>0</v>
      </c>
      <c r="DN139" s="81" t="s">
        <v>7</v>
      </c>
      <c r="DO139" s="81">
        <f t="shared" si="150"/>
        <v>0</v>
      </c>
      <c r="DP139" s="81">
        <f t="shared" si="151"/>
        <v>0</v>
      </c>
      <c r="DQ139" s="81" t="s">
        <v>1</v>
      </c>
      <c r="DR139" s="81">
        <f t="shared" si="152"/>
        <v>0</v>
      </c>
      <c r="DS139" s="81">
        <f t="shared" si="153"/>
        <v>0</v>
      </c>
    </row>
    <row r="140" spans="14:123" x14ac:dyDescent="0.3">
      <c r="N140" s="81">
        <f>IF(Q141=0,IF(Q140=0,,"x"),)</f>
        <v>0</v>
      </c>
      <c r="O140" s="81">
        <f t="shared" si="154"/>
        <v>0</v>
      </c>
      <c r="P140" s="81">
        <f t="shared" si="118"/>
        <v>0</v>
      </c>
      <c r="Q140" s="81">
        <f t="shared" si="155"/>
        <v>0</v>
      </c>
      <c r="R140" s="81">
        <f>IF(W140="",,SUM($W$4:W140))</f>
        <v>0</v>
      </c>
      <c r="S140" s="81">
        <f t="shared" si="119"/>
        <v>0</v>
      </c>
      <c r="T140" s="81">
        <f t="shared" si="156"/>
        <v>0</v>
      </c>
      <c r="U140" s="81">
        <f t="shared" si="120"/>
        <v>0</v>
      </c>
      <c r="V140" s="81" t="str">
        <f t="shared" ca="1" si="121"/>
        <v/>
      </c>
      <c r="X140" s="81">
        <f t="shared" si="113"/>
        <v>0</v>
      </c>
      <c r="Y140" s="81">
        <f t="shared" si="114"/>
        <v>0</v>
      </c>
      <c r="AE140" s="81">
        <v>140</v>
      </c>
      <c r="AI140" s="81">
        <v>137</v>
      </c>
      <c r="AJ140" s="81" t="str">
        <f t="shared" si="109"/>
        <v>Januari 30</v>
      </c>
      <c r="AK140" s="81" t="str">
        <f t="shared" si="106"/>
        <v>Januari</v>
      </c>
      <c r="AL140" s="81">
        <f t="shared" si="105"/>
        <v>30</v>
      </c>
      <c r="AM140" s="81" t="str">
        <f t="shared" si="122"/>
        <v>='Januari 30'!</v>
      </c>
      <c r="AN140" s="81" t="str">
        <f t="shared" si="115"/>
        <v>='Januari 30'!C27</v>
      </c>
      <c r="AO140" s="81" t="s">
        <v>1140</v>
      </c>
      <c r="AR140" s="81" t="s">
        <v>200</v>
      </c>
      <c r="AS140" s="83" t="str">
        <f t="shared" si="110"/>
        <v>='Januari 30'!C6</v>
      </c>
      <c r="AT140" s="83">
        <f t="shared" si="111"/>
        <v>0</v>
      </c>
      <c r="AV140" s="81" t="s">
        <v>501</v>
      </c>
      <c r="AW140" s="81" t="s">
        <v>2814</v>
      </c>
      <c r="AX140" s="81" t="s">
        <v>2815</v>
      </c>
      <c r="AY140" s="81" t="s">
        <v>2816</v>
      </c>
      <c r="AZ140" s="81" t="s">
        <v>2817</v>
      </c>
      <c r="BA140" s="81" t="s">
        <v>2818</v>
      </c>
      <c r="BB140" s="81" t="s">
        <v>2819</v>
      </c>
      <c r="BC140" s="81" t="s">
        <v>2820</v>
      </c>
      <c r="BD140" s="81" t="s">
        <v>2821</v>
      </c>
      <c r="BE140" s="81" t="s">
        <v>2822</v>
      </c>
      <c r="BF140" s="81" t="s">
        <v>2823</v>
      </c>
      <c r="BG140" s="81" t="s">
        <v>2824</v>
      </c>
      <c r="BH140" s="81" t="s">
        <v>4757</v>
      </c>
      <c r="BI140" s="81" t="s">
        <v>5061</v>
      </c>
      <c r="BJ140" s="81" t="s">
        <v>200</v>
      </c>
      <c r="BL140" s="81" t="s">
        <v>804</v>
      </c>
      <c r="BM140" s="81">
        <v>137</v>
      </c>
      <c r="BN140" s="81" t="str">
        <f t="shared" si="112"/>
        <v>='Januari 30'!C12</v>
      </c>
      <c r="BP140" s="81" t="str">
        <f t="shared" ca="1" si="123"/>
        <v/>
      </c>
      <c r="BR140" s="84">
        <f t="shared" si="116"/>
        <v>0</v>
      </c>
      <c r="BS140" s="84">
        <f t="shared" si="117"/>
        <v>0</v>
      </c>
      <c r="CA140" s="81" t="s">
        <v>2</v>
      </c>
      <c r="CB140" s="81">
        <f t="shared" si="124"/>
        <v>0</v>
      </c>
      <c r="CC140" s="81">
        <f t="shared" si="125"/>
        <v>0</v>
      </c>
      <c r="CD140" s="81" t="s">
        <v>16</v>
      </c>
      <c r="CE140" s="81">
        <f t="shared" si="126"/>
        <v>0</v>
      </c>
      <c r="CF140" s="81">
        <f t="shared" si="127"/>
        <v>0</v>
      </c>
      <c r="CG140" s="81" t="s">
        <v>5</v>
      </c>
      <c r="CH140" s="81">
        <f t="shared" si="128"/>
        <v>0</v>
      </c>
      <c r="CI140" s="81">
        <f t="shared" si="129"/>
        <v>0</v>
      </c>
      <c r="CJ140" s="81" t="s">
        <v>18</v>
      </c>
      <c r="CK140" s="81">
        <f t="shared" si="130"/>
        <v>0</v>
      </c>
      <c r="CL140" s="81">
        <f t="shared" si="131"/>
        <v>0</v>
      </c>
      <c r="CM140" s="81" t="s">
        <v>4</v>
      </c>
      <c r="CN140" s="81">
        <f t="shared" si="132"/>
        <v>0</v>
      </c>
      <c r="CO140" s="81">
        <f t="shared" si="133"/>
        <v>0</v>
      </c>
      <c r="CP140" s="81" t="s">
        <v>22</v>
      </c>
      <c r="CQ140" s="81">
        <f t="shared" si="134"/>
        <v>0</v>
      </c>
      <c r="CR140" s="81">
        <f t="shared" si="135"/>
        <v>0</v>
      </c>
      <c r="CS140" s="81" t="s">
        <v>21</v>
      </c>
      <c r="CT140" s="81">
        <f t="shared" si="136"/>
        <v>0</v>
      </c>
      <c r="CU140" s="81">
        <f t="shared" si="137"/>
        <v>0</v>
      </c>
      <c r="CV140" s="81" t="s">
        <v>998</v>
      </c>
      <c r="CW140" s="81">
        <f t="shared" si="138"/>
        <v>0</v>
      </c>
      <c r="CX140" s="81">
        <f t="shared" si="139"/>
        <v>0</v>
      </c>
      <c r="CY140" s="81" t="s">
        <v>19</v>
      </c>
      <c r="CZ140" s="81">
        <f t="shared" si="140"/>
        <v>0</v>
      </c>
      <c r="DA140" s="81">
        <f t="shared" si="141"/>
        <v>0</v>
      </c>
      <c r="DB140" s="81" t="s">
        <v>20</v>
      </c>
      <c r="DC140" s="81">
        <f t="shared" si="142"/>
        <v>0</v>
      </c>
      <c r="DD140" s="81">
        <f t="shared" si="143"/>
        <v>0</v>
      </c>
      <c r="DE140" s="81" t="s">
        <v>23</v>
      </c>
      <c r="DF140" s="81">
        <f t="shared" si="144"/>
        <v>0</v>
      </c>
      <c r="DG140" s="81">
        <f t="shared" si="145"/>
        <v>0</v>
      </c>
      <c r="DH140" s="81" t="s">
        <v>15</v>
      </c>
      <c r="DI140" s="81">
        <f t="shared" si="146"/>
        <v>0</v>
      </c>
      <c r="DJ140" s="81">
        <f t="shared" si="147"/>
        <v>0</v>
      </c>
      <c r="DK140" s="81" t="s">
        <v>5362</v>
      </c>
      <c r="DL140" s="81">
        <f t="shared" si="148"/>
        <v>0</v>
      </c>
      <c r="DM140" s="81">
        <f t="shared" si="149"/>
        <v>0</v>
      </c>
      <c r="DN140" s="81" t="s">
        <v>7</v>
      </c>
      <c r="DO140" s="81">
        <f t="shared" si="150"/>
        <v>0</v>
      </c>
      <c r="DP140" s="81">
        <f t="shared" si="151"/>
        <v>0</v>
      </c>
      <c r="DQ140" s="81" t="s">
        <v>1</v>
      </c>
      <c r="DR140" s="81">
        <f t="shared" si="152"/>
        <v>0</v>
      </c>
      <c r="DS140" s="81">
        <f t="shared" si="153"/>
        <v>0</v>
      </c>
    </row>
    <row r="141" spans="14:123" x14ac:dyDescent="0.3">
      <c r="N141" s="81">
        <f>IF(Q142=0,IF(Q141=0,,"x"),)</f>
        <v>0</v>
      </c>
      <c r="O141" s="81">
        <f t="shared" si="154"/>
        <v>0</v>
      </c>
      <c r="P141" s="81">
        <f t="shared" si="118"/>
        <v>0</v>
      </c>
      <c r="Q141" s="81">
        <f t="shared" si="155"/>
        <v>0</v>
      </c>
      <c r="R141" s="81">
        <f>IF(W141="",,SUM($W$4:W141))</f>
        <v>0</v>
      </c>
      <c r="S141" s="81">
        <f t="shared" si="119"/>
        <v>0</v>
      </c>
      <c r="T141" s="81">
        <f t="shared" si="156"/>
        <v>0</v>
      </c>
      <c r="U141" s="81">
        <f t="shared" si="120"/>
        <v>0</v>
      </c>
      <c r="V141" s="81" t="str">
        <f t="shared" ca="1" si="121"/>
        <v/>
      </c>
      <c r="X141" s="81">
        <f t="shared" si="113"/>
        <v>0</v>
      </c>
      <c r="Y141" s="81">
        <f t="shared" si="114"/>
        <v>0</v>
      </c>
      <c r="AE141" s="81">
        <v>141</v>
      </c>
      <c r="AI141" s="81">
        <v>138</v>
      </c>
      <c r="AJ141" s="81" t="str">
        <f t="shared" si="109"/>
        <v>Februari 30</v>
      </c>
      <c r="AK141" s="81" t="str">
        <f t="shared" si="106"/>
        <v>Februari</v>
      </c>
      <c r="AL141" s="81">
        <f t="shared" si="105"/>
        <v>30</v>
      </c>
      <c r="AM141" s="81" t="str">
        <f t="shared" si="122"/>
        <v>='Februari 30'!</v>
      </c>
      <c r="AN141" s="81" t="str">
        <f t="shared" si="115"/>
        <v>='Februari 30'!C27</v>
      </c>
      <c r="AO141" s="81" t="s">
        <v>1141</v>
      </c>
      <c r="AR141" s="81" t="s">
        <v>201</v>
      </c>
      <c r="AS141" s="83" t="str">
        <f t="shared" si="110"/>
        <v>='Februari 30'!C6</v>
      </c>
      <c r="AT141" s="83">
        <f t="shared" si="111"/>
        <v>0</v>
      </c>
      <c r="AV141" s="81" t="s">
        <v>502</v>
      </c>
      <c r="AW141" s="81" t="s">
        <v>2825</v>
      </c>
      <c r="AX141" s="81" t="s">
        <v>2826</v>
      </c>
      <c r="AY141" s="81" t="s">
        <v>2827</v>
      </c>
      <c r="AZ141" s="81" t="s">
        <v>2828</v>
      </c>
      <c r="BA141" s="81" t="s">
        <v>2829</v>
      </c>
      <c r="BB141" s="81" t="s">
        <v>2830</v>
      </c>
      <c r="BC141" s="81" t="s">
        <v>2831</v>
      </c>
      <c r="BD141" s="81" t="s">
        <v>2832</v>
      </c>
      <c r="BE141" s="81" t="s">
        <v>2833</v>
      </c>
      <c r="BF141" s="81" t="s">
        <v>2834</v>
      </c>
      <c r="BG141" s="81" t="s">
        <v>2835</v>
      </c>
      <c r="BH141" s="81" t="s">
        <v>4758</v>
      </c>
      <c r="BI141" s="81" t="s">
        <v>5062</v>
      </c>
      <c r="BJ141" s="81" t="s">
        <v>201</v>
      </c>
      <c r="BL141" s="81" t="s">
        <v>805</v>
      </c>
      <c r="BM141" s="81">
        <v>138</v>
      </c>
      <c r="BN141" s="81" t="str">
        <f t="shared" si="112"/>
        <v>='Februari 30'!C12</v>
      </c>
      <c r="BP141" s="81" t="str">
        <f t="shared" ca="1" si="123"/>
        <v/>
      </c>
      <c r="BR141" s="84">
        <f t="shared" si="116"/>
        <v>0</v>
      </c>
      <c r="BS141" s="84">
        <f t="shared" si="117"/>
        <v>0</v>
      </c>
      <c r="CA141" s="81" t="s">
        <v>2</v>
      </c>
      <c r="CB141" s="81">
        <f t="shared" si="124"/>
        <v>0</v>
      </c>
      <c r="CC141" s="81">
        <f t="shared" si="125"/>
        <v>0</v>
      </c>
      <c r="CD141" s="81" t="s">
        <v>16</v>
      </c>
      <c r="CE141" s="81">
        <f t="shared" si="126"/>
        <v>0</v>
      </c>
      <c r="CF141" s="81">
        <f t="shared" si="127"/>
        <v>0</v>
      </c>
      <c r="CG141" s="81" t="s">
        <v>5</v>
      </c>
      <c r="CH141" s="81">
        <f t="shared" si="128"/>
        <v>0</v>
      </c>
      <c r="CI141" s="81">
        <f t="shared" si="129"/>
        <v>0</v>
      </c>
      <c r="CJ141" s="81" t="s">
        <v>18</v>
      </c>
      <c r="CK141" s="81">
        <f t="shared" si="130"/>
        <v>0</v>
      </c>
      <c r="CL141" s="81">
        <f t="shared" si="131"/>
        <v>0</v>
      </c>
      <c r="CM141" s="81" t="s">
        <v>4</v>
      </c>
      <c r="CN141" s="81">
        <f t="shared" si="132"/>
        <v>0</v>
      </c>
      <c r="CO141" s="81">
        <f t="shared" si="133"/>
        <v>0</v>
      </c>
      <c r="CP141" s="81" t="s">
        <v>22</v>
      </c>
      <c r="CQ141" s="81">
        <f t="shared" si="134"/>
        <v>0</v>
      </c>
      <c r="CR141" s="81">
        <f t="shared" si="135"/>
        <v>0</v>
      </c>
      <c r="CS141" s="81" t="s">
        <v>21</v>
      </c>
      <c r="CT141" s="81">
        <f t="shared" si="136"/>
        <v>0</v>
      </c>
      <c r="CU141" s="81">
        <f t="shared" si="137"/>
        <v>0</v>
      </c>
      <c r="CV141" s="81" t="s">
        <v>998</v>
      </c>
      <c r="CW141" s="81">
        <f t="shared" si="138"/>
        <v>0</v>
      </c>
      <c r="CX141" s="81">
        <f t="shared" si="139"/>
        <v>0</v>
      </c>
      <c r="CY141" s="81" t="s">
        <v>19</v>
      </c>
      <c r="CZ141" s="81">
        <f t="shared" si="140"/>
        <v>0</v>
      </c>
      <c r="DA141" s="81">
        <f t="shared" si="141"/>
        <v>0</v>
      </c>
      <c r="DB141" s="81" t="s">
        <v>20</v>
      </c>
      <c r="DC141" s="81">
        <f t="shared" si="142"/>
        <v>0</v>
      </c>
      <c r="DD141" s="81">
        <f t="shared" si="143"/>
        <v>0</v>
      </c>
      <c r="DE141" s="81" t="s">
        <v>23</v>
      </c>
      <c r="DF141" s="81">
        <f t="shared" si="144"/>
        <v>0</v>
      </c>
      <c r="DG141" s="81">
        <f t="shared" si="145"/>
        <v>0</v>
      </c>
      <c r="DH141" s="81" t="s">
        <v>15</v>
      </c>
      <c r="DI141" s="81">
        <f t="shared" si="146"/>
        <v>0</v>
      </c>
      <c r="DJ141" s="81">
        <f t="shared" si="147"/>
        <v>0</v>
      </c>
      <c r="DK141" s="81" t="s">
        <v>5363</v>
      </c>
      <c r="DL141" s="81">
        <f t="shared" si="148"/>
        <v>0</v>
      </c>
      <c r="DM141" s="81">
        <f t="shared" si="149"/>
        <v>0</v>
      </c>
      <c r="DN141" s="81" t="s">
        <v>7</v>
      </c>
      <c r="DO141" s="81">
        <f t="shared" si="150"/>
        <v>0</v>
      </c>
      <c r="DP141" s="81">
        <f t="shared" si="151"/>
        <v>0</v>
      </c>
      <c r="DQ141" s="81" t="s">
        <v>1</v>
      </c>
      <c r="DR141" s="81">
        <f t="shared" si="152"/>
        <v>0</v>
      </c>
      <c r="DS141" s="81">
        <f t="shared" si="153"/>
        <v>0</v>
      </c>
    </row>
    <row r="142" spans="14:123" x14ac:dyDescent="0.3">
      <c r="N142" s="81">
        <f>IF(Q143=0,IF(Q142=0,,"x"),)</f>
        <v>0</v>
      </c>
      <c r="O142" s="81">
        <f t="shared" si="154"/>
        <v>0</v>
      </c>
      <c r="P142" s="81">
        <f t="shared" si="118"/>
        <v>0</v>
      </c>
      <c r="Q142" s="81">
        <f t="shared" si="155"/>
        <v>0</v>
      </c>
      <c r="R142" s="81">
        <f>IF(W142="",,SUM($W$4:W142))</f>
        <v>0</v>
      </c>
      <c r="S142" s="81">
        <f t="shared" si="119"/>
        <v>0</v>
      </c>
      <c r="T142" s="81">
        <f t="shared" si="156"/>
        <v>0</v>
      </c>
      <c r="U142" s="81">
        <f t="shared" si="120"/>
        <v>0</v>
      </c>
      <c r="V142" s="81" t="str">
        <f t="shared" ca="1" si="121"/>
        <v/>
      </c>
      <c r="X142" s="81">
        <f t="shared" si="113"/>
        <v>0</v>
      </c>
      <c r="Y142" s="81">
        <f t="shared" si="114"/>
        <v>0</v>
      </c>
      <c r="AE142" s="81">
        <v>142</v>
      </c>
      <c r="AI142" s="81">
        <v>139</v>
      </c>
      <c r="AJ142" s="81" t="str">
        <f t="shared" si="109"/>
        <v>Mars 30</v>
      </c>
      <c r="AK142" s="81" t="str">
        <f t="shared" si="106"/>
        <v>Mars</v>
      </c>
      <c r="AL142" s="81">
        <f t="shared" si="105"/>
        <v>30</v>
      </c>
      <c r="AM142" s="81" t="str">
        <f t="shared" si="122"/>
        <v>='Mars 30'!</v>
      </c>
      <c r="AN142" s="81" t="str">
        <f t="shared" si="115"/>
        <v>='Mars 30'!C27</v>
      </c>
      <c r="AO142" s="81" t="s">
        <v>1142</v>
      </c>
      <c r="AR142" s="81" t="s">
        <v>202</v>
      </c>
      <c r="AS142" s="83" t="str">
        <f t="shared" si="110"/>
        <v>='Mars 30'!C6</v>
      </c>
      <c r="AT142" s="83">
        <f t="shared" si="111"/>
        <v>0</v>
      </c>
      <c r="AV142" s="81" t="s">
        <v>503</v>
      </c>
      <c r="AW142" s="81" t="s">
        <v>2836</v>
      </c>
      <c r="AX142" s="81" t="s">
        <v>2837</v>
      </c>
      <c r="AY142" s="81" t="s">
        <v>2838</v>
      </c>
      <c r="AZ142" s="81" t="s">
        <v>2839</v>
      </c>
      <c r="BA142" s="81" t="s">
        <v>2840</v>
      </c>
      <c r="BB142" s="81" t="s">
        <v>2841</v>
      </c>
      <c r="BC142" s="81" t="s">
        <v>2842</v>
      </c>
      <c r="BD142" s="81" t="s">
        <v>2843</v>
      </c>
      <c r="BE142" s="81" t="s">
        <v>2844</v>
      </c>
      <c r="BF142" s="81" t="s">
        <v>2845</v>
      </c>
      <c r="BG142" s="81" t="s">
        <v>2846</v>
      </c>
      <c r="BH142" s="81" t="s">
        <v>4759</v>
      </c>
      <c r="BI142" s="81" t="s">
        <v>5063</v>
      </c>
      <c r="BJ142" s="81" t="s">
        <v>202</v>
      </c>
      <c r="BL142" s="81" t="s">
        <v>806</v>
      </c>
      <c r="BM142" s="81">
        <v>139</v>
      </c>
      <c r="BN142" s="81" t="str">
        <f t="shared" si="112"/>
        <v>='Mars 30'!C12</v>
      </c>
      <c r="BP142" s="81" t="str">
        <f t="shared" ca="1" si="123"/>
        <v/>
      </c>
      <c r="BR142" s="84">
        <f t="shared" si="116"/>
        <v>0</v>
      </c>
      <c r="BS142" s="84">
        <f t="shared" si="117"/>
        <v>0</v>
      </c>
      <c r="CA142" s="81" t="s">
        <v>2</v>
      </c>
      <c r="CB142" s="81">
        <f t="shared" si="124"/>
        <v>0</v>
      </c>
      <c r="CC142" s="81">
        <f t="shared" si="125"/>
        <v>0</v>
      </c>
      <c r="CD142" s="81" t="s">
        <v>16</v>
      </c>
      <c r="CE142" s="81">
        <f t="shared" si="126"/>
        <v>0</v>
      </c>
      <c r="CF142" s="81">
        <f t="shared" si="127"/>
        <v>0</v>
      </c>
      <c r="CG142" s="81" t="s">
        <v>5</v>
      </c>
      <c r="CH142" s="81">
        <f t="shared" si="128"/>
        <v>0</v>
      </c>
      <c r="CI142" s="81">
        <f t="shared" si="129"/>
        <v>0</v>
      </c>
      <c r="CJ142" s="81" t="s">
        <v>18</v>
      </c>
      <c r="CK142" s="81">
        <f t="shared" si="130"/>
        <v>0</v>
      </c>
      <c r="CL142" s="81">
        <f t="shared" si="131"/>
        <v>0</v>
      </c>
      <c r="CM142" s="81" t="s">
        <v>4</v>
      </c>
      <c r="CN142" s="81">
        <f t="shared" si="132"/>
        <v>0</v>
      </c>
      <c r="CO142" s="81">
        <f t="shared" si="133"/>
        <v>0</v>
      </c>
      <c r="CP142" s="81" t="s">
        <v>22</v>
      </c>
      <c r="CQ142" s="81">
        <f t="shared" si="134"/>
        <v>0</v>
      </c>
      <c r="CR142" s="81">
        <f t="shared" si="135"/>
        <v>0</v>
      </c>
      <c r="CS142" s="81" t="s">
        <v>21</v>
      </c>
      <c r="CT142" s="81">
        <f t="shared" si="136"/>
        <v>0</v>
      </c>
      <c r="CU142" s="81">
        <f t="shared" si="137"/>
        <v>0</v>
      </c>
      <c r="CV142" s="81" t="s">
        <v>998</v>
      </c>
      <c r="CW142" s="81">
        <f t="shared" si="138"/>
        <v>0</v>
      </c>
      <c r="CX142" s="81">
        <f t="shared" si="139"/>
        <v>0</v>
      </c>
      <c r="CY142" s="81" t="s">
        <v>19</v>
      </c>
      <c r="CZ142" s="81">
        <f t="shared" si="140"/>
        <v>0</v>
      </c>
      <c r="DA142" s="81">
        <f t="shared" si="141"/>
        <v>0</v>
      </c>
      <c r="DB142" s="81" t="s">
        <v>20</v>
      </c>
      <c r="DC142" s="81">
        <f t="shared" si="142"/>
        <v>0</v>
      </c>
      <c r="DD142" s="81">
        <f t="shared" si="143"/>
        <v>0</v>
      </c>
      <c r="DE142" s="81" t="s">
        <v>23</v>
      </c>
      <c r="DF142" s="81">
        <f t="shared" si="144"/>
        <v>0</v>
      </c>
      <c r="DG142" s="81">
        <f t="shared" si="145"/>
        <v>0</v>
      </c>
      <c r="DH142" s="81" t="s">
        <v>15</v>
      </c>
      <c r="DI142" s="81">
        <f t="shared" si="146"/>
        <v>0</v>
      </c>
      <c r="DJ142" s="81">
        <f t="shared" si="147"/>
        <v>0</v>
      </c>
      <c r="DK142" s="81" t="s">
        <v>5364</v>
      </c>
      <c r="DL142" s="81">
        <f t="shared" si="148"/>
        <v>0</v>
      </c>
      <c r="DM142" s="81">
        <f t="shared" si="149"/>
        <v>0</v>
      </c>
      <c r="DN142" s="81" t="s">
        <v>7</v>
      </c>
      <c r="DO142" s="81">
        <f t="shared" si="150"/>
        <v>0</v>
      </c>
      <c r="DP142" s="81">
        <f t="shared" si="151"/>
        <v>0</v>
      </c>
      <c r="DQ142" s="81" t="s">
        <v>1</v>
      </c>
      <c r="DR142" s="81">
        <f t="shared" si="152"/>
        <v>0</v>
      </c>
      <c r="DS142" s="81">
        <f t="shared" si="153"/>
        <v>0</v>
      </c>
    </row>
    <row r="143" spans="14:123" x14ac:dyDescent="0.3">
      <c r="N143" s="81">
        <f>IF(Q144=0,IF(Q143=0,,"x"),)</f>
        <v>0</v>
      </c>
      <c r="O143" s="81">
        <f t="shared" si="154"/>
        <v>0</v>
      </c>
      <c r="P143" s="81">
        <f t="shared" si="118"/>
        <v>0</v>
      </c>
      <c r="Q143" s="81">
        <f t="shared" si="155"/>
        <v>0</v>
      </c>
      <c r="R143" s="81">
        <f>IF(W143="",,SUM($W$4:W143))</f>
        <v>0</v>
      </c>
      <c r="S143" s="81">
        <f t="shared" si="119"/>
        <v>0</v>
      </c>
      <c r="T143" s="81">
        <f t="shared" si="156"/>
        <v>0</v>
      </c>
      <c r="U143" s="81">
        <f t="shared" si="120"/>
        <v>0</v>
      </c>
      <c r="V143" s="81" t="str">
        <f t="shared" ca="1" si="121"/>
        <v/>
      </c>
      <c r="X143" s="81">
        <f t="shared" si="113"/>
        <v>0</v>
      </c>
      <c r="Y143" s="81">
        <f t="shared" si="114"/>
        <v>0</v>
      </c>
      <c r="AE143" s="81">
        <v>143</v>
      </c>
      <c r="AI143" s="81">
        <v>140</v>
      </c>
      <c r="AJ143" s="81" t="str">
        <f t="shared" si="109"/>
        <v>April 30</v>
      </c>
      <c r="AK143" s="81" t="str">
        <f t="shared" si="106"/>
        <v>April</v>
      </c>
      <c r="AL143" s="81">
        <f t="shared" si="105"/>
        <v>30</v>
      </c>
      <c r="AM143" s="81" t="str">
        <f t="shared" si="122"/>
        <v>='April 30'!</v>
      </c>
      <c r="AN143" s="81" t="str">
        <f t="shared" si="115"/>
        <v>='April 30'!C27</v>
      </c>
      <c r="AO143" s="81" t="s">
        <v>1143</v>
      </c>
      <c r="AR143" s="81" t="s">
        <v>203</v>
      </c>
      <c r="AS143" s="83" t="str">
        <f t="shared" si="110"/>
        <v>='April 30'!C6</v>
      </c>
      <c r="AT143" s="83">
        <f t="shared" si="111"/>
        <v>0</v>
      </c>
      <c r="AV143" s="81" t="s">
        <v>504</v>
      </c>
      <c r="AW143" s="81" t="s">
        <v>2847</v>
      </c>
      <c r="AX143" s="81" t="s">
        <v>2848</v>
      </c>
      <c r="AY143" s="81" t="s">
        <v>2849</v>
      </c>
      <c r="AZ143" s="81" t="s">
        <v>2850</v>
      </c>
      <c r="BA143" s="81" t="s">
        <v>2851</v>
      </c>
      <c r="BB143" s="81" t="s">
        <v>2852</v>
      </c>
      <c r="BC143" s="81" t="s">
        <v>2853</v>
      </c>
      <c r="BD143" s="81" t="s">
        <v>2854</v>
      </c>
      <c r="BE143" s="81" t="s">
        <v>2855</v>
      </c>
      <c r="BF143" s="81" t="s">
        <v>2856</v>
      </c>
      <c r="BG143" s="81" t="s">
        <v>2857</v>
      </c>
      <c r="BH143" s="81" t="s">
        <v>4760</v>
      </c>
      <c r="BI143" s="81" t="s">
        <v>5064</v>
      </c>
      <c r="BJ143" s="81" t="s">
        <v>203</v>
      </c>
      <c r="BL143" s="81" t="s">
        <v>807</v>
      </c>
      <c r="BM143" s="81">
        <v>140</v>
      </c>
      <c r="BN143" s="81" t="str">
        <f t="shared" si="112"/>
        <v>='April 30'!C12</v>
      </c>
      <c r="BP143" s="81" t="str">
        <f t="shared" ca="1" si="123"/>
        <v/>
      </c>
      <c r="BR143" s="84">
        <f t="shared" si="116"/>
        <v>0</v>
      </c>
      <c r="BS143" s="84">
        <f t="shared" si="117"/>
        <v>0</v>
      </c>
      <c r="CA143" s="81" t="s">
        <v>2</v>
      </c>
      <c r="CB143" s="81">
        <f t="shared" si="124"/>
        <v>0</v>
      </c>
      <c r="CC143" s="81">
        <f t="shared" si="125"/>
        <v>0</v>
      </c>
      <c r="CD143" s="81" t="s">
        <v>16</v>
      </c>
      <c r="CE143" s="81">
        <f t="shared" si="126"/>
        <v>0</v>
      </c>
      <c r="CF143" s="81">
        <f t="shared" si="127"/>
        <v>0</v>
      </c>
      <c r="CG143" s="81" t="s">
        <v>5</v>
      </c>
      <c r="CH143" s="81">
        <f t="shared" si="128"/>
        <v>0</v>
      </c>
      <c r="CI143" s="81">
        <f t="shared" si="129"/>
        <v>0</v>
      </c>
      <c r="CJ143" s="81" t="s">
        <v>18</v>
      </c>
      <c r="CK143" s="81">
        <f t="shared" si="130"/>
        <v>0</v>
      </c>
      <c r="CL143" s="81">
        <f t="shared" si="131"/>
        <v>0</v>
      </c>
      <c r="CM143" s="81" t="s">
        <v>4</v>
      </c>
      <c r="CN143" s="81">
        <f t="shared" si="132"/>
        <v>0</v>
      </c>
      <c r="CO143" s="81">
        <f t="shared" si="133"/>
        <v>0</v>
      </c>
      <c r="CP143" s="81" t="s">
        <v>22</v>
      </c>
      <c r="CQ143" s="81">
        <f t="shared" si="134"/>
        <v>0</v>
      </c>
      <c r="CR143" s="81">
        <f t="shared" si="135"/>
        <v>0</v>
      </c>
      <c r="CS143" s="81" t="s">
        <v>21</v>
      </c>
      <c r="CT143" s="81">
        <f t="shared" si="136"/>
        <v>0</v>
      </c>
      <c r="CU143" s="81">
        <f t="shared" si="137"/>
        <v>0</v>
      </c>
      <c r="CV143" s="81" t="s">
        <v>998</v>
      </c>
      <c r="CW143" s="81">
        <f t="shared" si="138"/>
        <v>0</v>
      </c>
      <c r="CX143" s="81">
        <f t="shared" si="139"/>
        <v>0</v>
      </c>
      <c r="CY143" s="81" t="s">
        <v>19</v>
      </c>
      <c r="CZ143" s="81">
        <f t="shared" si="140"/>
        <v>0</v>
      </c>
      <c r="DA143" s="81">
        <f t="shared" si="141"/>
        <v>0</v>
      </c>
      <c r="DB143" s="81" t="s">
        <v>20</v>
      </c>
      <c r="DC143" s="81">
        <f t="shared" si="142"/>
        <v>0</v>
      </c>
      <c r="DD143" s="81">
        <f t="shared" si="143"/>
        <v>0</v>
      </c>
      <c r="DE143" s="81" t="s">
        <v>23</v>
      </c>
      <c r="DF143" s="81">
        <f t="shared" si="144"/>
        <v>0</v>
      </c>
      <c r="DG143" s="81">
        <f t="shared" si="145"/>
        <v>0</v>
      </c>
      <c r="DH143" s="81" t="s">
        <v>15</v>
      </c>
      <c r="DI143" s="81">
        <f t="shared" si="146"/>
        <v>0</v>
      </c>
      <c r="DJ143" s="81">
        <f t="shared" si="147"/>
        <v>0</v>
      </c>
      <c r="DK143" s="81" t="s">
        <v>5365</v>
      </c>
      <c r="DL143" s="81">
        <f t="shared" si="148"/>
        <v>0</v>
      </c>
      <c r="DM143" s="81">
        <f t="shared" si="149"/>
        <v>0</v>
      </c>
      <c r="DN143" s="81" t="s">
        <v>7</v>
      </c>
      <c r="DO143" s="81">
        <f t="shared" si="150"/>
        <v>0</v>
      </c>
      <c r="DP143" s="81">
        <f t="shared" si="151"/>
        <v>0</v>
      </c>
      <c r="DQ143" s="81" t="s">
        <v>1</v>
      </c>
      <c r="DR143" s="81">
        <f t="shared" si="152"/>
        <v>0</v>
      </c>
      <c r="DS143" s="81">
        <f t="shared" si="153"/>
        <v>0</v>
      </c>
    </row>
    <row r="144" spans="14:123" x14ac:dyDescent="0.3">
      <c r="N144" s="81">
        <f>IF(Q145=0,IF(Q144=0,,"x"),)</f>
        <v>0</v>
      </c>
      <c r="O144" s="81">
        <f t="shared" si="154"/>
        <v>0</v>
      </c>
      <c r="P144" s="81">
        <f t="shared" si="118"/>
        <v>0</v>
      </c>
      <c r="Q144" s="81">
        <f t="shared" si="155"/>
        <v>0</v>
      </c>
      <c r="R144" s="81">
        <f>IF(W144="",,SUM($W$4:W144))</f>
        <v>0</v>
      </c>
      <c r="S144" s="81">
        <f t="shared" si="119"/>
        <v>0</v>
      </c>
      <c r="T144" s="81">
        <f t="shared" si="156"/>
        <v>0</v>
      </c>
      <c r="U144" s="81">
        <f t="shared" si="120"/>
        <v>0</v>
      </c>
      <c r="V144" s="81" t="str">
        <f t="shared" ca="1" si="121"/>
        <v/>
      </c>
      <c r="X144" s="81">
        <f t="shared" si="113"/>
        <v>0</v>
      </c>
      <c r="Y144" s="81">
        <f t="shared" si="114"/>
        <v>0</v>
      </c>
      <c r="AE144" s="81">
        <v>144</v>
      </c>
      <c r="AI144" s="81">
        <v>141</v>
      </c>
      <c r="AJ144" s="81" t="str">
        <f t="shared" si="109"/>
        <v>Maj 30</v>
      </c>
      <c r="AK144" s="81" t="str">
        <f t="shared" si="106"/>
        <v>Maj</v>
      </c>
      <c r="AL144" s="81">
        <f t="shared" ref="AL144:AL207" si="157">IFERROR(IF(AI144=AI143+1,IF(SUM(AL132:AL143)/12=AL143,AL143+1,AL143)," ")," ")</f>
        <v>30</v>
      </c>
      <c r="AM144" s="81" t="str">
        <f t="shared" si="122"/>
        <v>='Maj 30'!</v>
      </c>
      <c r="AN144" s="81" t="str">
        <f t="shared" si="115"/>
        <v>='Maj 30'!C27</v>
      </c>
      <c r="AO144" s="81" t="s">
        <v>1144</v>
      </c>
      <c r="AR144" s="81" t="s">
        <v>204</v>
      </c>
      <c r="AS144" s="83" t="str">
        <f t="shared" si="110"/>
        <v>='Maj 30'!C6</v>
      </c>
      <c r="AT144" s="83">
        <f t="shared" si="111"/>
        <v>0</v>
      </c>
      <c r="AV144" s="81" t="s">
        <v>505</v>
      </c>
      <c r="AW144" s="81" t="s">
        <v>2858</v>
      </c>
      <c r="AX144" s="81" t="s">
        <v>2859</v>
      </c>
      <c r="AY144" s="81" t="s">
        <v>2860</v>
      </c>
      <c r="AZ144" s="81" t="s">
        <v>2861</v>
      </c>
      <c r="BA144" s="81" t="s">
        <v>2862</v>
      </c>
      <c r="BB144" s="81" t="s">
        <v>2863</v>
      </c>
      <c r="BC144" s="81" t="s">
        <v>2864</v>
      </c>
      <c r="BD144" s="81" t="s">
        <v>2865</v>
      </c>
      <c r="BE144" s="81" t="s">
        <v>2866</v>
      </c>
      <c r="BF144" s="81" t="s">
        <v>2867</v>
      </c>
      <c r="BG144" s="81" t="s">
        <v>2868</v>
      </c>
      <c r="BH144" s="81" t="s">
        <v>4761</v>
      </c>
      <c r="BI144" s="81" t="s">
        <v>5065</v>
      </c>
      <c r="BJ144" s="81" t="s">
        <v>204</v>
      </c>
      <c r="BL144" s="81" t="s">
        <v>808</v>
      </c>
      <c r="BM144" s="81">
        <v>141</v>
      </c>
      <c r="BN144" s="81" t="str">
        <f t="shared" si="112"/>
        <v>='Maj 30'!C12</v>
      </c>
      <c r="BP144" s="81" t="str">
        <f t="shared" ca="1" si="123"/>
        <v/>
      </c>
      <c r="BR144" s="84">
        <f t="shared" si="116"/>
        <v>0</v>
      </c>
      <c r="BS144" s="84">
        <f t="shared" si="117"/>
        <v>0</v>
      </c>
      <c r="CA144" s="81" t="s">
        <v>2</v>
      </c>
      <c r="CB144" s="81">
        <f t="shared" si="124"/>
        <v>0</v>
      </c>
      <c r="CC144" s="81">
        <f t="shared" si="125"/>
        <v>0</v>
      </c>
      <c r="CD144" s="81" t="s">
        <v>16</v>
      </c>
      <c r="CE144" s="81">
        <f t="shared" si="126"/>
        <v>0</v>
      </c>
      <c r="CF144" s="81">
        <f t="shared" si="127"/>
        <v>0</v>
      </c>
      <c r="CG144" s="81" t="s">
        <v>5</v>
      </c>
      <c r="CH144" s="81">
        <f t="shared" si="128"/>
        <v>0</v>
      </c>
      <c r="CI144" s="81">
        <f t="shared" si="129"/>
        <v>0</v>
      </c>
      <c r="CJ144" s="81" t="s">
        <v>18</v>
      </c>
      <c r="CK144" s="81">
        <f t="shared" si="130"/>
        <v>0</v>
      </c>
      <c r="CL144" s="81">
        <f t="shared" si="131"/>
        <v>0</v>
      </c>
      <c r="CM144" s="81" t="s">
        <v>4</v>
      </c>
      <c r="CN144" s="81">
        <f t="shared" si="132"/>
        <v>0</v>
      </c>
      <c r="CO144" s="81">
        <f t="shared" si="133"/>
        <v>0</v>
      </c>
      <c r="CP144" s="81" t="s">
        <v>22</v>
      </c>
      <c r="CQ144" s="81">
        <f t="shared" si="134"/>
        <v>0</v>
      </c>
      <c r="CR144" s="81">
        <f t="shared" si="135"/>
        <v>0</v>
      </c>
      <c r="CS144" s="81" t="s">
        <v>21</v>
      </c>
      <c r="CT144" s="81">
        <f t="shared" si="136"/>
        <v>0</v>
      </c>
      <c r="CU144" s="81">
        <f t="shared" si="137"/>
        <v>0</v>
      </c>
      <c r="CV144" s="81" t="s">
        <v>998</v>
      </c>
      <c r="CW144" s="81">
        <f t="shared" si="138"/>
        <v>0</v>
      </c>
      <c r="CX144" s="81">
        <f t="shared" si="139"/>
        <v>0</v>
      </c>
      <c r="CY144" s="81" t="s">
        <v>19</v>
      </c>
      <c r="CZ144" s="81">
        <f t="shared" si="140"/>
        <v>0</v>
      </c>
      <c r="DA144" s="81">
        <f t="shared" si="141"/>
        <v>0</v>
      </c>
      <c r="DB144" s="81" t="s">
        <v>20</v>
      </c>
      <c r="DC144" s="81">
        <f t="shared" si="142"/>
        <v>0</v>
      </c>
      <c r="DD144" s="81">
        <f t="shared" si="143"/>
        <v>0</v>
      </c>
      <c r="DE144" s="81" t="s">
        <v>23</v>
      </c>
      <c r="DF144" s="81">
        <f t="shared" si="144"/>
        <v>0</v>
      </c>
      <c r="DG144" s="81">
        <f t="shared" si="145"/>
        <v>0</v>
      </c>
      <c r="DH144" s="81" t="s">
        <v>15</v>
      </c>
      <c r="DI144" s="81">
        <f t="shared" si="146"/>
        <v>0</v>
      </c>
      <c r="DJ144" s="81">
        <f t="shared" si="147"/>
        <v>0</v>
      </c>
      <c r="DK144" s="81" t="s">
        <v>5366</v>
      </c>
      <c r="DL144" s="81">
        <f t="shared" si="148"/>
        <v>0</v>
      </c>
      <c r="DM144" s="81">
        <f t="shared" si="149"/>
        <v>0</v>
      </c>
      <c r="DN144" s="81" t="s">
        <v>7</v>
      </c>
      <c r="DO144" s="81">
        <f t="shared" si="150"/>
        <v>0</v>
      </c>
      <c r="DP144" s="81">
        <f t="shared" si="151"/>
        <v>0</v>
      </c>
      <c r="DQ144" s="81" t="s">
        <v>1</v>
      </c>
      <c r="DR144" s="81">
        <f t="shared" si="152"/>
        <v>0</v>
      </c>
      <c r="DS144" s="81">
        <f t="shared" si="153"/>
        <v>0</v>
      </c>
    </row>
    <row r="145" spans="14:123" x14ac:dyDescent="0.3">
      <c r="N145" s="81">
        <f>IF(Q146=0,IF(Q145=0,,"x"),)</f>
        <v>0</v>
      </c>
      <c r="O145" s="81">
        <f t="shared" si="154"/>
        <v>0</v>
      </c>
      <c r="P145" s="81">
        <f t="shared" si="118"/>
        <v>0</v>
      </c>
      <c r="Q145" s="81">
        <f t="shared" si="155"/>
        <v>0</v>
      </c>
      <c r="R145" s="81">
        <f>IF(W145="",,SUM($W$4:W145))</f>
        <v>0</v>
      </c>
      <c r="S145" s="81">
        <f t="shared" si="119"/>
        <v>0</v>
      </c>
      <c r="T145" s="81">
        <f t="shared" si="156"/>
        <v>0</v>
      </c>
      <c r="U145" s="81">
        <f t="shared" si="120"/>
        <v>0</v>
      </c>
      <c r="V145" s="81" t="str">
        <f t="shared" ca="1" si="121"/>
        <v/>
      </c>
      <c r="X145" s="81">
        <f t="shared" si="113"/>
        <v>0</v>
      </c>
      <c r="Y145" s="81">
        <f t="shared" si="114"/>
        <v>0</v>
      </c>
      <c r="AE145" s="81">
        <v>145</v>
      </c>
      <c r="AI145" s="81">
        <v>142</v>
      </c>
      <c r="AJ145" s="81" t="str">
        <f t="shared" si="109"/>
        <v>Juni 30</v>
      </c>
      <c r="AK145" s="81" t="str">
        <f t="shared" ref="AK145:AK208" si="158">AK133</f>
        <v>Juni</v>
      </c>
      <c r="AL145" s="81">
        <f t="shared" si="157"/>
        <v>30</v>
      </c>
      <c r="AM145" s="81" t="str">
        <f t="shared" si="122"/>
        <v>='Juni 30'!</v>
      </c>
      <c r="AN145" s="81" t="str">
        <f t="shared" si="115"/>
        <v>='Juni 30'!C27</v>
      </c>
      <c r="AO145" s="81" t="s">
        <v>1145</v>
      </c>
      <c r="AR145" s="81" t="s">
        <v>205</v>
      </c>
      <c r="AS145" s="83" t="str">
        <f t="shared" si="110"/>
        <v>='Juni 30'!C6</v>
      </c>
      <c r="AT145" s="83">
        <f t="shared" si="111"/>
        <v>0</v>
      </c>
      <c r="AV145" s="81" t="s">
        <v>506</v>
      </c>
      <c r="AW145" s="81" t="s">
        <v>2869</v>
      </c>
      <c r="AX145" s="81" t="s">
        <v>2870</v>
      </c>
      <c r="AY145" s="81" t="s">
        <v>2871</v>
      </c>
      <c r="AZ145" s="81" t="s">
        <v>2872</v>
      </c>
      <c r="BA145" s="81" t="s">
        <v>2873</v>
      </c>
      <c r="BB145" s="81" t="s">
        <v>2874</v>
      </c>
      <c r="BC145" s="81" t="s">
        <v>2875</v>
      </c>
      <c r="BD145" s="81" t="s">
        <v>2876</v>
      </c>
      <c r="BE145" s="81" t="s">
        <v>2877</v>
      </c>
      <c r="BF145" s="81" t="s">
        <v>2878</v>
      </c>
      <c r="BG145" s="81" t="s">
        <v>2879</v>
      </c>
      <c r="BH145" s="81" t="s">
        <v>4762</v>
      </c>
      <c r="BI145" s="81" t="s">
        <v>5066</v>
      </c>
      <c r="BJ145" s="81" t="s">
        <v>205</v>
      </c>
      <c r="BL145" s="81" t="s">
        <v>809</v>
      </c>
      <c r="BM145" s="81">
        <v>142</v>
      </c>
      <c r="BN145" s="81" t="str">
        <f t="shared" si="112"/>
        <v>='Juni 30'!C12</v>
      </c>
      <c r="BP145" s="81" t="str">
        <f t="shared" ca="1" si="123"/>
        <v/>
      </c>
      <c r="BR145" s="84">
        <f t="shared" si="116"/>
        <v>0</v>
      </c>
      <c r="BS145" s="84">
        <f t="shared" si="117"/>
        <v>0</v>
      </c>
      <c r="CA145" s="81" t="s">
        <v>2</v>
      </c>
      <c r="CB145" s="81">
        <f t="shared" si="124"/>
        <v>0</v>
      </c>
      <c r="CC145" s="81">
        <f t="shared" si="125"/>
        <v>0</v>
      </c>
      <c r="CD145" s="81" t="s">
        <v>16</v>
      </c>
      <c r="CE145" s="81">
        <f t="shared" si="126"/>
        <v>0</v>
      </c>
      <c r="CF145" s="81">
        <f t="shared" si="127"/>
        <v>0</v>
      </c>
      <c r="CG145" s="81" t="s">
        <v>5</v>
      </c>
      <c r="CH145" s="81">
        <f t="shared" si="128"/>
        <v>0</v>
      </c>
      <c r="CI145" s="81">
        <f t="shared" si="129"/>
        <v>0</v>
      </c>
      <c r="CJ145" s="81" t="s">
        <v>18</v>
      </c>
      <c r="CK145" s="81">
        <f t="shared" si="130"/>
        <v>0</v>
      </c>
      <c r="CL145" s="81">
        <f t="shared" si="131"/>
        <v>0</v>
      </c>
      <c r="CM145" s="81" t="s">
        <v>4</v>
      </c>
      <c r="CN145" s="81">
        <f t="shared" si="132"/>
        <v>0</v>
      </c>
      <c r="CO145" s="81">
        <f t="shared" si="133"/>
        <v>0</v>
      </c>
      <c r="CP145" s="81" t="s">
        <v>22</v>
      </c>
      <c r="CQ145" s="81">
        <f t="shared" si="134"/>
        <v>0</v>
      </c>
      <c r="CR145" s="81">
        <f t="shared" si="135"/>
        <v>0</v>
      </c>
      <c r="CS145" s="81" t="s">
        <v>21</v>
      </c>
      <c r="CT145" s="81">
        <f t="shared" si="136"/>
        <v>0</v>
      </c>
      <c r="CU145" s="81">
        <f t="shared" si="137"/>
        <v>0</v>
      </c>
      <c r="CV145" s="81" t="s">
        <v>998</v>
      </c>
      <c r="CW145" s="81">
        <f t="shared" si="138"/>
        <v>0</v>
      </c>
      <c r="CX145" s="81">
        <f t="shared" si="139"/>
        <v>0</v>
      </c>
      <c r="CY145" s="81" t="s">
        <v>19</v>
      </c>
      <c r="CZ145" s="81">
        <f t="shared" si="140"/>
        <v>0</v>
      </c>
      <c r="DA145" s="81">
        <f t="shared" si="141"/>
        <v>0</v>
      </c>
      <c r="DB145" s="81" t="s">
        <v>20</v>
      </c>
      <c r="DC145" s="81">
        <f t="shared" si="142"/>
        <v>0</v>
      </c>
      <c r="DD145" s="81">
        <f t="shared" si="143"/>
        <v>0</v>
      </c>
      <c r="DE145" s="81" t="s">
        <v>23</v>
      </c>
      <c r="DF145" s="81">
        <f t="shared" si="144"/>
        <v>0</v>
      </c>
      <c r="DG145" s="81">
        <f t="shared" si="145"/>
        <v>0</v>
      </c>
      <c r="DH145" s="81" t="s">
        <v>15</v>
      </c>
      <c r="DI145" s="81">
        <f t="shared" si="146"/>
        <v>0</v>
      </c>
      <c r="DJ145" s="81">
        <f t="shared" si="147"/>
        <v>0</v>
      </c>
      <c r="DK145" s="81" t="s">
        <v>5367</v>
      </c>
      <c r="DL145" s="81">
        <f t="shared" si="148"/>
        <v>0</v>
      </c>
      <c r="DM145" s="81">
        <f t="shared" si="149"/>
        <v>0</v>
      </c>
      <c r="DN145" s="81" t="s">
        <v>7</v>
      </c>
      <c r="DO145" s="81">
        <f t="shared" si="150"/>
        <v>0</v>
      </c>
      <c r="DP145" s="81">
        <f t="shared" si="151"/>
        <v>0</v>
      </c>
      <c r="DQ145" s="81" t="s">
        <v>1</v>
      </c>
      <c r="DR145" s="81">
        <f t="shared" si="152"/>
        <v>0</v>
      </c>
      <c r="DS145" s="81">
        <f t="shared" si="153"/>
        <v>0</v>
      </c>
    </row>
    <row r="146" spans="14:123" x14ac:dyDescent="0.3">
      <c r="N146" s="81">
        <f>IF(Q147=0,IF(Q146=0,,"x"),)</f>
        <v>0</v>
      </c>
      <c r="O146" s="81">
        <f t="shared" si="154"/>
        <v>0</v>
      </c>
      <c r="P146" s="81">
        <f t="shared" si="118"/>
        <v>0</v>
      </c>
      <c r="Q146" s="81">
        <f t="shared" si="155"/>
        <v>0</v>
      </c>
      <c r="R146" s="81">
        <f>IF(W146="",,SUM($W$4:W146))</f>
        <v>0</v>
      </c>
      <c r="S146" s="81">
        <f t="shared" si="119"/>
        <v>0</v>
      </c>
      <c r="T146" s="81">
        <f t="shared" si="156"/>
        <v>0</v>
      </c>
      <c r="U146" s="81">
        <f t="shared" si="120"/>
        <v>0</v>
      </c>
      <c r="V146" s="81" t="str">
        <f t="shared" ca="1" si="121"/>
        <v/>
      </c>
      <c r="X146" s="81">
        <f t="shared" si="113"/>
        <v>0</v>
      </c>
      <c r="Y146" s="81">
        <f t="shared" si="114"/>
        <v>0</v>
      </c>
      <c r="AE146" s="81">
        <v>146</v>
      </c>
      <c r="AI146" s="81">
        <v>143</v>
      </c>
      <c r="AJ146" s="81" t="str">
        <f t="shared" si="109"/>
        <v>Juli 30</v>
      </c>
      <c r="AK146" s="81" t="str">
        <f t="shared" si="158"/>
        <v>Juli</v>
      </c>
      <c r="AL146" s="81">
        <f t="shared" si="157"/>
        <v>30</v>
      </c>
      <c r="AM146" s="81" t="str">
        <f t="shared" si="122"/>
        <v>='Juli 30'!</v>
      </c>
      <c r="AN146" s="81" t="str">
        <f t="shared" si="115"/>
        <v>='Juli 30'!C27</v>
      </c>
      <c r="AO146" s="81" t="s">
        <v>1146</v>
      </c>
      <c r="AR146" s="81" t="s">
        <v>206</v>
      </c>
      <c r="AS146" s="83" t="str">
        <f t="shared" si="110"/>
        <v>='Juli 30'!C6</v>
      </c>
      <c r="AT146" s="83">
        <f t="shared" si="111"/>
        <v>0</v>
      </c>
      <c r="AV146" s="81" t="s">
        <v>507</v>
      </c>
      <c r="AW146" s="81" t="s">
        <v>2880</v>
      </c>
      <c r="AX146" s="81" t="s">
        <v>2881</v>
      </c>
      <c r="AY146" s="81" t="s">
        <v>2882</v>
      </c>
      <c r="AZ146" s="81" t="s">
        <v>2883</v>
      </c>
      <c r="BA146" s="81" t="s">
        <v>2884</v>
      </c>
      <c r="BB146" s="81" t="s">
        <v>2885</v>
      </c>
      <c r="BC146" s="81" t="s">
        <v>2886</v>
      </c>
      <c r="BD146" s="81" t="s">
        <v>2887</v>
      </c>
      <c r="BE146" s="81" t="s">
        <v>2888</v>
      </c>
      <c r="BF146" s="81" t="s">
        <v>2889</v>
      </c>
      <c r="BG146" s="81" t="s">
        <v>2890</v>
      </c>
      <c r="BH146" s="81" t="s">
        <v>4763</v>
      </c>
      <c r="BI146" s="81" t="s">
        <v>5067</v>
      </c>
      <c r="BJ146" s="81" t="s">
        <v>206</v>
      </c>
      <c r="BL146" s="81" t="s">
        <v>810</v>
      </c>
      <c r="BM146" s="81">
        <v>143</v>
      </c>
      <c r="BN146" s="81" t="str">
        <f t="shared" si="112"/>
        <v>='Juli 30'!C12</v>
      </c>
      <c r="BP146" s="81" t="str">
        <f t="shared" ca="1" si="123"/>
        <v/>
      </c>
      <c r="BR146" s="84">
        <f t="shared" si="116"/>
        <v>0</v>
      </c>
      <c r="BS146" s="84">
        <f t="shared" si="117"/>
        <v>0</v>
      </c>
      <c r="CA146" s="81" t="s">
        <v>2</v>
      </c>
      <c r="CB146" s="81">
        <f t="shared" si="124"/>
        <v>0</v>
      </c>
      <c r="CC146" s="81">
        <f t="shared" si="125"/>
        <v>0</v>
      </c>
      <c r="CD146" s="81" t="s">
        <v>16</v>
      </c>
      <c r="CE146" s="81">
        <f t="shared" si="126"/>
        <v>0</v>
      </c>
      <c r="CF146" s="81">
        <f t="shared" si="127"/>
        <v>0</v>
      </c>
      <c r="CG146" s="81" t="s">
        <v>5</v>
      </c>
      <c r="CH146" s="81">
        <f t="shared" si="128"/>
        <v>0</v>
      </c>
      <c r="CI146" s="81">
        <f t="shared" si="129"/>
        <v>0</v>
      </c>
      <c r="CJ146" s="81" t="s">
        <v>18</v>
      </c>
      <c r="CK146" s="81">
        <f t="shared" si="130"/>
        <v>0</v>
      </c>
      <c r="CL146" s="81">
        <f t="shared" si="131"/>
        <v>0</v>
      </c>
      <c r="CM146" s="81" t="s">
        <v>4</v>
      </c>
      <c r="CN146" s="81">
        <f t="shared" si="132"/>
        <v>0</v>
      </c>
      <c r="CO146" s="81">
        <f t="shared" si="133"/>
        <v>0</v>
      </c>
      <c r="CP146" s="81" t="s">
        <v>22</v>
      </c>
      <c r="CQ146" s="81">
        <f t="shared" si="134"/>
        <v>0</v>
      </c>
      <c r="CR146" s="81">
        <f t="shared" si="135"/>
        <v>0</v>
      </c>
      <c r="CS146" s="81" t="s">
        <v>21</v>
      </c>
      <c r="CT146" s="81">
        <f t="shared" si="136"/>
        <v>0</v>
      </c>
      <c r="CU146" s="81">
        <f t="shared" si="137"/>
        <v>0</v>
      </c>
      <c r="CV146" s="81" t="s">
        <v>998</v>
      </c>
      <c r="CW146" s="81">
        <f t="shared" si="138"/>
        <v>0</v>
      </c>
      <c r="CX146" s="81">
        <f t="shared" si="139"/>
        <v>0</v>
      </c>
      <c r="CY146" s="81" t="s">
        <v>19</v>
      </c>
      <c r="CZ146" s="81">
        <f t="shared" si="140"/>
        <v>0</v>
      </c>
      <c r="DA146" s="81">
        <f t="shared" si="141"/>
        <v>0</v>
      </c>
      <c r="DB146" s="81" t="s">
        <v>20</v>
      </c>
      <c r="DC146" s="81">
        <f t="shared" si="142"/>
        <v>0</v>
      </c>
      <c r="DD146" s="81">
        <f t="shared" si="143"/>
        <v>0</v>
      </c>
      <c r="DE146" s="81" t="s">
        <v>23</v>
      </c>
      <c r="DF146" s="81">
        <f t="shared" si="144"/>
        <v>0</v>
      </c>
      <c r="DG146" s="81">
        <f t="shared" si="145"/>
        <v>0</v>
      </c>
      <c r="DH146" s="81" t="s">
        <v>15</v>
      </c>
      <c r="DI146" s="81">
        <f t="shared" si="146"/>
        <v>0</v>
      </c>
      <c r="DJ146" s="81">
        <f t="shared" si="147"/>
        <v>0</v>
      </c>
      <c r="DK146" s="81" t="s">
        <v>5368</v>
      </c>
      <c r="DL146" s="81">
        <f t="shared" si="148"/>
        <v>0</v>
      </c>
      <c r="DM146" s="81">
        <f t="shared" si="149"/>
        <v>0</v>
      </c>
      <c r="DN146" s="81" t="s">
        <v>7</v>
      </c>
      <c r="DO146" s="81">
        <f t="shared" si="150"/>
        <v>0</v>
      </c>
      <c r="DP146" s="81">
        <f t="shared" si="151"/>
        <v>0</v>
      </c>
      <c r="DQ146" s="81" t="s">
        <v>1</v>
      </c>
      <c r="DR146" s="81">
        <f t="shared" si="152"/>
        <v>0</v>
      </c>
      <c r="DS146" s="81">
        <f t="shared" si="153"/>
        <v>0</v>
      </c>
    </row>
    <row r="147" spans="14:123" x14ac:dyDescent="0.3">
      <c r="N147" s="81">
        <f>IF(Q148=0,IF(Q147=0,,"x"),)</f>
        <v>0</v>
      </c>
      <c r="O147" s="81">
        <f t="shared" si="154"/>
        <v>0</v>
      </c>
      <c r="P147" s="81">
        <f t="shared" si="118"/>
        <v>0</v>
      </c>
      <c r="Q147" s="81">
        <f t="shared" si="155"/>
        <v>0</v>
      </c>
      <c r="R147" s="81">
        <f>IF(W147="",,SUM($W$4:W147))</f>
        <v>0</v>
      </c>
      <c r="S147" s="81">
        <f t="shared" si="119"/>
        <v>0</v>
      </c>
      <c r="T147" s="81">
        <f t="shared" si="156"/>
        <v>0</v>
      </c>
      <c r="U147" s="81">
        <f t="shared" si="120"/>
        <v>0</v>
      </c>
      <c r="V147" s="81" t="str">
        <f t="shared" ca="1" si="121"/>
        <v/>
      </c>
      <c r="X147" s="81">
        <f t="shared" si="113"/>
        <v>0</v>
      </c>
      <c r="Y147" s="81">
        <f t="shared" si="114"/>
        <v>0</v>
      </c>
      <c r="AE147" s="81">
        <v>147</v>
      </c>
      <c r="AI147" s="81">
        <v>144</v>
      </c>
      <c r="AJ147" s="81" t="str">
        <f t="shared" si="109"/>
        <v>Augusti 30</v>
      </c>
      <c r="AK147" s="81" t="str">
        <f t="shared" si="158"/>
        <v>Augusti</v>
      </c>
      <c r="AL147" s="81">
        <f t="shared" si="157"/>
        <v>30</v>
      </c>
      <c r="AM147" s="81" t="str">
        <f t="shared" si="122"/>
        <v>='Augusti 30'!</v>
      </c>
      <c r="AN147" s="81" t="str">
        <f t="shared" si="115"/>
        <v>='Augusti 30'!C27</v>
      </c>
      <c r="AO147" s="81" t="s">
        <v>1147</v>
      </c>
      <c r="AR147" s="81" t="s">
        <v>207</v>
      </c>
      <c r="AS147" s="83" t="str">
        <f t="shared" si="110"/>
        <v>='Augusti 30'!C6</v>
      </c>
      <c r="AT147" s="83">
        <f t="shared" si="111"/>
        <v>0</v>
      </c>
      <c r="AV147" s="81" t="s">
        <v>508</v>
      </c>
      <c r="AW147" s="81" t="s">
        <v>2891</v>
      </c>
      <c r="AX147" s="81" t="s">
        <v>2892</v>
      </c>
      <c r="AY147" s="81" t="s">
        <v>2893</v>
      </c>
      <c r="AZ147" s="81" t="s">
        <v>2894</v>
      </c>
      <c r="BA147" s="81" t="s">
        <v>2895</v>
      </c>
      <c r="BB147" s="81" t="s">
        <v>2896</v>
      </c>
      <c r="BC147" s="81" t="s">
        <v>2897</v>
      </c>
      <c r="BD147" s="81" t="s">
        <v>2898</v>
      </c>
      <c r="BE147" s="81" t="s">
        <v>2899</v>
      </c>
      <c r="BF147" s="81" t="s">
        <v>2900</v>
      </c>
      <c r="BG147" s="81" t="s">
        <v>2901</v>
      </c>
      <c r="BH147" s="81" t="s">
        <v>4764</v>
      </c>
      <c r="BI147" s="81" t="s">
        <v>5068</v>
      </c>
      <c r="BJ147" s="81" t="s">
        <v>207</v>
      </c>
      <c r="BL147" s="81" t="s">
        <v>811</v>
      </c>
      <c r="BM147" s="81">
        <v>144</v>
      </c>
      <c r="BN147" s="81" t="str">
        <f t="shared" si="112"/>
        <v>='Augusti 30'!C12</v>
      </c>
      <c r="BP147" s="81" t="str">
        <f t="shared" ca="1" si="123"/>
        <v/>
      </c>
      <c r="BR147" s="84">
        <f t="shared" si="116"/>
        <v>0</v>
      </c>
      <c r="BS147" s="84">
        <f t="shared" si="117"/>
        <v>0</v>
      </c>
      <c r="CA147" s="81" t="s">
        <v>2</v>
      </c>
      <c r="CB147" s="81">
        <f t="shared" si="124"/>
        <v>0</v>
      </c>
      <c r="CC147" s="81">
        <f t="shared" si="125"/>
        <v>0</v>
      </c>
      <c r="CD147" s="81" t="s">
        <v>16</v>
      </c>
      <c r="CE147" s="81">
        <f t="shared" si="126"/>
        <v>0</v>
      </c>
      <c r="CF147" s="81">
        <f t="shared" si="127"/>
        <v>0</v>
      </c>
      <c r="CG147" s="81" t="s">
        <v>5</v>
      </c>
      <c r="CH147" s="81">
        <f t="shared" si="128"/>
        <v>0</v>
      </c>
      <c r="CI147" s="81">
        <f t="shared" si="129"/>
        <v>0</v>
      </c>
      <c r="CJ147" s="81" t="s">
        <v>18</v>
      </c>
      <c r="CK147" s="81">
        <f t="shared" si="130"/>
        <v>0</v>
      </c>
      <c r="CL147" s="81">
        <f t="shared" si="131"/>
        <v>0</v>
      </c>
      <c r="CM147" s="81" t="s">
        <v>4</v>
      </c>
      <c r="CN147" s="81">
        <f t="shared" si="132"/>
        <v>0</v>
      </c>
      <c r="CO147" s="81">
        <f t="shared" si="133"/>
        <v>0</v>
      </c>
      <c r="CP147" s="81" t="s">
        <v>22</v>
      </c>
      <c r="CQ147" s="81">
        <f t="shared" si="134"/>
        <v>0</v>
      </c>
      <c r="CR147" s="81">
        <f t="shared" si="135"/>
        <v>0</v>
      </c>
      <c r="CS147" s="81" t="s">
        <v>21</v>
      </c>
      <c r="CT147" s="81">
        <f t="shared" si="136"/>
        <v>0</v>
      </c>
      <c r="CU147" s="81">
        <f t="shared" si="137"/>
        <v>0</v>
      </c>
      <c r="CV147" s="81" t="s">
        <v>998</v>
      </c>
      <c r="CW147" s="81">
        <f t="shared" si="138"/>
        <v>0</v>
      </c>
      <c r="CX147" s="81">
        <f t="shared" si="139"/>
        <v>0</v>
      </c>
      <c r="CY147" s="81" t="s">
        <v>19</v>
      </c>
      <c r="CZ147" s="81">
        <f t="shared" si="140"/>
        <v>0</v>
      </c>
      <c r="DA147" s="81">
        <f t="shared" si="141"/>
        <v>0</v>
      </c>
      <c r="DB147" s="81" t="s">
        <v>20</v>
      </c>
      <c r="DC147" s="81">
        <f t="shared" si="142"/>
        <v>0</v>
      </c>
      <c r="DD147" s="81">
        <f t="shared" si="143"/>
        <v>0</v>
      </c>
      <c r="DE147" s="81" t="s">
        <v>23</v>
      </c>
      <c r="DF147" s="81">
        <f t="shared" si="144"/>
        <v>0</v>
      </c>
      <c r="DG147" s="81">
        <f t="shared" si="145"/>
        <v>0</v>
      </c>
      <c r="DH147" s="81" t="s">
        <v>15</v>
      </c>
      <c r="DI147" s="81">
        <f t="shared" si="146"/>
        <v>0</v>
      </c>
      <c r="DJ147" s="81">
        <f t="shared" si="147"/>
        <v>0</v>
      </c>
      <c r="DK147" s="81" t="s">
        <v>5369</v>
      </c>
      <c r="DL147" s="81">
        <f t="shared" si="148"/>
        <v>0</v>
      </c>
      <c r="DM147" s="81">
        <f t="shared" si="149"/>
        <v>0</v>
      </c>
      <c r="DN147" s="81" t="s">
        <v>7</v>
      </c>
      <c r="DO147" s="81">
        <f t="shared" si="150"/>
        <v>0</v>
      </c>
      <c r="DP147" s="81">
        <f t="shared" si="151"/>
        <v>0</v>
      </c>
      <c r="DQ147" s="81" t="s">
        <v>1</v>
      </c>
      <c r="DR147" s="81">
        <f t="shared" si="152"/>
        <v>0</v>
      </c>
      <c r="DS147" s="81">
        <f t="shared" si="153"/>
        <v>0</v>
      </c>
    </row>
    <row r="148" spans="14:123" x14ac:dyDescent="0.3">
      <c r="N148" s="81">
        <f>IF(Q149=0,IF(Q148=0,,"x"),)</f>
        <v>0</v>
      </c>
      <c r="O148" s="81">
        <f t="shared" si="154"/>
        <v>0</v>
      </c>
      <c r="P148" s="81">
        <f t="shared" si="118"/>
        <v>0</v>
      </c>
      <c r="Q148" s="81">
        <f t="shared" si="155"/>
        <v>0</v>
      </c>
      <c r="R148" s="81">
        <f>IF(W148="",,SUM($W$4:W148))</f>
        <v>0</v>
      </c>
      <c r="S148" s="81">
        <f t="shared" si="119"/>
        <v>0</v>
      </c>
      <c r="T148" s="81">
        <f t="shared" si="156"/>
        <v>0</v>
      </c>
      <c r="U148" s="81">
        <f t="shared" si="120"/>
        <v>0</v>
      </c>
      <c r="V148" s="81" t="str">
        <f t="shared" ca="1" si="121"/>
        <v/>
      </c>
      <c r="X148" s="81">
        <f t="shared" si="113"/>
        <v>0</v>
      </c>
      <c r="Y148" s="81">
        <f t="shared" si="114"/>
        <v>0</v>
      </c>
      <c r="AE148" s="81">
        <v>148</v>
      </c>
      <c r="AI148" s="81">
        <v>145</v>
      </c>
      <c r="AJ148" s="81" t="str">
        <f t="shared" si="109"/>
        <v>September 30</v>
      </c>
      <c r="AK148" s="81" t="str">
        <f t="shared" si="158"/>
        <v>September</v>
      </c>
      <c r="AL148" s="81">
        <f t="shared" si="157"/>
        <v>30</v>
      </c>
      <c r="AM148" s="81" t="str">
        <f t="shared" si="122"/>
        <v>='September 30'!</v>
      </c>
      <c r="AN148" s="81" t="str">
        <f t="shared" si="115"/>
        <v>='September 30'!C27</v>
      </c>
      <c r="AO148" s="81" t="s">
        <v>1148</v>
      </c>
      <c r="AR148" s="81" t="s">
        <v>208</v>
      </c>
      <c r="AS148" s="83" t="str">
        <f t="shared" si="110"/>
        <v>='September 30'!C6</v>
      </c>
      <c r="AT148" s="83">
        <f t="shared" si="111"/>
        <v>0</v>
      </c>
      <c r="AV148" s="81" t="s">
        <v>509</v>
      </c>
      <c r="AW148" s="81" t="s">
        <v>2902</v>
      </c>
      <c r="AX148" s="81" t="s">
        <v>2903</v>
      </c>
      <c r="AY148" s="81" t="s">
        <v>2904</v>
      </c>
      <c r="AZ148" s="81" t="s">
        <v>2905</v>
      </c>
      <c r="BA148" s="81" t="s">
        <v>2906</v>
      </c>
      <c r="BB148" s="81" t="s">
        <v>2907</v>
      </c>
      <c r="BC148" s="81" t="s">
        <v>2908</v>
      </c>
      <c r="BD148" s="81" t="s">
        <v>2909</v>
      </c>
      <c r="BE148" s="81" t="s">
        <v>2910</v>
      </c>
      <c r="BF148" s="81" t="s">
        <v>2911</v>
      </c>
      <c r="BG148" s="81" t="s">
        <v>2912</v>
      </c>
      <c r="BH148" s="81" t="s">
        <v>4765</v>
      </c>
      <c r="BI148" s="81" t="s">
        <v>5069</v>
      </c>
      <c r="BJ148" s="81" t="s">
        <v>208</v>
      </c>
      <c r="BL148" s="81" t="s">
        <v>812</v>
      </c>
      <c r="BM148" s="81">
        <v>145</v>
      </c>
      <c r="BN148" s="81" t="str">
        <f t="shared" si="112"/>
        <v>='September 30'!C12</v>
      </c>
      <c r="BP148" s="81" t="str">
        <f t="shared" ca="1" si="123"/>
        <v/>
      </c>
      <c r="BR148" s="84">
        <f t="shared" si="116"/>
        <v>0</v>
      </c>
      <c r="BS148" s="84">
        <f t="shared" si="117"/>
        <v>0</v>
      </c>
      <c r="CA148" s="81" t="s">
        <v>2</v>
      </c>
      <c r="CB148" s="81">
        <f t="shared" si="124"/>
        <v>0</v>
      </c>
      <c r="CC148" s="81">
        <f t="shared" si="125"/>
        <v>0</v>
      </c>
      <c r="CD148" s="81" t="s">
        <v>16</v>
      </c>
      <c r="CE148" s="81">
        <f t="shared" si="126"/>
        <v>0</v>
      </c>
      <c r="CF148" s="81">
        <f t="shared" si="127"/>
        <v>0</v>
      </c>
      <c r="CG148" s="81" t="s">
        <v>5</v>
      </c>
      <c r="CH148" s="81">
        <f t="shared" si="128"/>
        <v>0</v>
      </c>
      <c r="CI148" s="81">
        <f t="shared" si="129"/>
        <v>0</v>
      </c>
      <c r="CJ148" s="81" t="s">
        <v>18</v>
      </c>
      <c r="CK148" s="81">
        <f t="shared" si="130"/>
        <v>0</v>
      </c>
      <c r="CL148" s="81">
        <f t="shared" si="131"/>
        <v>0</v>
      </c>
      <c r="CM148" s="81" t="s">
        <v>4</v>
      </c>
      <c r="CN148" s="81">
        <f t="shared" si="132"/>
        <v>0</v>
      </c>
      <c r="CO148" s="81">
        <f t="shared" si="133"/>
        <v>0</v>
      </c>
      <c r="CP148" s="81" t="s">
        <v>22</v>
      </c>
      <c r="CQ148" s="81">
        <f t="shared" si="134"/>
        <v>0</v>
      </c>
      <c r="CR148" s="81">
        <f t="shared" si="135"/>
        <v>0</v>
      </c>
      <c r="CS148" s="81" t="s">
        <v>21</v>
      </c>
      <c r="CT148" s="81">
        <f t="shared" si="136"/>
        <v>0</v>
      </c>
      <c r="CU148" s="81">
        <f t="shared" si="137"/>
        <v>0</v>
      </c>
      <c r="CV148" s="81" t="s">
        <v>998</v>
      </c>
      <c r="CW148" s="81">
        <f t="shared" si="138"/>
        <v>0</v>
      </c>
      <c r="CX148" s="81">
        <f t="shared" si="139"/>
        <v>0</v>
      </c>
      <c r="CY148" s="81" t="s">
        <v>19</v>
      </c>
      <c r="CZ148" s="81">
        <f t="shared" si="140"/>
        <v>0</v>
      </c>
      <c r="DA148" s="81">
        <f t="shared" si="141"/>
        <v>0</v>
      </c>
      <c r="DB148" s="81" t="s">
        <v>20</v>
      </c>
      <c r="DC148" s="81">
        <f t="shared" si="142"/>
        <v>0</v>
      </c>
      <c r="DD148" s="81">
        <f t="shared" si="143"/>
        <v>0</v>
      </c>
      <c r="DE148" s="81" t="s">
        <v>23</v>
      </c>
      <c r="DF148" s="81">
        <f t="shared" si="144"/>
        <v>0</v>
      </c>
      <c r="DG148" s="81">
        <f t="shared" si="145"/>
        <v>0</v>
      </c>
      <c r="DH148" s="81" t="s">
        <v>15</v>
      </c>
      <c r="DI148" s="81">
        <f t="shared" si="146"/>
        <v>0</v>
      </c>
      <c r="DJ148" s="81">
        <f t="shared" si="147"/>
        <v>0</v>
      </c>
      <c r="DK148" s="81" t="s">
        <v>5370</v>
      </c>
      <c r="DL148" s="81">
        <f t="shared" si="148"/>
        <v>0</v>
      </c>
      <c r="DM148" s="81">
        <f t="shared" si="149"/>
        <v>0</v>
      </c>
      <c r="DN148" s="81" t="s">
        <v>7</v>
      </c>
      <c r="DO148" s="81">
        <f t="shared" si="150"/>
        <v>0</v>
      </c>
      <c r="DP148" s="81">
        <f t="shared" si="151"/>
        <v>0</v>
      </c>
      <c r="DQ148" s="81" t="s">
        <v>1</v>
      </c>
      <c r="DR148" s="81">
        <f t="shared" si="152"/>
        <v>0</v>
      </c>
      <c r="DS148" s="81">
        <f t="shared" si="153"/>
        <v>0</v>
      </c>
    </row>
    <row r="149" spans="14:123" x14ac:dyDescent="0.3">
      <c r="N149" s="81">
        <f>IF(Q150=0,IF(Q149=0,,"x"),)</f>
        <v>0</v>
      </c>
      <c r="O149" s="81">
        <f t="shared" si="154"/>
        <v>0</v>
      </c>
      <c r="P149" s="81">
        <f t="shared" si="118"/>
        <v>0</v>
      </c>
      <c r="Q149" s="81">
        <f t="shared" si="155"/>
        <v>0</v>
      </c>
      <c r="R149" s="81">
        <f>IF(W149="",,SUM($W$4:W149))</f>
        <v>0</v>
      </c>
      <c r="S149" s="81">
        <f t="shared" si="119"/>
        <v>0</v>
      </c>
      <c r="T149" s="81">
        <f t="shared" si="156"/>
        <v>0</v>
      </c>
      <c r="U149" s="81">
        <f t="shared" si="120"/>
        <v>0</v>
      </c>
      <c r="V149" s="81" t="str">
        <f t="shared" ca="1" si="121"/>
        <v/>
      </c>
      <c r="X149" s="81">
        <f t="shared" si="113"/>
        <v>0</v>
      </c>
      <c r="Y149" s="81">
        <f t="shared" si="114"/>
        <v>0</v>
      </c>
      <c r="AE149" s="81">
        <v>149</v>
      </c>
      <c r="AI149" s="81">
        <v>146</v>
      </c>
      <c r="AJ149" s="81" t="str">
        <f t="shared" si="109"/>
        <v>Oktober 30</v>
      </c>
      <c r="AK149" s="81" t="str">
        <f t="shared" si="158"/>
        <v>Oktober</v>
      </c>
      <c r="AL149" s="81">
        <f t="shared" si="157"/>
        <v>30</v>
      </c>
      <c r="AM149" s="81" t="str">
        <f t="shared" si="122"/>
        <v>='Oktober 30'!</v>
      </c>
      <c r="AN149" s="81" t="str">
        <f t="shared" si="115"/>
        <v>='Oktober 30'!C27</v>
      </c>
      <c r="AO149" s="81" t="s">
        <v>1149</v>
      </c>
      <c r="AR149" s="81" t="s">
        <v>209</v>
      </c>
      <c r="AS149" s="83" t="str">
        <f t="shared" si="110"/>
        <v>='Oktober 30'!C6</v>
      </c>
      <c r="AT149" s="83">
        <f t="shared" si="111"/>
        <v>0</v>
      </c>
      <c r="AV149" s="81" t="s">
        <v>510</v>
      </c>
      <c r="AW149" s="81" t="s">
        <v>2913</v>
      </c>
      <c r="AX149" s="81" t="s">
        <v>2914</v>
      </c>
      <c r="AY149" s="81" t="s">
        <v>2915</v>
      </c>
      <c r="AZ149" s="81" t="s">
        <v>2916</v>
      </c>
      <c r="BA149" s="81" t="s">
        <v>2917</v>
      </c>
      <c r="BB149" s="81" t="s">
        <v>2918</v>
      </c>
      <c r="BC149" s="81" t="s">
        <v>2919</v>
      </c>
      <c r="BD149" s="81" t="s">
        <v>2920</v>
      </c>
      <c r="BE149" s="81" t="s">
        <v>2921</v>
      </c>
      <c r="BF149" s="81" t="s">
        <v>2922</v>
      </c>
      <c r="BG149" s="81" t="s">
        <v>2923</v>
      </c>
      <c r="BH149" s="81" t="s">
        <v>4766</v>
      </c>
      <c r="BI149" s="81" t="s">
        <v>5070</v>
      </c>
      <c r="BJ149" s="81" t="s">
        <v>209</v>
      </c>
      <c r="BL149" s="81" t="s">
        <v>813</v>
      </c>
      <c r="BM149" s="81">
        <v>146</v>
      </c>
      <c r="BN149" s="81" t="str">
        <f t="shared" si="112"/>
        <v>='Oktober 30'!C12</v>
      </c>
      <c r="BP149" s="81" t="str">
        <f t="shared" ca="1" si="123"/>
        <v/>
      </c>
      <c r="BR149" s="84">
        <f t="shared" si="116"/>
        <v>0</v>
      </c>
      <c r="BS149" s="84">
        <f t="shared" si="117"/>
        <v>0</v>
      </c>
      <c r="CA149" s="81" t="s">
        <v>2</v>
      </c>
      <c r="CB149" s="81">
        <f t="shared" si="124"/>
        <v>0</v>
      </c>
      <c r="CC149" s="81">
        <f t="shared" si="125"/>
        <v>0</v>
      </c>
      <c r="CD149" s="81" t="s">
        <v>16</v>
      </c>
      <c r="CE149" s="81">
        <f t="shared" si="126"/>
        <v>0</v>
      </c>
      <c r="CF149" s="81">
        <f t="shared" si="127"/>
        <v>0</v>
      </c>
      <c r="CG149" s="81" t="s">
        <v>5</v>
      </c>
      <c r="CH149" s="81">
        <f t="shared" si="128"/>
        <v>0</v>
      </c>
      <c r="CI149" s="81">
        <f t="shared" si="129"/>
        <v>0</v>
      </c>
      <c r="CJ149" s="81" t="s">
        <v>18</v>
      </c>
      <c r="CK149" s="81">
        <f t="shared" si="130"/>
        <v>0</v>
      </c>
      <c r="CL149" s="81">
        <f t="shared" si="131"/>
        <v>0</v>
      </c>
      <c r="CM149" s="81" t="s">
        <v>4</v>
      </c>
      <c r="CN149" s="81">
        <f t="shared" si="132"/>
        <v>0</v>
      </c>
      <c r="CO149" s="81">
        <f t="shared" si="133"/>
        <v>0</v>
      </c>
      <c r="CP149" s="81" t="s">
        <v>22</v>
      </c>
      <c r="CQ149" s="81">
        <f t="shared" si="134"/>
        <v>0</v>
      </c>
      <c r="CR149" s="81">
        <f t="shared" si="135"/>
        <v>0</v>
      </c>
      <c r="CS149" s="81" t="s">
        <v>21</v>
      </c>
      <c r="CT149" s="81">
        <f t="shared" si="136"/>
        <v>0</v>
      </c>
      <c r="CU149" s="81">
        <f t="shared" si="137"/>
        <v>0</v>
      </c>
      <c r="CV149" s="81" t="s">
        <v>998</v>
      </c>
      <c r="CW149" s="81">
        <f t="shared" si="138"/>
        <v>0</v>
      </c>
      <c r="CX149" s="81">
        <f t="shared" si="139"/>
        <v>0</v>
      </c>
      <c r="CY149" s="81" t="s">
        <v>19</v>
      </c>
      <c r="CZ149" s="81">
        <f t="shared" si="140"/>
        <v>0</v>
      </c>
      <c r="DA149" s="81">
        <f t="shared" si="141"/>
        <v>0</v>
      </c>
      <c r="DB149" s="81" t="s">
        <v>20</v>
      </c>
      <c r="DC149" s="81">
        <f t="shared" si="142"/>
        <v>0</v>
      </c>
      <c r="DD149" s="81">
        <f t="shared" si="143"/>
        <v>0</v>
      </c>
      <c r="DE149" s="81" t="s">
        <v>23</v>
      </c>
      <c r="DF149" s="81">
        <f t="shared" si="144"/>
        <v>0</v>
      </c>
      <c r="DG149" s="81">
        <f t="shared" si="145"/>
        <v>0</v>
      </c>
      <c r="DH149" s="81" t="s">
        <v>15</v>
      </c>
      <c r="DI149" s="81">
        <f t="shared" si="146"/>
        <v>0</v>
      </c>
      <c r="DJ149" s="81">
        <f t="shared" si="147"/>
        <v>0</v>
      </c>
      <c r="DK149" s="81" t="s">
        <v>5371</v>
      </c>
      <c r="DL149" s="81">
        <f t="shared" si="148"/>
        <v>0</v>
      </c>
      <c r="DM149" s="81">
        <f t="shared" si="149"/>
        <v>0</v>
      </c>
      <c r="DN149" s="81" t="s">
        <v>7</v>
      </c>
      <c r="DO149" s="81">
        <f t="shared" si="150"/>
        <v>0</v>
      </c>
      <c r="DP149" s="81">
        <f t="shared" si="151"/>
        <v>0</v>
      </c>
      <c r="DQ149" s="81" t="s">
        <v>1</v>
      </c>
      <c r="DR149" s="81">
        <f t="shared" si="152"/>
        <v>0</v>
      </c>
      <c r="DS149" s="81">
        <f t="shared" si="153"/>
        <v>0</v>
      </c>
    </row>
    <row r="150" spans="14:123" x14ac:dyDescent="0.3">
      <c r="N150" s="81">
        <f>IF(Q151=0,IF(Q150=0,,"x"),)</f>
        <v>0</v>
      </c>
      <c r="O150" s="81">
        <f t="shared" si="154"/>
        <v>0</v>
      </c>
      <c r="P150" s="81">
        <f t="shared" si="118"/>
        <v>0</v>
      </c>
      <c r="Q150" s="81">
        <f t="shared" si="155"/>
        <v>0</v>
      </c>
      <c r="R150" s="81">
        <f>IF(W150="",,SUM($W$4:W150))</f>
        <v>0</v>
      </c>
      <c r="S150" s="81">
        <f t="shared" si="119"/>
        <v>0</v>
      </c>
      <c r="T150" s="81">
        <f t="shared" si="156"/>
        <v>0</v>
      </c>
      <c r="U150" s="81">
        <f t="shared" si="120"/>
        <v>0</v>
      </c>
      <c r="V150" s="81" t="str">
        <f t="shared" ca="1" si="121"/>
        <v/>
      </c>
      <c r="X150" s="81">
        <f t="shared" si="113"/>
        <v>0</v>
      </c>
      <c r="Y150" s="81">
        <f t="shared" si="114"/>
        <v>0</v>
      </c>
      <c r="AE150" s="81">
        <v>150</v>
      </c>
      <c r="AI150" s="81">
        <v>147</v>
      </c>
      <c r="AJ150" s="81" t="str">
        <f t="shared" si="109"/>
        <v>November 30</v>
      </c>
      <c r="AK150" s="81" t="str">
        <f t="shared" si="158"/>
        <v>November</v>
      </c>
      <c r="AL150" s="81">
        <f t="shared" si="157"/>
        <v>30</v>
      </c>
      <c r="AM150" s="81" t="str">
        <f t="shared" si="122"/>
        <v>='November 30'!</v>
      </c>
      <c r="AN150" s="81" t="str">
        <f t="shared" si="115"/>
        <v>='November 30'!C27</v>
      </c>
      <c r="AO150" s="81" t="s">
        <v>1150</v>
      </c>
      <c r="AR150" s="81" t="s">
        <v>210</v>
      </c>
      <c r="AS150" s="83" t="str">
        <f t="shared" si="110"/>
        <v>='November 30'!C6</v>
      </c>
      <c r="AT150" s="83">
        <f t="shared" si="111"/>
        <v>0</v>
      </c>
      <c r="AV150" s="81" t="s">
        <v>511</v>
      </c>
      <c r="AW150" s="81" t="s">
        <v>2924</v>
      </c>
      <c r="AX150" s="81" t="s">
        <v>2925</v>
      </c>
      <c r="AY150" s="81" t="s">
        <v>2926</v>
      </c>
      <c r="AZ150" s="81" t="s">
        <v>2927</v>
      </c>
      <c r="BA150" s="81" t="s">
        <v>2928</v>
      </c>
      <c r="BB150" s="81" t="s">
        <v>2929</v>
      </c>
      <c r="BC150" s="81" t="s">
        <v>2930</v>
      </c>
      <c r="BD150" s="81" t="s">
        <v>2931</v>
      </c>
      <c r="BE150" s="81" t="s">
        <v>2932</v>
      </c>
      <c r="BF150" s="81" t="s">
        <v>2933</v>
      </c>
      <c r="BG150" s="81" t="s">
        <v>2934</v>
      </c>
      <c r="BH150" s="81" t="s">
        <v>4767</v>
      </c>
      <c r="BI150" s="81" t="s">
        <v>5071</v>
      </c>
      <c r="BJ150" s="81" t="s">
        <v>210</v>
      </c>
      <c r="BL150" s="81" t="s">
        <v>814</v>
      </c>
      <c r="BM150" s="81">
        <v>147</v>
      </c>
      <c r="BN150" s="81" t="str">
        <f t="shared" si="112"/>
        <v>='November 30'!C12</v>
      </c>
      <c r="BP150" s="81" t="str">
        <f t="shared" ca="1" si="123"/>
        <v/>
      </c>
      <c r="BR150" s="84">
        <f t="shared" si="116"/>
        <v>0</v>
      </c>
      <c r="BS150" s="84">
        <f t="shared" si="117"/>
        <v>0</v>
      </c>
      <c r="CA150" s="81" t="s">
        <v>2</v>
      </c>
      <c r="CB150" s="81">
        <f t="shared" si="124"/>
        <v>0</v>
      </c>
      <c r="CC150" s="81">
        <f t="shared" si="125"/>
        <v>0</v>
      </c>
      <c r="CD150" s="81" t="s">
        <v>16</v>
      </c>
      <c r="CE150" s="81">
        <f t="shared" si="126"/>
        <v>0</v>
      </c>
      <c r="CF150" s="81">
        <f t="shared" si="127"/>
        <v>0</v>
      </c>
      <c r="CG150" s="81" t="s">
        <v>5</v>
      </c>
      <c r="CH150" s="81">
        <f t="shared" si="128"/>
        <v>0</v>
      </c>
      <c r="CI150" s="81">
        <f t="shared" si="129"/>
        <v>0</v>
      </c>
      <c r="CJ150" s="81" t="s">
        <v>18</v>
      </c>
      <c r="CK150" s="81">
        <f t="shared" si="130"/>
        <v>0</v>
      </c>
      <c r="CL150" s="81">
        <f t="shared" si="131"/>
        <v>0</v>
      </c>
      <c r="CM150" s="81" t="s">
        <v>4</v>
      </c>
      <c r="CN150" s="81">
        <f t="shared" si="132"/>
        <v>0</v>
      </c>
      <c r="CO150" s="81">
        <f t="shared" si="133"/>
        <v>0</v>
      </c>
      <c r="CP150" s="81" t="s">
        <v>22</v>
      </c>
      <c r="CQ150" s="81">
        <f t="shared" si="134"/>
        <v>0</v>
      </c>
      <c r="CR150" s="81">
        <f t="shared" si="135"/>
        <v>0</v>
      </c>
      <c r="CS150" s="81" t="s">
        <v>21</v>
      </c>
      <c r="CT150" s="81">
        <f t="shared" si="136"/>
        <v>0</v>
      </c>
      <c r="CU150" s="81">
        <f t="shared" si="137"/>
        <v>0</v>
      </c>
      <c r="CV150" s="81" t="s">
        <v>998</v>
      </c>
      <c r="CW150" s="81">
        <f t="shared" si="138"/>
        <v>0</v>
      </c>
      <c r="CX150" s="81">
        <f t="shared" si="139"/>
        <v>0</v>
      </c>
      <c r="CY150" s="81" t="s">
        <v>19</v>
      </c>
      <c r="CZ150" s="81">
        <f t="shared" si="140"/>
        <v>0</v>
      </c>
      <c r="DA150" s="81">
        <f t="shared" si="141"/>
        <v>0</v>
      </c>
      <c r="DB150" s="81" t="s">
        <v>20</v>
      </c>
      <c r="DC150" s="81">
        <f t="shared" si="142"/>
        <v>0</v>
      </c>
      <c r="DD150" s="81">
        <f t="shared" si="143"/>
        <v>0</v>
      </c>
      <c r="DE150" s="81" t="s">
        <v>23</v>
      </c>
      <c r="DF150" s="81">
        <f t="shared" si="144"/>
        <v>0</v>
      </c>
      <c r="DG150" s="81">
        <f t="shared" si="145"/>
        <v>0</v>
      </c>
      <c r="DH150" s="81" t="s">
        <v>15</v>
      </c>
      <c r="DI150" s="81">
        <f t="shared" si="146"/>
        <v>0</v>
      </c>
      <c r="DJ150" s="81">
        <f t="shared" si="147"/>
        <v>0</v>
      </c>
      <c r="DK150" s="81" t="s">
        <v>5372</v>
      </c>
      <c r="DL150" s="81">
        <f t="shared" si="148"/>
        <v>0</v>
      </c>
      <c r="DM150" s="81">
        <f t="shared" si="149"/>
        <v>0</v>
      </c>
      <c r="DN150" s="81" t="s">
        <v>7</v>
      </c>
      <c r="DO150" s="81">
        <f t="shared" si="150"/>
        <v>0</v>
      </c>
      <c r="DP150" s="81">
        <f t="shared" si="151"/>
        <v>0</v>
      </c>
      <c r="DQ150" s="81" t="s">
        <v>1</v>
      </c>
      <c r="DR150" s="81">
        <f t="shared" si="152"/>
        <v>0</v>
      </c>
      <c r="DS150" s="81">
        <f t="shared" si="153"/>
        <v>0</v>
      </c>
    </row>
    <row r="151" spans="14:123" x14ac:dyDescent="0.3">
      <c r="N151" s="81">
        <f>IF(Q152=0,IF(Q151=0,,"x"),)</f>
        <v>0</v>
      </c>
      <c r="O151" s="81">
        <f t="shared" si="154"/>
        <v>0</v>
      </c>
      <c r="P151" s="81">
        <f t="shared" si="118"/>
        <v>0</v>
      </c>
      <c r="Q151" s="81">
        <f t="shared" si="155"/>
        <v>0</v>
      </c>
      <c r="R151" s="81">
        <f>IF(W151="",,SUM($W$4:W151))</f>
        <v>0</v>
      </c>
      <c r="S151" s="81">
        <f t="shared" si="119"/>
        <v>0</v>
      </c>
      <c r="T151" s="81">
        <f t="shared" si="156"/>
        <v>0</v>
      </c>
      <c r="U151" s="81">
        <f t="shared" si="120"/>
        <v>0</v>
      </c>
      <c r="V151" s="81" t="str">
        <f t="shared" ca="1" si="121"/>
        <v/>
      </c>
      <c r="X151" s="81">
        <f t="shared" si="113"/>
        <v>0</v>
      </c>
      <c r="Y151" s="81">
        <f t="shared" si="114"/>
        <v>0</v>
      </c>
      <c r="AE151" s="81">
        <v>151</v>
      </c>
      <c r="AI151" s="81">
        <v>148</v>
      </c>
      <c r="AJ151" s="81" t="str">
        <f t="shared" si="109"/>
        <v>December 30</v>
      </c>
      <c r="AK151" s="81" t="str">
        <f t="shared" si="158"/>
        <v>December</v>
      </c>
      <c r="AL151" s="81">
        <f t="shared" si="157"/>
        <v>30</v>
      </c>
      <c r="AM151" s="81" t="str">
        <f t="shared" si="122"/>
        <v>='December 30'!</v>
      </c>
      <c r="AN151" s="81" t="str">
        <f t="shared" si="115"/>
        <v>='December 30'!C27</v>
      </c>
      <c r="AO151" s="81" t="s">
        <v>1151</v>
      </c>
      <c r="AR151" s="81" t="s">
        <v>211</v>
      </c>
      <c r="AS151" s="83" t="str">
        <f t="shared" si="110"/>
        <v>='December 30'!C6</v>
      </c>
      <c r="AT151" s="83">
        <f t="shared" si="111"/>
        <v>0</v>
      </c>
      <c r="AV151" s="81" t="s">
        <v>512</v>
      </c>
      <c r="AW151" s="81" t="s">
        <v>2935</v>
      </c>
      <c r="AX151" s="81" t="s">
        <v>2936</v>
      </c>
      <c r="AY151" s="81" t="s">
        <v>2937</v>
      </c>
      <c r="AZ151" s="81" t="s">
        <v>2938</v>
      </c>
      <c r="BA151" s="81" t="s">
        <v>2939</v>
      </c>
      <c r="BB151" s="81" t="s">
        <v>2940</v>
      </c>
      <c r="BC151" s="81" t="s">
        <v>2941</v>
      </c>
      <c r="BD151" s="81" t="s">
        <v>2942</v>
      </c>
      <c r="BE151" s="81" t="s">
        <v>2943</v>
      </c>
      <c r="BF151" s="81" t="s">
        <v>2944</v>
      </c>
      <c r="BG151" s="81" t="s">
        <v>2945</v>
      </c>
      <c r="BH151" s="81" t="s">
        <v>4768</v>
      </c>
      <c r="BI151" s="81" t="s">
        <v>5072</v>
      </c>
      <c r="BJ151" s="81" t="s">
        <v>211</v>
      </c>
      <c r="BL151" s="81" t="s">
        <v>815</v>
      </c>
      <c r="BM151" s="81">
        <v>148</v>
      </c>
      <c r="BN151" s="81" t="str">
        <f t="shared" si="112"/>
        <v>='December 30'!C12</v>
      </c>
      <c r="BP151" s="81" t="str">
        <f t="shared" ca="1" si="123"/>
        <v/>
      </c>
      <c r="BR151" s="84">
        <f t="shared" si="116"/>
        <v>0</v>
      </c>
      <c r="BS151" s="84">
        <f t="shared" si="117"/>
        <v>0</v>
      </c>
      <c r="CA151" s="81" t="s">
        <v>2</v>
      </c>
      <c r="CB151" s="81">
        <f t="shared" si="124"/>
        <v>0</v>
      </c>
      <c r="CC151" s="81">
        <f t="shared" si="125"/>
        <v>0</v>
      </c>
      <c r="CD151" s="81" t="s">
        <v>16</v>
      </c>
      <c r="CE151" s="81">
        <f t="shared" si="126"/>
        <v>0</v>
      </c>
      <c r="CF151" s="81">
        <f t="shared" si="127"/>
        <v>0</v>
      </c>
      <c r="CG151" s="81" t="s">
        <v>5</v>
      </c>
      <c r="CH151" s="81">
        <f t="shared" si="128"/>
        <v>0</v>
      </c>
      <c r="CI151" s="81">
        <f t="shared" si="129"/>
        <v>0</v>
      </c>
      <c r="CJ151" s="81" t="s">
        <v>18</v>
      </c>
      <c r="CK151" s="81">
        <f t="shared" si="130"/>
        <v>0</v>
      </c>
      <c r="CL151" s="81">
        <f t="shared" si="131"/>
        <v>0</v>
      </c>
      <c r="CM151" s="81" t="s">
        <v>4</v>
      </c>
      <c r="CN151" s="81">
        <f t="shared" si="132"/>
        <v>0</v>
      </c>
      <c r="CO151" s="81">
        <f t="shared" si="133"/>
        <v>0</v>
      </c>
      <c r="CP151" s="81" t="s">
        <v>22</v>
      </c>
      <c r="CQ151" s="81">
        <f t="shared" si="134"/>
        <v>0</v>
      </c>
      <c r="CR151" s="81">
        <f t="shared" si="135"/>
        <v>0</v>
      </c>
      <c r="CS151" s="81" t="s">
        <v>21</v>
      </c>
      <c r="CT151" s="81">
        <f t="shared" si="136"/>
        <v>0</v>
      </c>
      <c r="CU151" s="81">
        <f t="shared" si="137"/>
        <v>0</v>
      </c>
      <c r="CV151" s="81" t="s">
        <v>998</v>
      </c>
      <c r="CW151" s="81">
        <f t="shared" si="138"/>
        <v>0</v>
      </c>
      <c r="CX151" s="81">
        <f t="shared" si="139"/>
        <v>0</v>
      </c>
      <c r="CY151" s="81" t="s">
        <v>19</v>
      </c>
      <c r="CZ151" s="81">
        <f t="shared" si="140"/>
        <v>0</v>
      </c>
      <c r="DA151" s="81">
        <f t="shared" si="141"/>
        <v>0</v>
      </c>
      <c r="DB151" s="81" t="s">
        <v>20</v>
      </c>
      <c r="DC151" s="81">
        <f t="shared" si="142"/>
        <v>0</v>
      </c>
      <c r="DD151" s="81">
        <f t="shared" si="143"/>
        <v>0</v>
      </c>
      <c r="DE151" s="81" t="s">
        <v>23</v>
      </c>
      <c r="DF151" s="81">
        <f t="shared" si="144"/>
        <v>0</v>
      </c>
      <c r="DG151" s="81">
        <f t="shared" si="145"/>
        <v>0</v>
      </c>
      <c r="DH151" s="81" t="s">
        <v>15</v>
      </c>
      <c r="DI151" s="81">
        <f t="shared" si="146"/>
        <v>0</v>
      </c>
      <c r="DJ151" s="81">
        <f t="shared" si="147"/>
        <v>0</v>
      </c>
      <c r="DK151" s="81" t="s">
        <v>5373</v>
      </c>
      <c r="DL151" s="81">
        <f t="shared" si="148"/>
        <v>0</v>
      </c>
      <c r="DM151" s="81">
        <f t="shared" si="149"/>
        <v>0</v>
      </c>
      <c r="DN151" s="81" t="s">
        <v>7</v>
      </c>
      <c r="DO151" s="81">
        <f t="shared" si="150"/>
        <v>0</v>
      </c>
      <c r="DP151" s="81">
        <f t="shared" si="151"/>
        <v>0</v>
      </c>
      <c r="DQ151" s="81" t="s">
        <v>1</v>
      </c>
      <c r="DR151" s="81">
        <f t="shared" si="152"/>
        <v>0</v>
      </c>
      <c r="DS151" s="81">
        <f t="shared" si="153"/>
        <v>0</v>
      </c>
    </row>
    <row r="152" spans="14:123" x14ac:dyDescent="0.3">
      <c r="N152" s="81">
        <f>IF(Q153=0,IF(Q152=0,,"x"),)</f>
        <v>0</v>
      </c>
      <c r="O152" s="81">
        <f t="shared" si="154"/>
        <v>0</v>
      </c>
      <c r="P152" s="81">
        <f t="shared" si="118"/>
        <v>0</v>
      </c>
      <c r="Q152" s="81">
        <f t="shared" si="155"/>
        <v>0</v>
      </c>
      <c r="R152" s="81">
        <f>IF(W152="",,SUM($W$4:W152))</f>
        <v>0</v>
      </c>
      <c r="S152" s="81">
        <f t="shared" si="119"/>
        <v>0</v>
      </c>
      <c r="T152" s="81">
        <f t="shared" si="156"/>
        <v>0</v>
      </c>
      <c r="U152" s="81">
        <f t="shared" si="120"/>
        <v>0</v>
      </c>
      <c r="V152" s="81" t="str">
        <f t="shared" ca="1" si="121"/>
        <v/>
      </c>
      <c r="X152" s="81">
        <f t="shared" si="113"/>
        <v>0</v>
      </c>
      <c r="Y152" s="81">
        <f t="shared" si="114"/>
        <v>0</v>
      </c>
      <c r="AE152" s="81">
        <v>152</v>
      </c>
      <c r="AI152" s="81">
        <v>149</v>
      </c>
      <c r="AJ152" s="81" t="str">
        <f t="shared" si="109"/>
        <v>Januari 31</v>
      </c>
      <c r="AK152" s="81" t="str">
        <f t="shared" si="158"/>
        <v>Januari</v>
      </c>
      <c r="AL152" s="81">
        <f t="shared" si="157"/>
        <v>31</v>
      </c>
      <c r="AM152" s="81" t="str">
        <f t="shared" si="122"/>
        <v>='Januari 31'!</v>
      </c>
      <c r="AN152" s="81" t="str">
        <f t="shared" si="115"/>
        <v>='Januari 31'!C27</v>
      </c>
      <c r="AO152" s="81" t="s">
        <v>1152</v>
      </c>
      <c r="AR152" s="81" t="s">
        <v>212</v>
      </c>
      <c r="AS152" s="83" t="str">
        <f t="shared" si="110"/>
        <v>='Januari 31'!C6</v>
      </c>
      <c r="AT152" s="83">
        <f t="shared" si="111"/>
        <v>0</v>
      </c>
      <c r="AV152" s="81" t="s">
        <v>513</v>
      </c>
      <c r="AW152" s="81" t="s">
        <v>2946</v>
      </c>
      <c r="AX152" s="81" t="s">
        <v>2947</v>
      </c>
      <c r="AY152" s="81" t="s">
        <v>2948</v>
      </c>
      <c r="AZ152" s="81" t="s">
        <v>2949</v>
      </c>
      <c r="BA152" s="81" t="s">
        <v>2950</v>
      </c>
      <c r="BB152" s="81" t="s">
        <v>2951</v>
      </c>
      <c r="BC152" s="81" t="s">
        <v>2952</v>
      </c>
      <c r="BD152" s="81" t="s">
        <v>2953</v>
      </c>
      <c r="BE152" s="81" t="s">
        <v>2954</v>
      </c>
      <c r="BF152" s="81" t="s">
        <v>2955</v>
      </c>
      <c r="BG152" s="81" t="s">
        <v>2956</v>
      </c>
      <c r="BH152" s="81" t="s">
        <v>4769</v>
      </c>
      <c r="BI152" s="81" t="s">
        <v>5073</v>
      </c>
      <c r="BJ152" s="81" t="s">
        <v>212</v>
      </c>
      <c r="BL152" s="81" t="s">
        <v>816</v>
      </c>
      <c r="BM152" s="81">
        <v>149</v>
      </c>
      <c r="BN152" s="81" t="str">
        <f t="shared" si="112"/>
        <v>='Januari 31'!C12</v>
      </c>
      <c r="BP152" s="81" t="str">
        <f t="shared" ca="1" si="123"/>
        <v/>
      </c>
      <c r="BR152" s="84">
        <f t="shared" si="116"/>
        <v>0</v>
      </c>
      <c r="BS152" s="84">
        <f t="shared" si="117"/>
        <v>0</v>
      </c>
      <c r="CA152" s="81" t="s">
        <v>2</v>
      </c>
      <c r="CB152" s="81">
        <f t="shared" si="124"/>
        <v>0</v>
      </c>
      <c r="CC152" s="81">
        <f t="shared" si="125"/>
        <v>0</v>
      </c>
      <c r="CD152" s="81" t="s">
        <v>16</v>
      </c>
      <c r="CE152" s="81">
        <f t="shared" si="126"/>
        <v>0</v>
      </c>
      <c r="CF152" s="81">
        <f t="shared" si="127"/>
        <v>0</v>
      </c>
      <c r="CG152" s="81" t="s">
        <v>5</v>
      </c>
      <c r="CH152" s="81">
        <f t="shared" si="128"/>
        <v>0</v>
      </c>
      <c r="CI152" s="81">
        <f t="shared" si="129"/>
        <v>0</v>
      </c>
      <c r="CJ152" s="81" t="s">
        <v>18</v>
      </c>
      <c r="CK152" s="81">
        <f t="shared" si="130"/>
        <v>0</v>
      </c>
      <c r="CL152" s="81">
        <f t="shared" si="131"/>
        <v>0</v>
      </c>
      <c r="CM152" s="81" t="s">
        <v>4</v>
      </c>
      <c r="CN152" s="81">
        <f t="shared" si="132"/>
        <v>0</v>
      </c>
      <c r="CO152" s="81">
        <f t="shared" si="133"/>
        <v>0</v>
      </c>
      <c r="CP152" s="81" t="s">
        <v>22</v>
      </c>
      <c r="CQ152" s="81">
        <f t="shared" si="134"/>
        <v>0</v>
      </c>
      <c r="CR152" s="81">
        <f t="shared" si="135"/>
        <v>0</v>
      </c>
      <c r="CS152" s="81" t="s">
        <v>21</v>
      </c>
      <c r="CT152" s="81">
        <f t="shared" si="136"/>
        <v>0</v>
      </c>
      <c r="CU152" s="81">
        <f t="shared" si="137"/>
        <v>0</v>
      </c>
      <c r="CV152" s="81" t="s">
        <v>998</v>
      </c>
      <c r="CW152" s="81">
        <f t="shared" si="138"/>
        <v>0</v>
      </c>
      <c r="CX152" s="81">
        <f t="shared" si="139"/>
        <v>0</v>
      </c>
      <c r="CY152" s="81" t="s">
        <v>19</v>
      </c>
      <c r="CZ152" s="81">
        <f t="shared" si="140"/>
        <v>0</v>
      </c>
      <c r="DA152" s="81">
        <f t="shared" si="141"/>
        <v>0</v>
      </c>
      <c r="DB152" s="81" t="s">
        <v>20</v>
      </c>
      <c r="DC152" s="81">
        <f t="shared" si="142"/>
        <v>0</v>
      </c>
      <c r="DD152" s="81">
        <f t="shared" si="143"/>
        <v>0</v>
      </c>
      <c r="DE152" s="81" t="s">
        <v>23</v>
      </c>
      <c r="DF152" s="81">
        <f t="shared" si="144"/>
        <v>0</v>
      </c>
      <c r="DG152" s="81">
        <f t="shared" si="145"/>
        <v>0</v>
      </c>
      <c r="DH152" s="81" t="s">
        <v>15</v>
      </c>
      <c r="DI152" s="81">
        <f t="shared" si="146"/>
        <v>0</v>
      </c>
      <c r="DJ152" s="81">
        <f t="shared" si="147"/>
        <v>0</v>
      </c>
      <c r="DK152" s="81" t="s">
        <v>5374</v>
      </c>
      <c r="DL152" s="81">
        <f t="shared" si="148"/>
        <v>0</v>
      </c>
      <c r="DM152" s="81">
        <f t="shared" si="149"/>
        <v>0</v>
      </c>
      <c r="DN152" s="81" t="s">
        <v>7</v>
      </c>
      <c r="DO152" s="81">
        <f t="shared" si="150"/>
        <v>0</v>
      </c>
      <c r="DP152" s="81">
        <f t="shared" si="151"/>
        <v>0</v>
      </c>
      <c r="DQ152" s="81" t="s">
        <v>1</v>
      </c>
      <c r="DR152" s="81">
        <f t="shared" si="152"/>
        <v>0</v>
      </c>
      <c r="DS152" s="81">
        <f t="shared" si="153"/>
        <v>0</v>
      </c>
    </row>
    <row r="153" spans="14:123" x14ac:dyDescent="0.3">
      <c r="N153" s="81">
        <f>IF(Q154=0,IF(Q153=0,,"x"),)</f>
        <v>0</v>
      </c>
      <c r="O153" s="81">
        <f t="shared" si="154"/>
        <v>0</v>
      </c>
      <c r="P153" s="81">
        <f t="shared" si="118"/>
        <v>0</v>
      </c>
      <c r="Q153" s="81">
        <f t="shared" si="155"/>
        <v>0</v>
      </c>
      <c r="R153" s="81">
        <f>IF(W153="",,SUM($W$4:W153))</f>
        <v>0</v>
      </c>
      <c r="S153" s="81">
        <f t="shared" si="119"/>
        <v>0</v>
      </c>
      <c r="T153" s="81">
        <f t="shared" si="156"/>
        <v>0</v>
      </c>
      <c r="U153" s="81">
        <f t="shared" si="120"/>
        <v>0</v>
      </c>
      <c r="V153" s="81" t="str">
        <f t="shared" ca="1" si="121"/>
        <v/>
      </c>
      <c r="X153" s="81">
        <f t="shared" si="113"/>
        <v>0</v>
      </c>
      <c r="Y153" s="81">
        <f t="shared" si="114"/>
        <v>0</v>
      </c>
      <c r="AE153" s="81">
        <v>153</v>
      </c>
      <c r="AI153" s="81">
        <v>150</v>
      </c>
      <c r="AJ153" s="81" t="str">
        <f t="shared" si="109"/>
        <v>Februari 31</v>
      </c>
      <c r="AK153" s="81" t="str">
        <f t="shared" si="158"/>
        <v>Februari</v>
      </c>
      <c r="AL153" s="81">
        <f t="shared" si="157"/>
        <v>31</v>
      </c>
      <c r="AM153" s="81" t="str">
        <f t="shared" si="122"/>
        <v>='Februari 31'!</v>
      </c>
      <c r="AN153" s="81" t="str">
        <f t="shared" si="115"/>
        <v>='Februari 31'!C27</v>
      </c>
      <c r="AO153" s="81" t="s">
        <v>1153</v>
      </c>
      <c r="AR153" s="81" t="s">
        <v>213</v>
      </c>
      <c r="AS153" s="83" t="str">
        <f t="shared" si="110"/>
        <v>='Februari 31'!C6</v>
      </c>
      <c r="AT153" s="83">
        <f t="shared" si="111"/>
        <v>0</v>
      </c>
      <c r="AV153" s="81" t="s">
        <v>514</v>
      </c>
      <c r="AW153" s="81" t="s">
        <v>2957</v>
      </c>
      <c r="AX153" s="81" t="s">
        <v>2958</v>
      </c>
      <c r="AY153" s="81" t="s">
        <v>2959</v>
      </c>
      <c r="AZ153" s="81" t="s">
        <v>2960</v>
      </c>
      <c r="BA153" s="81" t="s">
        <v>2961</v>
      </c>
      <c r="BB153" s="81" t="s">
        <v>2962</v>
      </c>
      <c r="BC153" s="81" t="s">
        <v>2963</v>
      </c>
      <c r="BD153" s="81" t="s">
        <v>2964</v>
      </c>
      <c r="BE153" s="81" t="s">
        <v>2965</v>
      </c>
      <c r="BF153" s="81" t="s">
        <v>2966</v>
      </c>
      <c r="BG153" s="81" t="s">
        <v>2967</v>
      </c>
      <c r="BH153" s="81" t="s">
        <v>4770</v>
      </c>
      <c r="BI153" s="81" t="s">
        <v>5074</v>
      </c>
      <c r="BJ153" s="81" t="s">
        <v>213</v>
      </c>
      <c r="BL153" s="81" t="s">
        <v>817</v>
      </c>
      <c r="BM153" s="81">
        <v>150</v>
      </c>
      <c r="BN153" s="81" t="str">
        <f t="shared" si="112"/>
        <v>='Februari 31'!C12</v>
      </c>
      <c r="BP153" s="81" t="str">
        <f t="shared" ca="1" si="123"/>
        <v/>
      </c>
      <c r="BR153" s="84">
        <f t="shared" si="116"/>
        <v>0</v>
      </c>
      <c r="BS153" s="84">
        <f t="shared" si="117"/>
        <v>0</v>
      </c>
      <c r="CA153" s="81" t="s">
        <v>2</v>
      </c>
      <c r="CB153" s="81">
        <f t="shared" si="124"/>
        <v>0</v>
      </c>
      <c r="CC153" s="81">
        <f t="shared" si="125"/>
        <v>0</v>
      </c>
      <c r="CD153" s="81" t="s">
        <v>16</v>
      </c>
      <c r="CE153" s="81">
        <f t="shared" si="126"/>
        <v>0</v>
      </c>
      <c r="CF153" s="81">
        <f t="shared" si="127"/>
        <v>0</v>
      </c>
      <c r="CG153" s="81" t="s">
        <v>5</v>
      </c>
      <c r="CH153" s="81">
        <f t="shared" si="128"/>
        <v>0</v>
      </c>
      <c r="CI153" s="81">
        <f t="shared" si="129"/>
        <v>0</v>
      </c>
      <c r="CJ153" s="81" t="s">
        <v>18</v>
      </c>
      <c r="CK153" s="81">
        <f t="shared" si="130"/>
        <v>0</v>
      </c>
      <c r="CL153" s="81">
        <f t="shared" si="131"/>
        <v>0</v>
      </c>
      <c r="CM153" s="81" t="s">
        <v>4</v>
      </c>
      <c r="CN153" s="81">
        <f t="shared" si="132"/>
        <v>0</v>
      </c>
      <c r="CO153" s="81">
        <f t="shared" si="133"/>
        <v>0</v>
      </c>
      <c r="CP153" s="81" t="s">
        <v>22</v>
      </c>
      <c r="CQ153" s="81">
        <f t="shared" si="134"/>
        <v>0</v>
      </c>
      <c r="CR153" s="81">
        <f t="shared" si="135"/>
        <v>0</v>
      </c>
      <c r="CS153" s="81" t="s">
        <v>21</v>
      </c>
      <c r="CT153" s="81">
        <f t="shared" si="136"/>
        <v>0</v>
      </c>
      <c r="CU153" s="81">
        <f t="shared" si="137"/>
        <v>0</v>
      </c>
      <c r="CV153" s="81" t="s">
        <v>998</v>
      </c>
      <c r="CW153" s="81">
        <f t="shared" si="138"/>
        <v>0</v>
      </c>
      <c r="CX153" s="81">
        <f t="shared" si="139"/>
        <v>0</v>
      </c>
      <c r="CY153" s="81" t="s">
        <v>19</v>
      </c>
      <c r="CZ153" s="81">
        <f t="shared" si="140"/>
        <v>0</v>
      </c>
      <c r="DA153" s="81">
        <f t="shared" si="141"/>
        <v>0</v>
      </c>
      <c r="DB153" s="81" t="s">
        <v>20</v>
      </c>
      <c r="DC153" s="81">
        <f t="shared" si="142"/>
        <v>0</v>
      </c>
      <c r="DD153" s="81">
        <f t="shared" si="143"/>
        <v>0</v>
      </c>
      <c r="DE153" s="81" t="s">
        <v>23</v>
      </c>
      <c r="DF153" s="81">
        <f t="shared" si="144"/>
        <v>0</v>
      </c>
      <c r="DG153" s="81">
        <f t="shared" si="145"/>
        <v>0</v>
      </c>
      <c r="DH153" s="81" t="s">
        <v>15</v>
      </c>
      <c r="DI153" s="81">
        <f t="shared" si="146"/>
        <v>0</v>
      </c>
      <c r="DJ153" s="81">
        <f t="shared" si="147"/>
        <v>0</v>
      </c>
      <c r="DK153" s="81" t="s">
        <v>5375</v>
      </c>
      <c r="DL153" s="81">
        <f t="shared" si="148"/>
        <v>0</v>
      </c>
      <c r="DM153" s="81">
        <f t="shared" si="149"/>
        <v>0</v>
      </c>
      <c r="DN153" s="81" t="s">
        <v>7</v>
      </c>
      <c r="DO153" s="81">
        <f t="shared" si="150"/>
        <v>0</v>
      </c>
      <c r="DP153" s="81">
        <f t="shared" si="151"/>
        <v>0</v>
      </c>
      <c r="DQ153" s="81" t="s">
        <v>1</v>
      </c>
      <c r="DR153" s="81">
        <f t="shared" si="152"/>
        <v>0</v>
      </c>
      <c r="DS153" s="81">
        <f t="shared" si="153"/>
        <v>0</v>
      </c>
    </row>
    <row r="154" spans="14:123" x14ac:dyDescent="0.3">
      <c r="N154" s="81">
        <f>IF(Q155=0,IF(Q154=0,,"x"),)</f>
        <v>0</v>
      </c>
      <c r="O154" s="81">
        <f t="shared" si="154"/>
        <v>0</v>
      </c>
      <c r="P154" s="81">
        <f t="shared" si="118"/>
        <v>0</v>
      </c>
      <c r="Q154" s="81">
        <f t="shared" si="155"/>
        <v>0</v>
      </c>
      <c r="R154" s="81">
        <f>IF(W154="",,SUM($W$4:W154))</f>
        <v>0</v>
      </c>
      <c r="S154" s="81">
        <f t="shared" si="119"/>
        <v>0</v>
      </c>
      <c r="T154" s="81">
        <f t="shared" si="156"/>
        <v>0</v>
      </c>
      <c r="U154" s="81">
        <f t="shared" si="120"/>
        <v>0</v>
      </c>
      <c r="V154" s="81" t="str">
        <f t="shared" ca="1" si="121"/>
        <v/>
      </c>
      <c r="X154" s="81">
        <f t="shared" si="113"/>
        <v>0</v>
      </c>
      <c r="Y154" s="81">
        <f t="shared" si="114"/>
        <v>0</v>
      </c>
      <c r="AE154" s="81">
        <v>154</v>
      </c>
      <c r="AI154" s="81">
        <v>151</v>
      </c>
      <c r="AJ154" s="81" t="str">
        <f t="shared" si="109"/>
        <v>Mars 31</v>
      </c>
      <c r="AK154" s="81" t="str">
        <f t="shared" si="158"/>
        <v>Mars</v>
      </c>
      <c r="AL154" s="81">
        <f t="shared" si="157"/>
        <v>31</v>
      </c>
      <c r="AM154" s="81" t="str">
        <f t="shared" si="122"/>
        <v>='Mars 31'!</v>
      </c>
      <c r="AN154" s="81" t="str">
        <f t="shared" si="115"/>
        <v>='Mars 31'!C27</v>
      </c>
      <c r="AO154" s="81" t="s">
        <v>1154</v>
      </c>
      <c r="AR154" s="81" t="s">
        <v>214</v>
      </c>
      <c r="AS154" s="83" t="str">
        <f t="shared" si="110"/>
        <v>='Mars 31'!C6</v>
      </c>
      <c r="AT154" s="83">
        <f t="shared" si="111"/>
        <v>0</v>
      </c>
      <c r="AV154" s="81" t="s">
        <v>515</v>
      </c>
      <c r="AW154" s="81" t="s">
        <v>2968</v>
      </c>
      <c r="AX154" s="81" t="s">
        <v>2969</v>
      </c>
      <c r="AY154" s="81" t="s">
        <v>2970</v>
      </c>
      <c r="AZ154" s="81" t="s">
        <v>2971</v>
      </c>
      <c r="BA154" s="81" t="s">
        <v>2972</v>
      </c>
      <c r="BB154" s="81" t="s">
        <v>2973</v>
      </c>
      <c r="BC154" s="81" t="s">
        <v>2974</v>
      </c>
      <c r="BD154" s="81" t="s">
        <v>2975</v>
      </c>
      <c r="BE154" s="81" t="s">
        <v>2976</v>
      </c>
      <c r="BF154" s="81" t="s">
        <v>2977</v>
      </c>
      <c r="BG154" s="81" t="s">
        <v>2978</v>
      </c>
      <c r="BH154" s="81" t="s">
        <v>4771</v>
      </c>
      <c r="BI154" s="81" t="s">
        <v>5075</v>
      </c>
      <c r="BJ154" s="81" t="s">
        <v>214</v>
      </c>
      <c r="BL154" s="81" t="s">
        <v>818</v>
      </c>
      <c r="BM154" s="81">
        <v>151</v>
      </c>
      <c r="BN154" s="81" t="str">
        <f t="shared" si="112"/>
        <v>='Mars 31'!C12</v>
      </c>
      <c r="BP154" s="81" t="str">
        <f t="shared" ca="1" si="123"/>
        <v/>
      </c>
      <c r="BR154" s="84">
        <f t="shared" si="116"/>
        <v>0</v>
      </c>
      <c r="BS154" s="84">
        <f t="shared" si="117"/>
        <v>0</v>
      </c>
      <c r="CA154" s="81" t="s">
        <v>2</v>
      </c>
      <c r="CB154" s="81">
        <f t="shared" si="124"/>
        <v>0</v>
      </c>
      <c r="CC154" s="81">
        <f t="shared" si="125"/>
        <v>0</v>
      </c>
      <c r="CD154" s="81" t="s">
        <v>16</v>
      </c>
      <c r="CE154" s="81">
        <f t="shared" si="126"/>
        <v>0</v>
      </c>
      <c r="CF154" s="81">
        <f t="shared" si="127"/>
        <v>0</v>
      </c>
      <c r="CG154" s="81" t="s">
        <v>5</v>
      </c>
      <c r="CH154" s="81">
        <f t="shared" si="128"/>
        <v>0</v>
      </c>
      <c r="CI154" s="81">
        <f t="shared" si="129"/>
        <v>0</v>
      </c>
      <c r="CJ154" s="81" t="s">
        <v>18</v>
      </c>
      <c r="CK154" s="81">
        <f t="shared" si="130"/>
        <v>0</v>
      </c>
      <c r="CL154" s="81">
        <f t="shared" si="131"/>
        <v>0</v>
      </c>
      <c r="CM154" s="81" t="s">
        <v>4</v>
      </c>
      <c r="CN154" s="81">
        <f t="shared" si="132"/>
        <v>0</v>
      </c>
      <c r="CO154" s="81">
        <f t="shared" si="133"/>
        <v>0</v>
      </c>
      <c r="CP154" s="81" t="s">
        <v>22</v>
      </c>
      <c r="CQ154" s="81">
        <f t="shared" si="134"/>
        <v>0</v>
      </c>
      <c r="CR154" s="81">
        <f t="shared" si="135"/>
        <v>0</v>
      </c>
      <c r="CS154" s="81" t="s">
        <v>21</v>
      </c>
      <c r="CT154" s="81">
        <f t="shared" si="136"/>
        <v>0</v>
      </c>
      <c r="CU154" s="81">
        <f t="shared" si="137"/>
        <v>0</v>
      </c>
      <c r="CV154" s="81" t="s">
        <v>998</v>
      </c>
      <c r="CW154" s="81">
        <f t="shared" si="138"/>
        <v>0</v>
      </c>
      <c r="CX154" s="81">
        <f t="shared" si="139"/>
        <v>0</v>
      </c>
      <c r="CY154" s="81" t="s">
        <v>19</v>
      </c>
      <c r="CZ154" s="81">
        <f t="shared" si="140"/>
        <v>0</v>
      </c>
      <c r="DA154" s="81">
        <f t="shared" si="141"/>
        <v>0</v>
      </c>
      <c r="DB154" s="81" t="s">
        <v>20</v>
      </c>
      <c r="DC154" s="81">
        <f t="shared" si="142"/>
        <v>0</v>
      </c>
      <c r="DD154" s="81">
        <f t="shared" si="143"/>
        <v>0</v>
      </c>
      <c r="DE154" s="81" t="s">
        <v>23</v>
      </c>
      <c r="DF154" s="81">
        <f t="shared" si="144"/>
        <v>0</v>
      </c>
      <c r="DG154" s="81">
        <f t="shared" si="145"/>
        <v>0</v>
      </c>
      <c r="DH154" s="81" t="s">
        <v>15</v>
      </c>
      <c r="DI154" s="81">
        <f t="shared" si="146"/>
        <v>0</v>
      </c>
      <c r="DJ154" s="81">
        <f t="shared" si="147"/>
        <v>0</v>
      </c>
      <c r="DK154" s="81" t="s">
        <v>5376</v>
      </c>
      <c r="DL154" s="81">
        <f t="shared" si="148"/>
        <v>0</v>
      </c>
      <c r="DM154" s="81">
        <f t="shared" si="149"/>
        <v>0</v>
      </c>
      <c r="DN154" s="81" t="s">
        <v>7</v>
      </c>
      <c r="DO154" s="81">
        <f t="shared" si="150"/>
        <v>0</v>
      </c>
      <c r="DP154" s="81">
        <f t="shared" si="151"/>
        <v>0</v>
      </c>
      <c r="DQ154" s="81" t="s">
        <v>1</v>
      </c>
      <c r="DR154" s="81">
        <f t="shared" si="152"/>
        <v>0</v>
      </c>
      <c r="DS154" s="81">
        <f t="shared" si="153"/>
        <v>0</v>
      </c>
    </row>
    <row r="155" spans="14:123" x14ac:dyDescent="0.3">
      <c r="N155" s="81">
        <f>IF(Q156=0,IF(Q155=0,,"x"),)</f>
        <v>0</v>
      </c>
      <c r="O155" s="81">
        <f t="shared" si="154"/>
        <v>0</v>
      </c>
      <c r="P155" s="81">
        <f t="shared" si="118"/>
        <v>0</v>
      </c>
      <c r="Q155" s="81">
        <f t="shared" si="155"/>
        <v>0</v>
      </c>
      <c r="R155" s="81">
        <f>IF(W155="",,SUM($W$4:W155))</f>
        <v>0</v>
      </c>
      <c r="S155" s="81">
        <f t="shared" si="119"/>
        <v>0</v>
      </c>
      <c r="T155" s="81">
        <f t="shared" si="156"/>
        <v>0</v>
      </c>
      <c r="U155" s="81">
        <f t="shared" si="120"/>
        <v>0</v>
      </c>
      <c r="V155" s="81" t="str">
        <f t="shared" ca="1" si="121"/>
        <v/>
      </c>
      <c r="X155" s="81">
        <f t="shared" si="113"/>
        <v>0</v>
      </c>
      <c r="Y155" s="81">
        <f t="shared" si="114"/>
        <v>0</v>
      </c>
      <c r="AE155" s="81">
        <v>155</v>
      </c>
      <c r="AI155" s="81">
        <v>152</v>
      </c>
      <c r="AJ155" s="81" t="str">
        <f t="shared" si="109"/>
        <v>April 31</v>
      </c>
      <c r="AK155" s="81" t="str">
        <f t="shared" si="158"/>
        <v>April</v>
      </c>
      <c r="AL155" s="81">
        <f t="shared" si="157"/>
        <v>31</v>
      </c>
      <c r="AM155" s="81" t="str">
        <f t="shared" si="122"/>
        <v>='April 31'!</v>
      </c>
      <c r="AN155" s="81" t="str">
        <f t="shared" si="115"/>
        <v>='April 31'!C27</v>
      </c>
      <c r="AO155" s="81" t="s">
        <v>1155</v>
      </c>
      <c r="AR155" s="81" t="s">
        <v>215</v>
      </c>
      <c r="AS155" s="83" t="str">
        <f t="shared" si="110"/>
        <v>='April 31'!C6</v>
      </c>
      <c r="AT155" s="83">
        <f t="shared" si="111"/>
        <v>0</v>
      </c>
      <c r="AV155" s="81" t="s">
        <v>516</v>
      </c>
      <c r="AW155" s="81" t="s">
        <v>2979</v>
      </c>
      <c r="AX155" s="81" t="s">
        <v>2980</v>
      </c>
      <c r="AY155" s="81" t="s">
        <v>2981</v>
      </c>
      <c r="AZ155" s="81" t="s">
        <v>2982</v>
      </c>
      <c r="BA155" s="81" t="s">
        <v>2983</v>
      </c>
      <c r="BB155" s="81" t="s">
        <v>2984</v>
      </c>
      <c r="BC155" s="81" t="s">
        <v>2985</v>
      </c>
      <c r="BD155" s="81" t="s">
        <v>2986</v>
      </c>
      <c r="BE155" s="81" t="s">
        <v>2987</v>
      </c>
      <c r="BF155" s="81" t="s">
        <v>2988</v>
      </c>
      <c r="BG155" s="81" t="s">
        <v>2989</v>
      </c>
      <c r="BH155" s="81" t="s">
        <v>4772</v>
      </c>
      <c r="BI155" s="81" t="s">
        <v>5076</v>
      </c>
      <c r="BJ155" s="81" t="s">
        <v>215</v>
      </c>
      <c r="BL155" s="81" t="s">
        <v>819</v>
      </c>
      <c r="BM155" s="81">
        <v>152</v>
      </c>
      <c r="BN155" s="81" t="str">
        <f t="shared" si="112"/>
        <v>='April 31'!C12</v>
      </c>
      <c r="BP155" s="81" t="str">
        <f t="shared" ca="1" si="123"/>
        <v/>
      </c>
      <c r="BR155" s="84">
        <f t="shared" si="116"/>
        <v>0</v>
      </c>
      <c r="BS155" s="84">
        <f t="shared" si="117"/>
        <v>0</v>
      </c>
      <c r="CA155" s="81" t="s">
        <v>2</v>
      </c>
      <c r="CB155" s="81">
        <f t="shared" si="124"/>
        <v>0</v>
      </c>
      <c r="CC155" s="81">
        <f t="shared" si="125"/>
        <v>0</v>
      </c>
      <c r="CD155" s="81" t="s">
        <v>16</v>
      </c>
      <c r="CE155" s="81">
        <f t="shared" si="126"/>
        <v>0</v>
      </c>
      <c r="CF155" s="81">
        <f t="shared" si="127"/>
        <v>0</v>
      </c>
      <c r="CG155" s="81" t="s">
        <v>5</v>
      </c>
      <c r="CH155" s="81">
        <f t="shared" si="128"/>
        <v>0</v>
      </c>
      <c r="CI155" s="81">
        <f t="shared" si="129"/>
        <v>0</v>
      </c>
      <c r="CJ155" s="81" t="s">
        <v>18</v>
      </c>
      <c r="CK155" s="81">
        <f t="shared" si="130"/>
        <v>0</v>
      </c>
      <c r="CL155" s="81">
        <f t="shared" si="131"/>
        <v>0</v>
      </c>
      <c r="CM155" s="81" t="s">
        <v>4</v>
      </c>
      <c r="CN155" s="81">
        <f t="shared" si="132"/>
        <v>0</v>
      </c>
      <c r="CO155" s="81">
        <f t="shared" si="133"/>
        <v>0</v>
      </c>
      <c r="CP155" s="81" t="s">
        <v>22</v>
      </c>
      <c r="CQ155" s="81">
        <f t="shared" si="134"/>
        <v>0</v>
      </c>
      <c r="CR155" s="81">
        <f t="shared" si="135"/>
        <v>0</v>
      </c>
      <c r="CS155" s="81" t="s">
        <v>21</v>
      </c>
      <c r="CT155" s="81">
        <f t="shared" si="136"/>
        <v>0</v>
      </c>
      <c r="CU155" s="81">
        <f t="shared" si="137"/>
        <v>0</v>
      </c>
      <c r="CV155" s="81" t="s">
        <v>998</v>
      </c>
      <c r="CW155" s="81">
        <f t="shared" si="138"/>
        <v>0</v>
      </c>
      <c r="CX155" s="81">
        <f t="shared" si="139"/>
        <v>0</v>
      </c>
      <c r="CY155" s="81" t="s">
        <v>19</v>
      </c>
      <c r="CZ155" s="81">
        <f t="shared" si="140"/>
        <v>0</v>
      </c>
      <c r="DA155" s="81">
        <f t="shared" si="141"/>
        <v>0</v>
      </c>
      <c r="DB155" s="81" t="s">
        <v>20</v>
      </c>
      <c r="DC155" s="81">
        <f t="shared" si="142"/>
        <v>0</v>
      </c>
      <c r="DD155" s="81">
        <f t="shared" si="143"/>
        <v>0</v>
      </c>
      <c r="DE155" s="81" t="s">
        <v>23</v>
      </c>
      <c r="DF155" s="81">
        <f t="shared" si="144"/>
        <v>0</v>
      </c>
      <c r="DG155" s="81">
        <f t="shared" si="145"/>
        <v>0</v>
      </c>
      <c r="DH155" s="81" t="s">
        <v>15</v>
      </c>
      <c r="DI155" s="81">
        <f t="shared" si="146"/>
        <v>0</v>
      </c>
      <c r="DJ155" s="81">
        <f t="shared" si="147"/>
        <v>0</v>
      </c>
      <c r="DK155" s="81" t="s">
        <v>5377</v>
      </c>
      <c r="DL155" s="81">
        <f t="shared" si="148"/>
        <v>0</v>
      </c>
      <c r="DM155" s="81">
        <f t="shared" si="149"/>
        <v>0</v>
      </c>
      <c r="DN155" s="81" t="s">
        <v>7</v>
      </c>
      <c r="DO155" s="81">
        <f t="shared" si="150"/>
        <v>0</v>
      </c>
      <c r="DP155" s="81">
        <f t="shared" si="151"/>
        <v>0</v>
      </c>
      <c r="DQ155" s="81" t="s">
        <v>1</v>
      </c>
      <c r="DR155" s="81">
        <f t="shared" si="152"/>
        <v>0</v>
      </c>
      <c r="DS155" s="81">
        <f t="shared" si="153"/>
        <v>0</v>
      </c>
    </row>
    <row r="156" spans="14:123" x14ac:dyDescent="0.3">
      <c r="N156" s="81">
        <f>IF(Q157=0,IF(Q156=0,,"x"),)</f>
        <v>0</v>
      </c>
      <c r="O156" s="81">
        <f t="shared" si="154"/>
        <v>0</v>
      </c>
      <c r="P156" s="81">
        <f t="shared" si="118"/>
        <v>0</v>
      </c>
      <c r="Q156" s="81">
        <f t="shared" si="155"/>
        <v>0</v>
      </c>
      <c r="R156" s="81">
        <f>IF(W156="",,SUM($W$4:W156))</f>
        <v>0</v>
      </c>
      <c r="S156" s="81">
        <f t="shared" si="119"/>
        <v>0</v>
      </c>
      <c r="T156" s="81">
        <f t="shared" si="156"/>
        <v>0</v>
      </c>
      <c r="U156" s="81">
        <f t="shared" si="120"/>
        <v>0</v>
      </c>
      <c r="V156" s="81" t="str">
        <f t="shared" ca="1" si="121"/>
        <v/>
      </c>
      <c r="X156" s="81">
        <f t="shared" si="113"/>
        <v>0</v>
      </c>
      <c r="Y156" s="81">
        <f t="shared" si="114"/>
        <v>0</v>
      </c>
      <c r="AE156" s="81">
        <v>156</v>
      </c>
      <c r="AI156" s="81">
        <v>153</v>
      </c>
      <c r="AJ156" s="81" t="str">
        <f t="shared" si="109"/>
        <v>Maj 31</v>
      </c>
      <c r="AK156" s="81" t="str">
        <f t="shared" si="158"/>
        <v>Maj</v>
      </c>
      <c r="AL156" s="81">
        <f t="shared" si="157"/>
        <v>31</v>
      </c>
      <c r="AM156" s="81" t="str">
        <f t="shared" si="122"/>
        <v>='Maj 31'!</v>
      </c>
      <c r="AN156" s="81" t="str">
        <f t="shared" si="115"/>
        <v>='Maj 31'!C27</v>
      </c>
      <c r="AO156" s="81" t="s">
        <v>1156</v>
      </c>
      <c r="AR156" s="81" t="s">
        <v>216</v>
      </c>
      <c r="AS156" s="83" t="str">
        <f t="shared" si="110"/>
        <v>='Maj 31'!C6</v>
      </c>
      <c r="AT156" s="83">
        <f t="shared" si="111"/>
        <v>0</v>
      </c>
      <c r="AV156" s="81" t="s">
        <v>517</v>
      </c>
      <c r="AW156" s="81" t="s">
        <v>2990</v>
      </c>
      <c r="AX156" s="81" t="s">
        <v>2991</v>
      </c>
      <c r="AY156" s="81" t="s">
        <v>2992</v>
      </c>
      <c r="AZ156" s="81" t="s">
        <v>2993</v>
      </c>
      <c r="BA156" s="81" t="s">
        <v>2994</v>
      </c>
      <c r="BB156" s="81" t="s">
        <v>2995</v>
      </c>
      <c r="BC156" s="81" t="s">
        <v>2996</v>
      </c>
      <c r="BD156" s="81" t="s">
        <v>2997</v>
      </c>
      <c r="BE156" s="81" t="s">
        <v>2998</v>
      </c>
      <c r="BF156" s="81" t="s">
        <v>2999</v>
      </c>
      <c r="BG156" s="81" t="s">
        <v>3000</v>
      </c>
      <c r="BH156" s="81" t="s">
        <v>4773</v>
      </c>
      <c r="BI156" s="81" t="s">
        <v>5077</v>
      </c>
      <c r="BJ156" s="81" t="s">
        <v>216</v>
      </c>
      <c r="BL156" s="81" t="s">
        <v>820</v>
      </c>
      <c r="BM156" s="81">
        <v>153</v>
      </c>
      <c r="BN156" s="81" t="str">
        <f t="shared" si="112"/>
        <v>='Maj 31'!C12</v>
      </c>
      <c r="BP156" s="81" t="str">
        <f t="shared" ca="1" si="123"/>
        <v/>
      </c>
      <c r="BR156" s="84">
        <f t="shared" si="116"/>
        <v>0</v>
      </c>
      <c r="BS156" s="84">
        <f t="shared" si="117"/>
        <v>0</v>
      </c>
      <c r="CA156" s="81" t="s">
        <v>2</v>
      </c>
      <c r="CB156" s="81">
        <f t="shared" si="124"/>
        <v>0</v>
      </c>
      <c r="CC156" s="81">
        <f t="shared" si="125"/>
        <v>0</v>
      </c>
      <c r="CD156" s="81" t="s">
        <v>16</v>
      </c>
      <c r="CE156" s="81">
        <f t="shared" si="126"/>
        <v>0</v>
      </c>
      <c r="CF156" s="81">
        <f t="shared" si="127"/>
        <v>0</v>
      </c>
      <c r="CG156" s="81" t="s">
        <v>5</v>
      </c>
      <c r="CH156" s="81">
        <f t="shared" si="128"/>
        <v>0</v>
      </c>
      <c r="CI156" s="81">
        <f t="shared" si="129"/>
        <v>0</v>
      </c>
      <c r="CJ156" s="81" t="s">
        <v>18</v>
      </c>
      <c r="CK156" s="81">
        <f t="shared" si="130"/>
        <v>0</v>
      </c>
      <c r="CL156" s="81">
        <f t="shared" si="131"/>
        <v>0</v>
      </c>
      <c r="CM156" s="81" t="s">
        <v>4</v>
      </c>
      <c r="CN156" s="81">
        <f t="shared" si="132"/>
        <v>0</v>
      </c>
      <c r="CO156" s="81">
        <f t="shared" si="133"/>
        <v>0</v>
      </c>
      <c r="CP156" s="81" t="s">
        <v>22</v>
      </c>
      <c r="CQ156" s="81">
        <f t="shared" si="134"/>
        <v>0</v>
      </c>
      <c r="CR156" s="81">
        <f t="shared" si="135"/>
        <v>0</v>
      </c>
      <c r="CS156" s="81" t="s">
        <v>21</v>
      </c>
      <c r="CT156" s="81">
        <f t="shared" si="136"/>
        <v>0</v>
      </c>
      <c r="CU156" s="81">
        <f t="shared" si="137"/>
        <v>0</v>
      </c>
      <c r="CV156" s="81" t="s">
        <v>998</v>
      </c>
      <c r="CW156" s="81">
        <f t="shared" si="138"/>
        <v>0</v>
      </c>
      <c r="CX156" s="81">
        <f t="shared" si="139"/>
        <v>0</v>
      </c>
      <c r="CY156" s="81" t="s">
        <v>19</v>
      </c>
      <c r="CZ156" s="81">
        <f t="shared" si="140"/>
        <v>0</v>
      </c>
      <c r="DA156" s="81">
        <f t="shared" si="141"/>
        <v>0</v>
      </c>
      <c r="DB156" s="81" t="s">
        <v>20</v>
      </c>
      <c r="DC156" s="81">
        <f t="shared" si="142"/>
        <v>0</v>
      </c>
      <c r="DD156" s="81">
        <f t="shared" si="143"/>
        <v>0</v>
      </c>
      <c r="DE156" s="81" t="s">
        <v>23</v>
      </c>
      <c r="DF156" s="81">
        <f t="shared" si="144"/>
        <v>0</v>
      </c>
      <c r="DG156" s="81">
        <f t="shared" si="145"/>
        <v>0</v>
      </c>
      <c r="DH156" s="81" t="s">
        <v>15</v>
      </c>
      <c r="DI156" s="81">
        <f t="shared" si="146"/>
        <v>0</v>
      </c>
      <c r="DJ156" s="81">
        <f t="shared" si="147"/>
        <v>0</v>
      </c>
      <c r="DK156" s="81" t="s">
        <v>5378</v>
      </c>
      <c r="DL156" s="81">
        <f t="shared" si="148"/>
        <v>0</v>
      </c>
      <c r="DM156" s="81">
        <f t="shared" si="149"/>
        <v>0</v>
      </c>
      <c r="DN156" s="81" t="s">
        <v>7</v>
      </c>
      <c r="DO156" s="81">
        <f t="shared" si="150"/>
        <v>0</v>
      </c>
      <c r="DP156" s="81">
        <f t="shared" si="151"/>
        <v>0</v>
      </c>
      <c r="DQ156" s="81" t="s">
        <v>1</v>
      </c>
      <c r="DR156" s="81">
        <f t="shared" si="152"/>
        <v>0</v>
      </c>
      <c r="DS156" s="81">
        <f t="shared" si="153"/>
        <v>0</v>
      </c>
    </row>
    <row r="157" spans="14:123" x14ac:dyDescent="0.3">
      <c r="N157" s="81">
        <f>IF(Q158=0,IF(Q157=0,,"x"),)</f>
        <v>0</v>
      </c>
      <c r="O157" s="81">
        <f t="shared" si="154"/>
        <v>0</v>
      </c>
      <c r="P157" s="81">
        <f t="shared" si="118"/>
        <v>0</v>
      </c>
      <c r="Q157" s="81">
        <f t="shared" si="155"/>
        <v>0</v>
      </c>
      <c r="R157" s="81">
        <f>IF(W157="",,SUM($W$4:W157))</f>
        <v>0</v>
      </c>
      <c r="S157" s="81">
        <f t="shared" si="119"/>
        <v>0</v>
      </c>
      <c r="T157" s="81">
        <f t="shared" si="156"/>
        <v>0</v>
      </c>
      <c r="U157" s="81">
        <f t="shared" si="120"/>
        <v>0</v>
      </c>
      <c r="V157" s="81" t="str">
        <f t="shared" ca="1" si="121"/>
        <v/>
      </c>
      <c r="X157" s="81">
        <f t="shared" si="113"/>
        <v>0</v>
      </c>
      <c r="Y157" s="81">
        <f t="shared" si="114"/>
        <v>0</v>
      </c>
      <c r="AE157" s="81">
        <v>157</v>
      </c>
      <c r="AI157" s="81">
        <v>154</v>
      </c>
      <c r="AJ157" s="81" t="str">
        <f t="shared" si="109"/>
        <v>Juni 31</v>
      </c>
      <c r="AK157" s="81" t="str">
        <f t="shared" si="158"/>
        <v>Juni</v>
      </c>
      <c r="AL157" s="81">
        <f t="shared" si="157"/>
        <v>31</v>
      </c>
      <c r="AM157" s="81" t="str">
        <f t="shared" si="122"/>
        <v>='Juni 31'!</v>
      </c>
      <c r="AN157" s="81" t="str">
        <f t="shared" si="115"/>
        <v>='Juni 31'!C27</v>
      </c>
      <c r="AO157" s="81" t="s">
        <v>1157</v>
      </c>
      <c r="AR157" s="81" t="s">
        <v>217</v>
      </c>
      <c r="AS157" s="83" t="str">
        <f t="shared" si="110"/>
        <v>='Juni 31'!C6</v>
      </c>
      <c r="AT157" s="83">
        <f t="shared" si="111"/>
        <v>0</v>
      </c>
      <c r="AV157" s="81" t="s">
        <v>518</v>
      </c>
      <c r="AW157" s="81" t="s">
        <v>3001</v>
      </c>
      <c r="AX157" s="81" t="s">
        <v>3002</v>
      </c>
      <c r="AY157" s="81" t="s">
        <v>3003</v>
      </c>
      <c r="AZ157" s="81" t="s">
        <v>3004</v>
      </c>
      <c r="BA157" s="81" t="s">
        <v>3005</v>
      </c>
      <c r="BB157" s="81" t="s">
        <v>3006</v>
      </c>
      <c r="BC157" s="81" t="s">
        <v>3007</v>
      </c>
      <c r="BD157" s="81" t="s">
        <v>3008</v>
      </c>
      <c r="BE157" s="81" t="s">
        <v>3009</v>
      </c>
      <c r="BF157" s="81" t="s">
        <v>3010</v>
      </c>
      <c r="BG157" s="81" t="s">
        <v>3011</v>
      </c>
      <c r="BH157" s="81" t="s">
        <v>4774</v>
      </c>
      <c r="BI157" s="81" t="s">
        <v>5078</v>
      </c>
      <c r="BJ157" s="81" t="s">
        <v>217</v>
      </c>
      <c r="BL157" s="81" t="s">
        <v>821</v>
      </c>
      <c r="BM157" s="81">
        <v>154</v>
      </c>
      <c r="BN157" s="81" t="str">
        <f t="shared" si="112"/>
        <v>='Juni 31'!C12</v>
      </c>
      <c r="BP157" s="81" t="str">
        <f t="shared" ca="1" si="123"/>
        <v/>
      </c>
      <c r="BR157" s="84">
        <f t="shared" si="116"/>
        <v>0</v>
      </c>
      <c r="BS157" s="84">
        <f t="shared" si="117"/>
        <v>0</v>
      </c>
      <c r="CA157" s="81" t="s">
        <v>2</v>
      </c>
      <c r="CB157" s="81">
        <f t="shared" si="124"/>
        <v>0</v>
      </c>
      <c r="CC157" s="81">
        <f t="shared" si="125"/>
        <v>0</v>
      </c>
      <c r="CD157" s="81" t="s">
        <v>16</v>
      </c>
      <c r="CE157" s="81">
        <f t="shared" si="126"/>
        <v>0</v>
      </c>
      <c r="CF157" s="81">
        <f t="shared" si="127"/>
        <v>0</v>
      </c>
      <c r="CG157" s="81" t="s">
        <v>5</v>
      </c>
      <c r="CH157" s="81">
        <f t="shared" si="128"/>
        <v>0</v>
      </c>
      <c r="CI157" s="81">
        <f t="shared" si="129"/>
        <v>0</v>
      </c>
      <c r="CJ157" s="81" t="s">
        <v>18</v>
      </c>
      <c r="CK157" s="81">
        <f t="shared" si="130"/>
        <v>0</v>
      </c>
      <c r="CL157" s="81">
        <f t="shared" si="131"/>
        <v>0</v>
      </c>
      <c r="CM157" s="81" t="s">
        <v>4</v>
      </c>
      <c r="CN157" s="81">
        <f t="shared" si="132"/>
        <v>0</v>
      </c>
      <c r="CO157" s="81">
        <f t="shared" si="133"/>
        <v>0</v>
      </c>
      <c r="CP157" s="81" t="s">
        <v>22</v>
      </c>
      <c r="CQ157" s="81">
        <f t="shared" si="134"/>
        <v>0</v>
      </c>
      <c r="CR157" s="81">
        <f t="shared" si="135"/>
        <v>0</v>
      </c>
      <c r="CS157" s="81" t="s">
        <v>21</v>
      </c>
      <c r="CT157" s="81">
        <f t="shared" si="136"/>
        <v>0</v>
      </c>
      <c r="CU157" s="81">
        <f t="shared" si="137"/>
        <v>0</v>
      </c>
      <c r="CV157" s="81" t="s">
        <v>998</v>
      </c>
      <c r="CW157" s="81">
        <f t="shared" si="138"/>
        <v>0</v>
      </c>
      <c r="CX157" s="81">
        <f t="shared" si="139"/>
        <v>0</v>
      </c>
      <c r="CY157" s="81" t="s">
        <v>19</v>
      </c>
      <c r="CZ157" s="81">
        <f t="shared" si="140"/>
        <v>0</v>
      </c>
      <c r="DA157" s="81">
        <f t="shared" si="141"/>
        <v>0</v>
      </c>
      <c r="DB157" s="81" t="s">
        <v>20</v>
      </c>
      <c r="DC157" s="81">
        <f t="shared" si="142"/>
        <v>0</v>
      </c>
      <c r="DD157" s="81">
        <f t="shared" si="143"/>
        <v>0</v>
      </c>
      <c r="DE157" s="81" t="s">
        <v>23</v>
      </c>
      <c r="DF157" s="81">
        <f t="shared" si="144"/>
        <v>0</v>
      </c>
      <c r="DG157" s="81">
        <f t="shared" si="145"/>
        <v>0</v>
      </c>
      <c r="DH157" s="81" t="s">
        <v>15</v>
      </c>
      <c r="DI157" s="81">
        <f t="shared" si="146"/>
        <v>0</v>
      </c>
      <c r="DJ157" s="81">
        <f t="shared" si="147"/>
        <v>0</v>
      </c>
      <c r="DK157" s="81" t="s">
        <v>5379</v>
      </c>
      <c r="DL157" s="81">
        <f t="shared" si="148"/>
        <v>0</v>
      </c>
      <c r="DM157" s="81">
        <f t="shared" si="149"/>
        <v>0</v>
      </c>
      <c r="DN157" s="81" t="s">
        <v>7</v>
      </c>
      <c r="DO157" s="81">
        <f t="shared" si="150"/>
        <v>0</v>
      </c>
      <c r="DP157" s="81">
        <f t="shared" si="151"/>
        <v>0</v>
      </c>
      <c r="DQ157" s="81" t="s">
        <v>1</v>
      </c>
      <c r="DR157" s="81">
        <f t="shared" si="152"/>
        <v>0</v>
      </c>
      <c r="DS157" s="81">
        <f t="shared" si="153"/>
        <v>0</v>
      </c>
    </row>
    <row r="158" spans="14:123" x14ac:dyDescent="0.3">
      <c r="N158" s="81">
        <f>IF(Q159=0,IF(Q158=0,,"x"),)</f>
        <v>0</v>
      </c>
      <c r="O158" s="81">
        <f t="shared" si="154"/>
        <v>0</v>
      </c>
      <c r="P158" s="81">
        <f t="shared" si="118"/>
        <v>0</v>
      </c>
      <c r="Q158" s="81">
        <f t="shared" si="155"/>
        <v>0</v>
      </c>
      <c r="R158" s="81">
        <f>IF(W158="",,SUM($W$4:W158))</f>
        <v>0</v>
      </c>
      <c r="S158" s="81">
        <f t="shared" si="119"/>
        <v>0</v>
      </c>
      <c r="T158" s="81">
        <f t="shared" si="156"/>
        <v>0</v>
      </c>
      <c r="U158" s="81">
        <f t="shared" si="120"/>
        <v>0</v>
      </c>
      <c r="V158" s="81" t="str">
        <f t="shared" ca="1" si="121"/>
        <v/>
      </c>
      <c r="X158" s="81">
        <f t="shared" si="113"/>
        <v>0</v>
      </c>
      <c r="Y158" s="81">
        <f t="shared" si="114"/>
        <v>0</v>
      </c>
      <c r="AE158" s="81">
        <v>158</v>
      </c>
      <c r="AI158" s="81">
        <v>155</v>
      </c>
      <c r="AJ158" s="81" t="str">
        <f t="shared" si="109"/>
        <v>Juli 31</v>
      </c>
      <c r="AK158" s="81" t="str">
        <f t="shared" si="158"/>
        <v>Juli</v>
      </c>
      <c r="AL158" s="81">
        <f t="shared" si="157"/>
        <v>31</v>
      </c>
      <c r="AM158" s="81" t="str">
        <f t="shared" si="122"/>
        <v>='Juli 31'!</v>
      </c>
      <c r="AN158" s="81" t="str">
        <f t="shared" si="115"/>
        <v>='Juli 31'!C27</v>
      </c>
      <c r="AO158" s="81" t="s">
        <v>1158</v>
      </c>
      <c r="AR158" s="81" t="s">
        <v>218</v>
      </c>
      <c r="AS158" s="83" t="str">
        <f t="shared" si="110"/>
        <v>='Juli 31'!C6</v>
      </c>
      <c r="AT158" s="83">
        <f t="shared" si="111"/>
        <v>0</v>
      </c>
      <c r="AV158" s="81" t="s">
        <v>519</v>
      </c>
      <c r="AW158" s="81" t="s">
        <v>3012</v>
      </c>
      <c r="AX158" s="81" t="s">
        <v>3013</v>
      </c>
      <c r="AY158" s="81" t="s">
        <v>3014</v>
      </c>
      <c r="AZ158" s="81" t="s">
        <v>3015</v>
      </c>
      <c r="BA158" s="81" t="s">
        <v>3016</v>
      </c>
      <c r="BB158" s="81" t="s">
        <v>3017</v>
      </c>
      <c r="BC158" s="81" t="s">
        <v>3018</v>
      </c>
      <c r="BD158" s="81" t="s">
        <v>3019</v>
      </c>
      <c r="BE158" s="81" t="s">
        <v>3020</v>
      </c>
      <c r="BF158" s="81" t="s">
        <v>3021</v>
      </c>
      <c r="BG158" s="81" t="s">
        <v>3022</v>
      </c>
      <c r="BH158" s="81" t="s">
        <v>4775</v>
      </c>
      <c r="BI158" s="81" t="s">
        <v>5079</v>
      </c>
      <c r="BJ158" s="81" t="s">
        <v>218</v>
      </c>
      <c r="BL158" s="81" t="s">
        <v>822</v>
      </c>
      <c r="BM158" s="81">
        <v>155</v>
      </c>
      <c r="BN158" s="81" t="str">
        <f t="shared" si="112"/>
        <v>='Juli 31'!C12</v>
      </c>
      <c r="BP158" s="81" t="str">
        <f t="shared" ca="1" si="123"/>
        <v/>
      </c>
      <c r="BR158" s="84">
        <f t="shared" si="116"/>
        <v>0</v>
      </c>
      <c r="BS158" s="84">
        <f t="shared" si="117"/>
        <v>0</v>
      </c>
      <c r="CA158" s="81" t="s">
        <v>2</v>
      </c>
      <c r="CB158" s="81">
        <f t="shared" si="124"/>
        <v>0</v>
      </c>
      <c r="CC158" s="81">
        <f t="shared" si="125"/>
        <v>0</v>
      </c>
      <c r="CD158" s="81" t="s">
        <v>16</v>
      </c>
      <c r="CE158" s="81">
        <f t="shared" si="126"/>
        <v>0</v>
      </c>
      <c r="CF158" s="81">
        <f t="shared" si="127"/>
        <v>0</v>
      </c>
      <c r="CG158" s="81" t="s">
        <v>5</v>
      </c>
      <c r="CH158" s="81">
        <f t="shared" si="128"/>
        <v>0</v>
      </c>
      <c r="CI158" s="81">
        <f t="shared" si="129"/>
        <v>0</v>
      </c>
      <c r="CJ158" s="81" t="s">
        <v>18</v>
      </c>
      <c r="CK158" s="81">
        <f t="shared" si="130"/>
        <v>0</v>
      </c>
      <c r="CL158" s="81">
        <f t="shared" si="131"/>
        <v>0</v>
      </c>
      <c r="CM158" s="81" t="s">
        <v>4</v>
      </c>
      <c r="CN158" s="81">
        <f t="shared" si="132"/>
        <v>0</v>
      </c>
      <c r="CO158" s="81">
        <f t="shared" si="133"/>
        <v>0</v>
      </c>
      <c r="CP158" s="81" t="s">
        <v>22</v>
      </c>
      <c r="CQ158" s="81">
        <f t="shared" si="134"/>
        <v>0</v>
      </c>
      <c r="CR158" s="81">
        <f t="shared" si="135"/>
        <v>0</v>
      </c>
      <c r="CS158" s="81" t="s">
        <v>21</v>
      </c>
      <c r="CT158" s="81">
        <f t="shared" si="136"/>
        <v>0</v>
      </c>
      <c r="CU158" s="81">
        <f t="shared" si="137"/>
        <v>0</v>
      </c>
      <c r="CV158" s="81" t="s">
        <v>998</v>
      </c>
      <c r="CW158" s="81">
        <f t="shared" si="138"/>
        <v>0</v>
      </c>
      <c r="CX158" s="81">
        <f t="shared" si="139"/>
        <v>0</v>
      </c>
      <c r="CY158" s="81" t="s">
        <v>19</v>
      </c>
      <c r="CZ158" s="81">
        <f t="shared" si="140"/>
        <v>0</v>
      </c>
      <c r="DA158" s="81">
        <f t="shared" si="141"/>
        <v>0</v>
      </c>
      <c r="DB158" s="81" t="s">
        <v>20</v>
      </c>
      <c r="DC158" s="81">
        <f t="shared" si="142"/>
        <v>0</v>
      </c>
      <c r="DD158" s="81">
        <f t="shared" si="143"/>
        <v>0</v>
      </c>
      <c r="DE158" s="81" t="s">
        <v>23</v>
      </c>
      <c r="DF158" s="81">
        <f t="shared" si="144"/>
        <v>0</v>
      </c>
      <c r="DG158" s="81">
        <f t="shared" si="145"/>
        <v>0</v>
      </c>
      <c r="DH158" s="81" t="s">
        <v>15</v>
      </c>
      <c r="DI158" s="81">
        <f t="shared" si="146"/>
        <v>0</v>
      </c>
      <c r="DJ158" s="81">
        <f t="shared" si="147"/>
        <v>0</v>
      </c>
      <c r="DK158" s="81" t="s">
        <v>5380</v>
      </c>
      <c r="DL158" s="81">
        <f t="shared" si="148"/>
        <v>0</v>
      </c>
      <c r="DM158" s="81">
        <f t="shared" si="149"/>
        <v>0</v>
      </c>
      <c r="DN158" s="81" t="s">
        <v>7</v>
      </c>
      <c r="DO158" s="81">
        <f t="shared" si="150"/>
        <v>0</v>
      </c>
      <c r="DP158" s="81">
        <f t="shared" si="151"/>
        <v>0</v>
      </c>
      <c r="DQ158" s="81" t="s">
        <v>1</v>
      </c>
      <c r="DR158" s="81">
        <f t="shared" si="152"/>
        <v>0</v>
      </c>
      <c r="DS158" s="81">
        <f t="shared" si="153"/>
        <v>0</v>
      </c>
    </row>
    <row r="159" spans="14:123" x14ac:dyDescent="0.3">
      <c r="N159" s="81">
        <f>IF(Q160=0,IF(Q159=0,,"x"),)</f>
        <v>0</v>
      </c>
      <c r="O159" s="81">
        <f t="shared" si="154"/>
        <v>0</v>
      </c>
      <c r="P159" s="81">
        <f t="shared" si="118"/>
        <v>0</v>
      </c>
      <c r="Q159" s="81">
        <f t="shared" si="155"/>
        <v>0</v>
      </c>
      <c r="R159" s="81">
        <f>IF(W159="",,SUM($W$4:W159))</f>
        <v>0</v>
      </c>
      <c r="S159" s="81">
        <f t="shared" si="119"/>
        <v>0</v>
      </c>
      <c r="T159" s="81">
        <f t="shared" si="156"/>
        <v>0</v>
      </c>
      <c r="U159" s="81">
        <f t="shared" si="120"/>
        <v>0</v>
      </c>
      <c r="V159" s="81" t="str">
        <f t="shared" ca="1" si="121"/>
        <v/>
      </c>
      <c r="X159" s="81">
        <f t="shared" si="113"/>
        <v>0</v>
      </c>
      <c r="Y159" s="81">
        <f t="shared" si="114"/>
        <v>0</v>
      </c>
      <c r="AE159" s="81">
        <v>159</v>
      </c>
      <c r="AI159" s="81">
        <v>156</v>
      </c>
      <c r="AJ159" s="81" t="str">
        <f t="shared" si="109"/>
        <v>Augusti 31</v>
      </c>
      <c r="AK159" s="81" t="str">
        <f t="shared" si="158"/>
        <v>Augusti</v>
      </c>
      <c r="AL159" s="81">
        <f t="shared" si="157"/>
        <v>31</v>
      </c>
      <c r="AM159" s="81" t="str">
        <f t="shared" si="122"/>
        <v>='Augusti 31'!</v>
      </c>
      <c r="AN159" s="81" t="str">
        <f t="shared" si="115"/>
        <v>='Augusti 31'!C27</v>
      </c>
      <c r="AO159" s="81" t="s">
        <v>1159</v>
      </c>
      <c r="AR159" s="81" t="s">
        <v>219</v>
      </c>
      <c r="AS159" s="83" t="str">
        <f t="shared" si="110"/>
        <v>='Augusti 31'!C6</v>
      </c>
      <c r="AT159" s="83">
        <f t="shared" si="111"/>
        <v>0</v>
      </c>
      <c r="AV159" s="81" t="s">
        <v>520</v>
      </c>
      <c r="AW159" s="81" t="s">
        <v>3023</v>
      </c>
      <c r="AX159" s="81" t="s">
        <v>3024</v>
      </c>
      <c r="AY159" s="81" t="s">
        <v>3025</v>
      </c>
      <c r="AZ159" s="81" t="s">
        <v>3026</v>
      </c>
      <c r="BA159" s="81" t="s">
        <v>3027</v>
      </c>
      <c r="BB159" s="81" t="s">
        <v>3028</v>
      </c>
      <c r="BC159" s="81" t="s">
        <v>3029</v>
      </c>
      <c r="BD159" s="81" t="s">
        <v>3030</v>
      </c>
      <c r="BE159" s="81" t="s">
        <v>3031</v>
      </c>
      <c r="BF159" s="81" t="s">
        <v>3032</v>
      </c>
      <c r="BG159" s="81" t="s">
        <v>3033</v>
      </c>
      <c r="BH159" s="81" t="s">
        <v>4776</v>
      </c>
      <c r="BI159" s="81" t="s">
        <v>5080</v>
      </c>
      <c r="BJ159" s="81" t="s">
        <v>219</v>
      </c>
      <c r="BL159" s="81" t="s">
        <v>823</v>
      </c>
      <c r="BM159" s="81">
        <v>156</v>
      </c>
      <c r="BN159" s="81" t="str">
        <f t="shared" si="112"/>
        <v>='Augusti 31'!C12</v>
      </c>
      <c r="BP159" s="81" t="str">
        <f t="shared" ca="1" si="123"/>
        <v/>
      </c>
      <c r="BR159" s="84">
        <f t="shared" si="116"/>
        <v>0</v>
      </c>
      <c r="BS159" s="84">
        <f t="shared" si="117"/>
        <v>0</v>
      </c>
      <c r="CA159" s="81" t="s">
        <v>2</v>
      </c>
      <c r="CB159" s="81">
        <f t="shared" si="124"/>
        <v>0</v>
      </c>
      <c r="CC159" s="81">
        <f t="shared" si="125"/>
        <v>0</v>
      </c>
      <c r="CD159" s="81" t="s">
        <v>16</v>
      </c>
      <c r="CE159" s="81">
        <f t="shared" si="126"/>
        <v>0</v>
      </c>
      <c r="CF159" s="81">
        <f t="shared" si="127"/>
        <v>0</v>
      </c>
      <c r="CG159" s="81" t="s">
        <v>5</v>
      </c>
      <c r="CH159" s="81">
        <f t="shared" si="128"/>
        <v>0</v>
      </c>
      <c r="CI159" s="81">
        <f t="shared" si="129"/>
        <v>0</v>
      </c>
      <c r="CJ159" s="81" t="s">
        <v>18</v>
      </c>
      <c r="CK159" s="81">
        <f t="shared" si="130"/>
        <v>0</v>
      </c>
      <c r="CL159" s="81">
        <f t="shared" si="131"/>
        <v>0</v>
      </c>
      <c r="CM159" s="81" t="s">
        <v>4</v>
      </c>
      <c r="CN159" s="81">
        <f t="shared" si="132"/>
        <v>0</v>
      </c>
      <c r="CO159" s="81">
        <f t="shared" si="133"/>
        <v>0</v>
      </c>
      <c r="CP159" s="81" t="s">
        <v>22</v>
      </c>
      <c r="CQ159" s="81">
        <f t="shared" si="134"/>
        <v>0</v>
      </c>
      <c r="CR159" s="81">
        <f t="shared" si="135"/>
        <v>0</v>
      </c>
      <c r="CS159" s="81" t="s">
        <v>21</v>
      </c>
      <c r="CT159" s="81">
        <f t="shared" si="136"/>
        <v>0</v>
      </c>
      <c r="CU159" s="81">
        <f t="shared" si="137"/>
        <v>0</v>
      </c>
      <c r="CV159" s="81" t="s">
        <v>998</v>
      </c>
      <c r="CW159" s="81">
        <f t="shared" si="138"/>
        <v>0</v>
      </c>
      <c r="CX159" s="81">
        <f t="shared" si="139"/>
        <v>0</v>
      </c>
      <c r="CY159" s="81" t="s">
        <v>19</v>
      </c>
      <c r="CZ159" s="81">
        <f t="shared" si="140"/>
        <v>0</v>
      </c>
      <c r="DA159" s="81">
        <f t="shared" si="141"/>
        <v>0</v>
      </c>
      <c r="DB159" s="81" t="s">
        <v>20</v>
      </c>
      <c r="DC159" s="81">
        <f t="shared" si="142"/>
        <v>0</v>
      </c>
      <c r="DD159" s="81">
        <f t="shared" si="143"/>
        <v>0</v>
      </c>
      <c r="DE159" s="81" t="s">
        <v>23</v>
      </c>
      <c r="DF159" s="81">
        <f t="shared" si="144"/>
        <v>0</v>
      </c>
      <c r="DG159" s="81">
        <f t="shared" si="145"/>
        <v>0</v>
      </c>
      <c r="DH159" s="81" t="s">
        <v>15</v>
      </c>
      <c r="DI159" s="81">
        <f t="shared" si="146"/>
        <v>0</v>
      </c>
      <c r="DJ159" s="81">
        <f t="shared" si="147"/>
        <v>0</v>
      </c>
      <c r="DK159" s="81" t="s">
        <v>5381</v>
      </c>
      <c r="DL159" s="81">
        <f t="shared" si="148"/>
        <v>0</v>
      </c>
      <c r="DM159" s="81">
        <f t="shared" si="149"/>
        <v>0</v>
      </c>
      <c r="DN159" s="81" t="s">
        <v>7</v>
      </c>
      <c r="DO159" s="81">
        <f t="shared" si="150"/>
        <v>0</v>
      </c>
      <c r="DP159" s="81">
        <f t="shared" si="151"/>
        <v>0</v>
      </c>
      <c r="DQ159" s="81" t="s">
        <v>1</v>
      </c>
      <c r="DR159" s="81">
        <f t="shared" si="152"/>
        <v>0</v>
      </c>
      <c r="DS159" s="81">
        <f t="shared" si="153"/>
        <v>0</v>
      </c>
    </row>
    <row r="160" spans="14:123" x14ac:dyDescent="0.3">
      <c r="N160" s="81">
        <f>IF(Q161=0,IF(Q160=0,,"x"),)</f>
        <v>0</v>
      </c>
      <c r="O160" s="81">
        <f t="shared" si="154"/>
        <v>0</v>
      </c>
      <c r="P160" s="81">
        <f t="shared" si="118"/>
        <v>0</v>
      </c>
      <c r="Q160" s="81">
        <f t="shared" si="155"/>
        <v>0</v>
      </c>
      <c r="R160" s="81">
        <f>IF(W160="",,SUM($W$4:W160))</f>
        <v>0</v>
      </c>
      <c r="S160" s="81">
        <f t="shared" si="119"/>
        <v>0</v>
      </c>
      <c r="T160" s="81">
        <f t="shared" si="156"/>
        <v>0</v>
      </c>
      <c r="U160" s="81">
        <f t="shared" si="120"/>
        <v>0</v>
      </c>
      <c r="V160" s="81" t="str">
        <f t="shared" ca="1" si="121"/>
        <v/>
      </c>
      <c r="X160" s="81">
        <f t="shared" si="113"/>
        <v>0</v>
      </c>
      <c r="Y160" s="81">
        <f t="shared" si="114"/>
        <v>0</v>
      </c>
      <c r="AE160" s="81">
        <v>160</v>
      </c>
      <c r="AI160" s="81">
        <v>157</v>
      </c>
      <c r="AJ160" s="81" t="str">
        <f t="shared" si="109"/>
        <v>September 31</v>
      </c>
      <c r="AK160" s="81" t="str">
        <f t="shared" si="158"/>
        <v>September</v>
      </c>
      <c r="AL160" s="81">
        <f t="shared" si="157"/>
        <v>31</v>
      </c>
      <c r="AM160" s="81" t="str">
        <f t="shared" si="122"/>
        <v>='September 31'!</v>
      </c>
      <c r="AN160" s="81" t="str">
        <f t="shared" si="115"/>
        <v>='September 31'!C27</v>
      </c>
      <c r="AO160" s="81" t="s">
        <v>1160</v>
      </c>
      <c r="AR160" s="81" t="s">
        <v>220</v>
      </c>
      <c r="AS160" s="83" t="str">
        <f t="shared" si="110"/>
        <v>='September 31'!C6</v>
      </c>
      <c r="AT160" s="83">
        <f t="shared" si="111"/>
        <v>0</v>
      </c>
      <c r="AV160" s="81" t="s">
        <v>521</v>
      </c>
      <c r="AW160" s="81" t="s">
        <v>3034</v>
      </c>
      <c r="AX160" s="81" t="s">
        <v>3035</v>
      </c>
      <c r="AY160" s="81" t="s">
        <v>3036</v>
      </c>
      <c r="AZ160" s="81" t="s">
        <v>3037</v>
      </c>
      <c r="BA160" s="81" t="s">
        <v>3038</v>
      </c>
      <c r="BB160" s="81" t="s">
        <v>3039</v>
      </c>
      <c r="BC160" s="81" t="s">
        <v>3040</v>
      </c>
      <c r="BD160" s="81" t="s">
        <v>3041</v>
      </c>
      <c r="BE160" s="81" t="s">
        <v>3042</v>
      </c>
      <c r="BF160" s="81" t="s">
        <v>3043</v>
      </c>
      <c r="BG160" s="81" t="s">
        <v>3044</v>
      </c>
      <c r="BH160" s="81" t="s">
        <v>4777</v>
      </c>
      <c r="BI160" s="81" t="s">
        <v>5081</v>
      </c>
      <c r="BJ160" s="81" t="s">
        <v>220</v>
      </c>
      <c r="BL160" s="81" t="s">
        <v>824</v>
      </c>
      <c r="BM160" s="81">
        <v>157</v>
      </c>
      <c r="BN160" s="81" t="str">
        <f t="shared" si="112"/>
        <v>='September 31'!C12</v>
      </c>
      <c r="BP160" s="81" t="str">
        <f t="shared" ca="1" si="123"/>
        <v/>
      </c>
      <c r="BR160" s="84">
        <f t="shared" si="116"/>
        <v>0</v>
      </c>
      <c r="BS160" s="84">
        <f t="shared" si="117"/>
        <v>0</v>
      </c>
      <c r="CA160" s="81" t="s">
        <v>2</v>
      </c>
      <c r="CB160" s="81">
        <f t="shared" si="124"/>
        <v>0</v>
      </c>
      <c r="CC160" s="81">
        <f t="shared" si="125"/>
        <v>0</v>
      </c>
      <c r="CD160" s="81" t="s">
        <v>16</v>
      </c>
      <c r="CE160" s="81">
        <f t="shared" si="126"/>
        <v>0</v>
      </c>
      <c r="CF160" s="81">
        <f t="shared" si="127"/>
        <v>0</v>
      </c>
      <c r="CG160" s="81" t="s">
        <v>5</v>
      </c>
      <c r="CH160" s="81">
        <f t="shared" si="128"/>
        <v>0</v>
      </c>
      <c r="CI160" s="81">
        <f t="shared" si="129"/>
        <v>0</v>
      </c>
      <c r="CJ160" s="81" t="s">
        <v>18</v>
      </c>
      <c r="CK160" s="81">
        <f t="shared" si="130"/>
        <v>0</v>
      </c>
      <c r="CL160" s="81">
        <f t="shared" si="131"/>
        <v>0</v>
      </c>
      <c r="CM160" s="81" t="s">
        <v>4</v>
      </c>
      <c r="CN160" s="81">
        <f t="shared" si="132"/>
        <v>0</v>
      </c>
      <c r="CO160" s="81">
        <f t="shared" si="133"/>
        <v>0</v>
      </c>
      <c r="CP160" s="81" t="s">
        <v>22</v>
      </c>
      <c r="CQ160" s="81">
        <f t="shared" si="134"/>
        <v>0</v>
      </c>
      <c r="CR160" s="81">
        <f t="shared" si="135"/>
        <v>0</v>
      </c>
      <c r="CS160" s="81" t="s">
        <v>21</v>
      </c>
      <c r="CT160" s="81">
        <f t="shared" si="136"/>
        <v>0</v>
      </c>
      <c r="CU160" s="81">
        <f t="shared" si="137"/>
        <v>0</v>
      </c>
      <c r="CV160" s="81" t="s">
        <v>998</v>
      </c>
      <c r="CW160" s="81">
        <f t="shared" si="138"/>
        <v>0</v>
      </c>
      <c r="CX160" s="81">
        <f t="shared" si="139"/>
        <v>0</v>
      </c>
      <c r="CY160" s="81" t="s">
        <v>19</v>
      </c>
      <c r="CZ160" s="81">
        <f t="shared" si="140"/>
        <v>0</v>
      </c>
      <c r="DA160" s="81">
        <f t="shared" si="141"/>
        <v>0</v>
      </c>
      <c r="DB160" s="81" t="s">
        <v>20</v>
      </c>
      <c r="DC160" s="81">
        <f t="shared" si="142"/>
        <v>0</v>
      </c>
      <c r="DD160" s="81">
        <f t="shared" si="143"/>
        <v>0</v>
      </c>
      <c r="DE160" s="81" t="s">
        <v>23</v>
      </c>
      <c r="DF160" s="81">
        <f t="shared" si="144"/>
        <v>0</v>
      </c>
      <c r="DG160" s="81">
        <f t="shared" si="145"/>
        <v>0</v>
      </c>
      <c r="DH160" s="81" t="s">
        <v>15</v>
      </c>
      <c r="DI160" s="81">
        <f t="shared" si="146"/>
        <v>0</v>
      </c>
      <c r="DJ160" s="81">
        <f t="shared" si="147"/>
        <v>0</v>
      </c>
      <c r="DK160" s="81" t="s">
        <v>5382</v>
      </c>
      <c r="DL160" s="81">
        <f t="shared" si="148"/>
        <v>0</v>
      </c>
      <c r="DM160" s="81">
        <f t="shared" si="149"/>
        <v>0</v>
      </c>
      <c r="DN160" s="81" t="s">
        <v>7</v>
      </c>
      <c r="DO160" s="81">
        <f t="shared" si="150"/>
        <v>0</v>
      </c>
      <c r="DP160" s="81">
        <f t="shared" si="151"/>
        <v>0</v>
      </c>
      <c r="DQ160" s="81" t="s">
        <v>1</v>
      </c>
      <c r="DR160" s="81">
        <f t="shared" si="152"/>
        <v>0</v>
      </c>
      <c r="DS160" s="81">
        <f t="shared" si="153"/>
        <v>0</v>
      </c>
    </row>
    <row r="161" spans="14:123" x14ac:dyDescent="0.3">
      <c r="N161" s="81">
        <f>IF(Q162=0,IF(Q161=0,,"x"),)</f>
        <v>0</v>
      </c>
      <c r="O161" s="81">
        <f t="shared" si="154"/>
        <v>0</v>
      </c>
      <c r="P161" s="81">
        <f t="shared" si="118"/>
        <v>0</v>
      </c>
      <c r="Q161" s="81">
        <f t="shared" si="155"/>
        <v>0</v>
      </c>
      <c r="R161" s="81">
        <f>IF(W161="",,SUM($W$4:W161))</f>
        <v>0</v>
      </c>
      <c r="S161" s="81">
        <f t="shared" si="119"/>
        <v>0</v>
      </c>
      <c r="T161" s="81">
        <f t="shared" si="156"/>
        <v>0</v>
      </c>
      <c r="U161" s="81">
        <f t="shared" si="120"/>
        <v>0</v>
      </c>
      <c r="V161" s="81" t="str">
        <f t="shared" ca="1" si="121"/>
        <v/>
      </c>
      <c r="X161" s="81">
        <f t="shared" si="113"/>
        <v>0</v>
      </c>
      <c r="Y161" s="81">
        <f t="shared" si="114"/>
        <v>0</v>
      </c>
      <c r="AE161" s="81">
        <v>161</v>
      </c>
      <c r="AI161" s="81">
        <v>158</v>
      </c>
      <c r="AJ161" s="81" t="str">
        <f t="shared" si="109"/>
        <v>Oktober 31</v>
      </c>
      <c r="AK161" s="81" t="str">
        <f t="shared" si="158"/>
        <v>Oktober</v>
      </c>
      <c r="AL161" s="81">
        <f t="shared" si="157"/>
        <v>31</v>
      </c>
      <c r="AM161" s="81" t="str">
        <f t="shared" si="122"/>
        <v>='Oktober 31'!</v>
      </c>
      <c r="AN161" s="81" t="str">
        <f t="shared" si="115"/>
        <v>='Oktober 31'!C27</v>
      </c>
      <c r="AO161" s="81" t="s">
        <v>1161</v>
      </c>
      <c r="AR161" s="81" t="s">
        <v>221</v>
      </c>
      <c r="AS161" s="83" t="str">
        <f t="shared" si="110"/>
        <v>='Oktober 31'!C6</v>
      </c>
      <c r="AT161" s="83">
        <f t="shared" si="111"/>
        <v>0</v>
      </c>
      <c r="AV161" s="81" t="s">
        <v>522</v>
      </c>
      <c r="AW161" s="81" t="s">
        <v>3045</v>
      </c>
      <c r="AX161" s="81" t="s">
        <v>3046</v>
      </c>
      <c r="AY161" s="81" t="s">
        <v>3047</v>
      </c>
      <c r="AZ161" s="81" t="s">
        <v>3048</v>
      </c>
      <c r="BA161" s="81" t="s">
        <v>3049</v>
      </c>
      <c r="BB161" s="81" t="s">
        <v>3050</v>
      </c>
      <c r="BC161" s="81" t="s">
        <v>3051</v>
      </c>
      <c r="BD161" s="81" t="s">
        <v>3052</v>
      </c>
      <c r="BE161" s="81" t="s">
        <v>3053</v>
      </c>
      <c r="BF161" s="81" t="s">
        <v>3054</v>
      </c>
      <c r="BG161" s="81" t="s">
        <v>3055</v>
      </c>
      <c r="BH161" s="81" t="s">
        <v>4778</v>
      </c>
      <c r="BI161" s="81" t="s">
        <v>5082</v>
      </c>
      <c r="BJ161" s="81" t="s">
        <v>221</v>
      </c>
      <c r="BL161" s="81" t="s">
        <v>825</v>
      </c>
      <c r="BM161" s="81">
        <v>158</v>
      </c>
      <c r="BN161" s="81" t="str">
        <f t="shared" si="112"/>
        <v>='Oktober 31'!C12</v>
      </c>
      <c r="BP161" s="81" t="str">
        <f t="shared" ca="1" si="123"/>
        <v/>
      </c>
      <c r="BR161" s="84">
        <f t="shared" si="116"/>
        <v>0</v>
      </c>
      <c r="BS161" s="84">
        <f t="shared" si="117"/>
        <v>0</v>
      </c>
      <c r="CA161" s="81" t="s">
        <v>2</v>
      </c>
      <c r="CB161" s="81">
        <f t="shared" si="124"/>
        <v>0</v>
      </c>
      <c r="CC161" s="81">
        <f t="shared" si="125"/>
        <v>0</v>
      </c>
      <c r="CD161" s="81" t="s">
        <v>16</v>
      </c>
      <c r="CE161" s="81">
        <f t="shared" si="126"/>
        <v>0</v>
      </c>
      <c r="CF161" s="81">
        <f t="shared" si="127"/>
        <v>0</v>
      </c>
      <c r="CG161" s="81" t="s">
        <v>5</v>
      </c>
      <c r="CH161" s="81">
        <f t="shared" si="128"/>
        <v>0</v>
      </c>
      <c r="CI161" s="81">
        <f t="shared" si="129"/>
        <v>0</v>
      </c>
      <c r="CJ161" s="81" t="s">
        <v>18</v>
      </c>
      <c r="CK161" s="81">
        <f t="shared" si="130"/>
        <v>0</v>
      </c>
      <c r="CL161" s="81">
        <f t="shared" si="131"/>
        <v>0</v>
      </c>
      <c r="CM161" s="81" t="s">
        <v>4</v>
      </c>
      <c r="CN161" s="81">
        <f t="shared" si="132"/>
        <v>0</v>
      </c>
      <c r="CO161" s="81">
        <f t="shared" si="133"/>
        <v>0</v>
      </c>
      <c r="CP161" s="81" t="s">
        <v>22</v>
      </c>
      <c r="CQ161" s="81">
        <f t="shared" si="134"/>
        <v>0</v>
      </c>
      <c r="CR161" s="81">
        <f t="shared" si="135"/>
        <v>0</v>
      </c>
      <c r="CS161" s="81" t="s">
        <v>21</v>
      </c>
      <c r="CT161" s="81">
        <f t="shared" si="136"/>
        <v>0</v>
      </c>
      <c r="CU161" s="81">
        <f t="shared" si="137"/>
        <v>0</v>
      </c>
      <c r="CV161" s="81" t="s">
        <v>998</v>
      </c>
      <c r="CW161" s="81">
        <f t="shared" si="138"/>
        <v>0</v>
      </c>
      <c r="CX161" s="81">
        <f t="shared" si="139"/>
        <v>0</v>
      </c>
      <c r="CY161" s="81" t="s">
        <v>19</v>
      </c>
      <c r="CZ161" s="81">
        <f t="shared" si="140"/>
        <v>0</v>
      </c>
      <c r="DA161" s="81">
        <f t="shared" si="141"/>
        <v>0</v>
      </c>
      <c r="DB161" s="81" t="s">
        <v>20</v>
      </c>
      <c r="DC161" s="81">
        <f t="shared" si="142"/>
        <v>0</v>
      </c>
      <c r="DD161" s="81">
        <f t="shared" si="143"/>
        <v>0</v>
      </c>
      <c r="DE161" s="81" t="s">
        <v>23</v>
      </c>
      <c r="DF161" s="81">
        <f t="shared" si="144"/>
        <v>0</v>
      </c>
      <c r="DG161" s="81">
        <f t="shared" si="145"/>
        <v>0</v>
      </c>
      <c r="DH161" s="81" t="s">
        <v>15</v>
      </c>
      <c r="DI161" s="81">
        <f t="shared" si="146"/>
        <v>0</v>
      </c>
      <c r="DJ161" s="81">
        <f t="shared" si="147"/>
        <v>0</v>
      </c>
      <c r="DK161" s="81" t="s">
        <v>5383</v>
      </c>
      <c r="DL161" s="81">
        <f t="shared" si="148"/>
        <v>0</v>
      </c>
      <c r="DM161" s="81">
        <f t="shared" si="149"/>
        <v>0</v>
      </c>
      <c r="DN161" s="81" t="s">
        <v>7</v>
      </c>
      <c r="DO161" s="81">
        <f t="shared" si="150"/>
        <v>0</v>
      </c>
      <c r="DP161" s="81">
        <f t="shared" si="151"/>
        <v>0</v>
      </c>
      <c r="DQ161" s="81" t="s">
        <v>1</v>
      </c>
      <c r="DR161" s="81">
        <f t="shared" si="152"/>
        <v>0</v>
      </c>
      <c r="DS161" s="81">
        <f t="shared" si="153"/>
        <v>0</v>
      </c>
    </row>
    <row r="162" spans="14:123" x14ac:dyDescent="0.3">
      <c r="N162" s="81">
        <f>IF(Q163=0,IF(Q162=0,,"x"),)</f>
        <v>0</v>
      </c>
      <c r="O162" s="81">
        <f t="shared" si="154"/>
        <v>0</v>
      </c>
      <c r="P162" s="81">
        <f t="shared" si="118"/>
        <v>0</v>
      </c>
      <c r="Q162" s="81">
        <f t="shared" si="155"/>
        <v>0</v>
      </c>
      <c r="R162" s="81">
        <f>IF(W162="",,SUM($W$4:W162))</f>
        <v>0</v>
      </c>
      <c r="S162" s="81">
        <f t="shared" si="119"/>
        <v>0</v>
      </c>
      <c r="T162" s="81">
        <f t="shared" si="156"/>
        <v>0</v>
      </c>
      <c r="U162" s="81">
        <f t="shared" si="120"/>
        <v>0</v>
      </c>
      <c r="V162" s="81" t="str">
        <f t="shared" ca="1" si="121"/>
        <v/>
      </c>
      <c r="X162" s="81">
        <f t="shared" si="113"/>
        <v>0</v>
      </c>
      <c r="Y162" s="81">
        <f t="shared" si="114"/>
        <v>0</v>
      </c>
      <c r="AE162" s="81">
        <v>162</v>
      </c>
      <c r="AI162" s="81">
        <v>159</v>
      </c>
      <c r="AJ162" s="81" t="str">
        <f t="shared" si="109"/>
        <v>November 31</v>
      </c>
      <c r="AK162" s="81" t="str">
        <f t="shared" si="158"/>
        <v>November</v>
      </c>
      <c r="AL162" s="81">
        <f t="shared" si="157"/>
        <v>31</v>
      </c>
      <c r="AM162" s="81" t="str">
        <f t="shared" si="122"/>
        <v>='November 31'!</v>
      </c>
      <c r="AN162" s="81" t="str">
        <f t="shared" si="115"/>
        <v>='November 31'!C27</v>
      </c>
      <c r="AO162" s="81" t="s">
        <v>1162</v>
      </c>
      <c r="AR162" s="81" t="s">
        <v>222</v>
      </c>
      <c r="AS162" s="83" t="str">
        <f t="shared" si="110"/>
        <v>='November 31'!C6</v>
      </c>
      <c r="AT162" s="83">
        <f t="shared" si="111"/>
        <v>0</v>
      </c>
      <c r="AV162" s="81" t="s">
        <v>523</v>
      </c>
      <c r="AW162" s="81" t="s">
        <v>3056</v>
      </c>
      <c r="AX162" s="81" t="s">
        <v>3057</v>
      </c>
      <c r="AY162" s="81" t="s">
        <v>3058</v>
      </c>
      <c r="AZ162" s="81" t="s">
        <v>3059</v>
      </c>
      <c r="BA162" s="81" t="s">
        <v>3060</v>
      </c>
      <c r="BB162" s="81" t="s">
        <v>3061</v>
      </c>
      <c r="BC162" s="81" t="s">
        <v>3062</v>
      </c>
      <c r="BD162" s="81" t="s">
        <v>3063</v>
      </c>
      <c r="BE162" s="81" t="s">
        <v>3064</v>
      </c>
      <c r="BF162" s="81" t="s">
        <v>3065</v>
      </c>
      <c r="BG162" s="81" t="s">
        <v>3066</v>
      </c>
      <c r="BH162" s="81" t="s">
        <v>4779</v>
      </c>
      <c r="BI162" s="81" t="s">
        <v>5083</v>
      </c>
      <c r="BJ162" s="81" t="s">
        <v>222</v>
      </c>
      <c r="BL162" s="81" t="s">
        <v>826</v>
      </c>
      <c r="BM162" s="81">
        <v>159</v>
      </c>
      <c r="BN162" s="81" t="str">
        <f t="shared" si="112"/>
        <v>='November 31'!C12</v>
      </c>
      <c r="BP162" s="81" t="str">
        <f t="shared" ca="1" si="123"/>
        <v/>
      </c>
      <c r="BR162" s="84">
        <f t="shared" si="116"/>
        <v>0</v>
      </c>
      <c r="BS162" s="84">
        <f t="shared" si="117"/>
        <v>0</v>
      </c>
      <c r="CA162" s="81" t="s">
        <v>2</v>
      </c>
      <c r="CB162" s="81">
        <f t="shared" si="124"/>
        <v>0</v>
      </c>
      <c r="CC162" s="81">
        <f t="shared" si="125"/>
        <v>0</v>
      </c>
      <c r="CD162" s="81" t="s">
        <v>16</v>
      </c>
      <c r="CE162" s="81">
        <f t="shared" si="126"/>
        <v>0</v>
      </c>
      <c r="CF162" s="81">
        <f t="shared" si="127"/>
        <v>0</v>
      </c>
      <c r="CG162" s="81" t="s">
        <v>5</v>
      </c>
      <c r="CH162" s="81">
        <f t="shared" si="128"/>
        <v>0</v>
      </c>
      <c r="CI162" s="81">
        <f t="shared" si="129"/>
        <v>0</v>
      </c>
      <c r="CJ162" s="81" t="s">
        <v>18</v>
      </c>
      <c r="CK162" s="81">
        <f t="shared" si="130"/>
        <v>0</v>
      </c>
      <c r="CL162" s="81">
        <f t="shared" si="131"/>
        <v>0</v>
      </c>
      <c r="CM162" s="81" t="s">
        <v>4</v>
      </c>
      <c r="CN162" s="81">
        <f t="shared" si="132"/>
        <v>0</v>
      </c>
      <c r="CO162" s="81">
        <f t="shared" si="133"/>
        <v>0</v>
      </c>
      <c r="CP162" s="81" t="s">
        <v>22</v>
      </c>
      <c r="CQ162" s="81">
        <f t="shared" si="134"/>
        <v>0</v>
      </c>
      <c r="CR162" s="81">
        <f t="shared" si="135"/>
        <v>0</v>
      </c>
      <c r="CS162" s="81" t="s">
        <v>21</v>
      </c>
      <c r="CT162" s="81">
        <f t="shared" si="136"/>
        <v>0</v>
      </c>
      <c r="CU162" s="81">
        <f t="shared" si="137"/>
        <v>0</v>
      </c>
      <c r="CV162" s="81" t="s">
        <v>998</v>
      </c>
      <c r="CW162" s="81">
        <f t="shared" si="138"/>
        <v>0</v>
      </c>
      <c r="CX162" s="81">
        <f t="shared" si="139"/>
        <v>0</v>
      </c>
      <c r="CY162" s="81" t="s">
        <v>19</v>
      </c>
      <c r="CZ162" s="81">
        <f t="shared" si="140"/>
        <v>0</v>
      </c>
      <c r="DA162" s="81">
        <f t="shared" si="141"/>
        <v>0</v>
      </c>
      <c r="DB162" s="81" t="s">
        <v>20</v>
      </c>
      <c r="DC162" s="81">
        <f t="shared" si="142"/>
        <v>0</v>
      </c>
      <c r="DD162" s="81">
        <f t="shared" si="143"/>
        <v>0</v>
      </c>
      <c r="DE162" s="81" t="s">
        <v>23</v>
      </c>
      <c r="DF162" s="81">
        <f t="shared" si="144"/>
        <v>0</v>
      </c>
      <c r="DG162" s="81">
        <f t="shared" si="145"/>
        <v>0</v>
      </c>
      <c r="DH162" s="81" t="s">
        <v>15</v>
      </c>
      <c r="DI162" s="81">
        <f t="shared" si="146"/>
        <v>0</v>
      </c>
      <c r="DJ162" s="81">
        <f t="shared" si="147"/>
        <v>0</v>
      </c>
      <c r="DK162" s="81" t="s">
        <v>5384</v>
      </c>
      <c r="DL162" s="81">
        <f t="shared" si="148"/>
        <v>0</v>
      </c>
      <c r="DM162" s="81">
        <f t="shared" si="149"/>
        <v>0</v>
      </c>
      <c r="DN162" s="81" t="s">
        <v>7</v>
      </c>
      <c r="DO162" s="81">
        <f t="shared" si="150"/>
        <v>0</v>
      </c>
      <c r="DP162" s="81">
        <f t="shared" si="151"/>
        <v>0</v>
      </c>
      <c r="DQ162" s="81" t="s">
        <v>1</v>
      </c>
      <c r="DR162" s="81">
        <f t="shared" si="152"/>
        <v>0</v>
      </c>
      <c r="DS162" s="81">
        <f t="shared" si="153"/>
        <v>0</v>
      </c>
    </row>
    <row r="163" spans="14:123" x14ac:dyDescent="0.3">
      <c r="N163" s="81">
        <f>IF(Q164=0,IF(Q163=0,,"x"),)</f>
        <v>0</v>
      </c>
      <c r="O163" s="81">
        <f t="shared" si="154"/>
        <v>0</v>
      </c>
      <c r="P163" s="81">
        <f t="shared" si="118"/>
        <v>0</v>
      </c>
      <c r="Q163" s="81">
        <f t="shared" si="155"/>
        <v>0</v>
      </c>
      <c r="R163" s="81">
        <f>IF(W163="",,SUM($W$4:W163))</f>
        <v>0</v>
      </c>
      <c r="S163" s="81">
        <f t="shared" si="119"/>
        <v>0</v>
      </c>
      <c r="T163" s="81">
        <f t="shared" si="156"/>
        <v>0</v>
      </c>
      <c r="U163" s="81">
        <f t="shared" si="120"/>
        <v>0</v>
      </c>
      <c r="V163" s="81" t="str">
        <f t="shared" ca="1" si="121"/>
        <v/>
      </c>
      <c r="X163" s="81">
        <f t="shared" si="113"/>
        <v>0</v>
      </c>
      <c r="Y163" s="81">
        <f t="shared" si="114"/>
        <v>0</v>
      </c>
      <c r="AE163" s="81">
        <v>163</v>
      </c>
      <c r="AI163" s="81">
        <v>160</v>
      </c>
      <c r="AJ163" s="81" t="str">
        <f t="shared" si="109"/>
        <v>December 31</v>
      </c>
      <c r="AK163" s="81" t="str">
        <f t="shared" si="158"/>
        <v>December</v>
      </c>
      <c r="AL163" s="81">
        <f t="shared" si="157"/>
        <v>31</v>
      </c>
      <c r="AM163" s="81" t="str">
        <f t="shared" si="122"/>
        <v>='December 31'!</v>
      </c>
      <c r="AN163" s="81" t="str">
        <f t="shared" si="115"/>
        <v>='December 31'!C27</v>
      </c>
      <c r="AO163" s="81" t="s">
        <v>1163</v>
      </c>
      <c r="AR163" s="81" t="s">
        <v>223</v>
      </c>
      <c r="AS163" s="83" t="str">
        <f t="shared" si="110"/>
        <v>='December 31'!C6</v>
      </c>
      <c r="AT163" s="83">
        <f t="shared" si="111"/>
        <v>0</v>
      </c>
      <c r="AV163" s="81" t="s">
        <v>524</v>
      </c>
      <c r="AW163" s="81" t="s">
        <v>3067</v>
      </c>
      <c r="AX163" s="81" t="s">
        <v>3068</v>
      </c>
      <c r="AY163" s="81" t="s">
        <v>3069</v>
      </c>
      <c r="AZ163" s="81" t="s">
        <v>3070</v>
      </c>
      <c r="BA163" s="81" t="s">
        <v>3071</v>
      </c>
      <c r="BB163" s="81" t="s">
        <v>3072</v>
      </c>
      <c r="BC163" s="81" t="s">
        <v>3073</v>
      </c>
      <c r="BD163" s="81" t="s">
        <v>3074</v>
      </c>
      <c r="BE163" s="81" t="s">
        <v>3075</v>
      </c>
      <c r="BF163" s="81" t="s">
        <v>3076</v>
      </c>
      <c r="BG163" s="81" t="s">
        <v>3077</v>
      </c>
      <c r="BH163" s="81" t="s">
        <v>4780</v>
      </c>
      <c r="BI163" s="81" t="s">
        <v>5084</v>
      </c>
      <c r="BJ163" s="81" t="s">
        <v>223</v>
      </c>
      <c r="BL163" s="81" t="s">
        <v>827</v>
      </c>
      <c r="BM163" s="81">
        <v>160</v>
      </c>
      <c r="BN163" s="81" t="str">
        <f t="shared" si="112"/>
        <v>='December 31'!C12</v>
      </c>
      <c r="BP163" s="81" t="str">
        <f t="shared" ca="1" si="123"/>
        <v/>
      </c>
      <c r="BR163" s="84">
        <f t="shared" si="116"/>
        <v>0</v>
      </c>
      <c r="BS163" s="84">
        <f t="shared" si="117"/>
        <v>0</v>
      </c>
      <c r="CA163" s="81" t="s">
        <v>2</v>
      </c>
      <c r="CB163" s="81">
        <f t="shared" si="124"/>
        <v>0</v>
      </c>
      <c r="CC163" s="81">
        <f t="shared" si="125"/>
        <v>0</v>
      </c>
      <c r="CD163" s="81" t="s">
        <v>16</v>
      </c>
      <c r="CE163" s="81">
        <f t="shared" si="126"/>
        <v>0</v>
      </c>
      <c r="CF163" s="81">
        <f t="shared" si="127"/>
        <v>0</v>
      </c>
      <c r="CG163" s="81" t="s">
        <v>5</v>
      </c>
      <c r="CH163" s="81">
        <f t="shared" si="128"/>
        <v>0</v>
      </c>
      <c r="CI163" s="81">
        <f t="shared" si="129"/>
        <v>0</v>
      </c>
      <c r="CJ163" s="81" t="s">
        <v>18</v>
      </c>
      <c r="CK163" s="81">
        <f t="shared" si="130"/>
        <v>0</v>
      </c>
      <c r="CL163" s="81">
        <f t="shared" si="131"/>
        <v>0</v>
      </c>
      <c r="CM163" s="81" t="s">
        <v>4</v>
      </c>
      <c r="CN163" s="81">
        <f t="shared" si="132"/>
        <v>0</v>
      </c>
      <c r="CO163" s="81">
        <f t="shared" si="133"/>
        <v>0</v>
      </c>
      <c r="CP163" s="81" t="s">
        <v>22</v>
      </c>
      <c r="CQ163" s="81">
        <f t="shared" si="134"/>
        <v>0</v>
      </c>
      <c r="CR163" s="81">
        <f t="shared" si="135"/>
        <v>0</v>
      </c>
      <c r="CS163" s="81" t="s">
        <v>21</v>
      </c>
      <c r="CT163" s="81">
        <f t="shared" si="136"/>
        <v>0</v>
      </c>
      <c r="CU163" s="81">
        <f t="shared" si="137"/>
        <v>0</v>
      </c>
      <c r="CV163" s="81" t="s">
        <v>998</v>
      </c>
      <c r="CW163" s="81">
        <f t="shared" si="138"/>
        <v>0</v>
      </c>
      <c r="CX163" s="81">
        <f t="shared" si="139"/>
        <v>0</v>
      </c>
      <c r="CY163" s="81" t="s">
        <v>19</v>
      </c>
      <c r="CZ163" s="81">
        <f t="shared" si="140"/>
        <v>0</v>
      </c>
      <c r="DA163" s="81">
        <f t="shared" si="141"/>
        <v>0</v>
      </c>
      <c r="DB163" s="81" t="s">
        <v>20</v>
      </c>
      <c r="DC163" s="81">
        <f t="shared" si="142"/>
        <v>0</v>
      </c>
      <c r="DD163" s="81">
        <f t="shared" si="143"/>
        <v>0</v>
      </c>
      <c r="DE163" s="81" t="s">
        <v>23</v>
      </c>
      <c r="DF163" s="81">
        <f t="shared" si="144"/>
        <v>0</v>
      </c>
      <c r="DG163" s="81">
        <f t="shared" si="145"/>
        <v>0</v>
      </c>
      <c r="DH163" s="81" t="s">
        <v>15</v>
      </c>
      <c r="DI163" s="81">
        <f t="shared" si="146"/>
        <v>0</v>
      </c>
      <c r="DJ163" s="81">
        <f t="shared" si="147"/>
        <v>0</v>
      </c>
      <c r="DK163" s="81" t="s">
        <v>5385</v>
      </c>
      <c r="DL163" s="81">
        <f t="shared" si="148"/>
        <v>0</v>
      </c>
      <c r="DM163" s="81">
        <f t="shared" si="149"/>
        <v>0</v>
      </c>
      <c r="DN163" s="81" t="s">
        <v>7</v>
      </c>
      <c r="DO163" s="81">
        <f t="shared" si="150"/>
        <v>0</v>
      </c>
      <c r="DP163" s="81">
        <f t="shared" si="151"/>
        <v>0</v>
      </c>
      <c r="DQ163" s="81" t="s">
        <v>1</v>
      </c>
      <c r="DR163" s="81">
        <f t="shared" si="152"/>
        <v>0</v>
      </c>
      <c r="DS163" s="81">
        <f t="shared" si="153"/>
        <v>0</v>
      </c>
    </row>
    <row r="164" spans="14:123" x14ac:dyDescent="0.3">
      <c r="N164" s="81">
        <f>IF(Q165=0,IF(Q164=0,,"x"),)</f>
        <v>0</v>
      </c>
      <c r="O164" s="81">
        <f t="shared" si="154"/>
        <v>0</v>
      </c>
      <c r="P164" s="81">
        <f t="shared" si="118"/>
        <v>0</v>
      </c>
      <c r="Q164" s="81">
        <f t="shared" si="155"/>
        <v>0</v>
      </c>
      <c r="R164" s="81">
        <f>IF(W164="",,SUM($W$4:W164))</f>
        <v>0</v>
      </c>
      <c r="S164" s="81">
        <f t="shared" si="119"/>
        <v>0</v>
      </c>
      <c r="T164" s="81">
        <f t="shared" si="156"/>
        <v>0</v>
      </c>
      <c r="U164" s="81">
        <f t="shared" si="120"/>
        <v>0</v>
      </c>
      <c r="V164" s="81" t="str">
        <f t="shared" ca="1" si="121"/>
        <v/>
      </c>
      <c r="X164" s="81">
        <f t="shared" ref="X164:X189" si="159">IF(W164&gt;$B$33*(1+$C$33),W164,0)</f>
        <v>0</v>
      </c>
      <c r="Y164" s="81">
        <f t="shared" ref="Y164:Y189" si="160">IF(W164&lt;$B$33*(1-$C$33),W164,0)</f>
        <v>0</v>
      </c>
      <c r="AE164" s="81">
        <v>164</v>
      </c>
      <c r="AI164" s="81">
        <v>161</v>
      </c>
      <c r="AJ164" s="81" t="str">
        <f t="shared" si="109"/>
        <v>Januari 32</v>
      </c>
      <c r="AK164" s="81" t="str">
        <f t="shared" si="158"/>
        <v>Januari</v>
      </c>
      <c r="AL164" s="81">
        <f t="shared" si="157"/>
        <v>32</v>
      </c>
      <c r="AM164" s="81" t="str">
        <f t="shared" si="122"/>
        <v>='Januari 32'!</v>
      </c>
      <c r="AN164" s="81" t="str">
        <f t="shared" si="115"/>
        <v>='Januari 32'!C27</v>
      </c>
      <c r="AO164" s="81" t="s">
        <v>1164</v>
      </c>
      <c r="AR164" s="81" t="s">
        <v>224</v>
      </c>
      <c r="AS164" s="83" t="str">
        <f t="shared" si="110"/>
        <v>='Januari 32'!C6</v>
      </c>
      <c r="AT164" s="83">
        <f t="shared" si="111"/>
        <v>0</v>
      </c>
      <c r="AV164" s="81" t="s">
        <v>525</v>
      </c>
      <c r="AW164" s="81" t="s">
        <v>3078</v>
      </c>
      <c r="AX164" s="81" t="s">
        <v>3079</v>
      </c>
      <c r="AY164" s="81" t="s">
        <v>3080</v>
      </c>
      <c r="AZ164" s="81" t="s">
        <v>3081</v>
      </c>
      <c r="BA164" s="81" t="s">
        <v>3082</v>
      </c>
      <c r="BB164" s="81" t="s">
        <v>3083</v>
      </c>
      <c r="BC164" s="81" t="s">
        <v>3084</v>
      </c>
      <c r="BD164" s="81" t="s">
        <v>3085</v>
      </c>
      <c r="BE164" s="81" t="s">
        <v>3086</v>
      </c>
      <c r="BF164" s="81" t="s">
        <v>3087</v>
      </c>
      <c r="BG164" s="81" t="s">
        <v>3088</v>
      </c>
      <c r="BH164" s="81" t="s">
        <v>4781</v>
      </c>
      <c r="BI164" s="81" t="s">
        <v>5085</v>
      </c>
      <c r="BJ164" s="81" t="s">
        <v>224</v>
      </c>
      <c r="BL164" s="81" t="s">
        <v>828</v>
      </c>
      <c r="BM164" s="81">
        <v>161</v>
      </c>
      <c r="BN164" s="81" t="str">
        <f t="shared" si="112"/>
        <v>='Januari 32'!C12</v>
      </c>
      <c r="BP164" s="81" t="str">
        <f t="shared" ca="1" si="123"/>
        <v/>
      </c>
      <c r="BR164" s="84">
        <f t="shared" si="116"/>
        <v>0</v>
      </c>
      <c r="BS164" s="84">
        <f t="shared" si="117"/>
        <v>0</v>
      </c>
      <c r="CA164" s="81" t="s">
        <v>2</v>
      </c>
      <c r="CB164" s="81">
        <f t="shared" si="124"/>
        <v>0</v>
      </c>
      <c r="CC164" s="81">
        <f t="shared" si="125"/>
        <v>0</v>
      </c>
      <c r="CD164" s="81" t="s">
        <v>16</v>
      </c>
      <c r="CE164" s="81">
        <f t="shared" si="126"/>
        <v>0</v>
      </c>
      <c r="CF164" s="81">
        <f t="shared" si="127"/>
        <v>0</v>
      </c>
      <c r="CG164" s="81" t="s">
        <v>5</v>
      </c>
      <c r="CH164" s="81">
        <f t="shared" si="128"/>
        <v>0</v>
      </c>
      <c r="CI164" s="81">
        <f t="shared" si="129"/>
        <v>0</v>
      </c>
      <c r="CJ164" s="81" t="s">
        <v>18</v>
      </c>
      <c r="CK164" s="81">
        <f t="shared" si="130"/>
        <v>0</v>
      </c>
      <c r="CL164" s="81">
        <f t="shared" si="131"/>
        <v>0</v>
      </c>
      <c r="CM164" s="81" t="s">
        <v>4</v>
      </c>
      <c r="CN164" s="81">
        <f t="shared" si="132"/>
        <v>0</v>
      </c>
      <c r="CO164" s="81">
        <f t="shared" si="133"/>
        <v>0</v>
      </c>
      <c r="CP164" s="81" t="s">
        <v>22</v>
      </c>
      <c r="CQ164" s="81">
        <f t="shared" si="134"/>
        <v>0</v>
      </c>
      <c r="CR164" s="81">
        <f t="shared" si="135"/>
        <v>0</v>
      </c>
      <c r="CS164" s="81" t="s">
        <v>21</v>
      </c>
      <c r="CT164" s="81">
        <f t="shared" si="136"/>
        <v>0</v>
      </c>
      <c r="CU164" s="81">
        <f t="shared" si="137"/>
        <v>0</v>
      </c>
      <c r="CV164" s="81" t="s">
        <v>998</v>
      </c>
      <c r="CW164" s="81">
        <f t="shared" si="138"/>
        <v>0</v>
      </c>
      <c r="CX164" s="81">
        <f t="shared" si="139"/>
        <v>0</v>
      </c>
      <c r="CY164" s="81" t="s">
        <v>19</v>
      </c>
      <c r="CZ164" s="81">
        <f t="shared" si="140"/>
        <v>0</v>
      </c>
      <c r="DA164" s="81">
        <f t="shared" si="141"/>
        <v>0</v>
      </c>
      <c r="DB164" s="81" t="s">
        <v>20</v>
      </c>
      <c r="DC164" s="81">
        <f t="shared" si="142"/>
        <v>0</v>
      </c>
      <c r="DD164" s="81">
        <f t="shared" si="143"/>
        <v>0</v>
      </c>
      <c r="DE164" s="81" t="s">
        <v>23</v>
      </c>
      <c r="DF164" s="81">
        <f t="shared" si="144"/>
        <v>0</v>
      </c>
      <c r="DG164" s="81">
        <f t="shared" si="145"/>
        <v>0</v>
      </c>
      <c r="DH164" s="81" t="s">
        <v>15</v>
      </c>
      <c r="DI164" s="81">
        <f t="shared" si="146"/>
        <v>0</v>
      </c>
      <c r="DJ164" s="81">
        <f t="shared" si="147"/>
        <v>0</v>
      </c>
      <c r="DK164" s="81" t="s">
        <v>5386</v>
      </c>
      <c r="DL164" s="81">
        <f t="shared" si="148"/>
        <v>0</v>
      </c>
      <c r="DM164" s="81">
        <f t="shared" si="149"/>
        <v>0</v>
      </c>
      <c r="DN164" s="81" t="s">
        <v>7</v>
      </c>
      <c r="DO164" s="81">
        <f t="shared" si="150"/>
        <v>0</v>
      </c>
      <c r="DP164" s="81">
        <f t="shared" si="151"/>
        <v>0</v>
      </c>
      <c r="DQ164" s="81" t="s">
        <v>1</v>
      </c>
      <c r="DR164" s="81">
        <f t="shared" si="152"/>
        <v>0</v>
      </c>
      <c r="DS164" s="81">
        <f t="shared" si="153"/>
        <v>0</v>
      </c>
    </row>
    <row r="165" spans="14:123" x14ac:dyDescent="0.3">
      <c r="N165" s="81">
        <f>IF(Q166=0,IF(Q165=0,,"x"),)</f>
        <v>0</v>
      </c>
      <c r="O165" s="81">
        <f t="shared" si="154"/>
        <v>0</v>
      </c>
      <c r="P165" s="81">
        <f t="shared" si="118"/>
        <v>0</v>
      </c>
      <c r="Q165" s="81">
        <f t="shared" si="155"/>
        <v>0</v>
      </c>
      <c r="R165" s="81">
        <f>IF(W165="",,SUM($W$4:W165))</f>
        <v>0</v>
      </c>
      <c r="S165" s="81">
        <f t="shared" si="119"/>
        <v>0</v>
      </c>
      <c r="T165" s="81">
        <f t="shared" si="156"/>
        <v>0</v>
      </c>
      <c r="U165" s="81">
        <f t="shared" si="120"/>
        <v>0</v>
      </c>
      <c r="V165" s="81" t="str">
        <f t="shared" ca="1" si="121"/>
        <v/>
      </c>
      <c r="X165" s="81">
        <f t="shared" si="159"/>
        <v>0</v>
      </c>
      <c r="Y165" s="81">
        <f t="shared" si="160"/>
        <v>0</v>
      </c>
      <c r="AE165" s="81">
        <v>165</v>
      </c>
      <c r="AI165" s="81">
        <v>162</v>
      </c>
      <c r="AJ165" s="81" t="str">
        <f t="shared" si="109"/>
        <v>Februari 32</v>
      </c>
      <c r="AK165" s="81" t="str">
        <f t="shared" si="158"/>
        <v>Februari</v>
      </c>
      <c r="AL165" s="81">
        <f t="shared" si="157"/>
        <v>32</v>
      </c>
      <c r="AM165" s="81" t="str">
        <f t="shared" si="122"/>
        <v>='Februari 32'!</v>
      </c>
      <c r="AN165" s="81" t="str">
        <f t="shared" si="115"/>
        <v>='Februari 32'!C27</v>
      </c>
      <c r="AO165" s="81" t="s">
        <v>1165</v>
      </c>
      <c r="AR165" s="81" t="s">
        <v>225</v>
      </c>
      <c r="AS165" s="83" t="str">
        <f t="shared" si="110"/>
        <v>='Februari 32'!C6</v>
      </c>
      <c r="AT165" s="83">
        <f t="shared" si="111"/>
        <v>0</v>
      </c>
      <c r="AV165" s="81" t="s">
        <v>526</v>
      </c>
      <c r="AW165" s="81" t="s">
        <v>3089</v>
      </c>
      <c r="AX165" s="81" t="s">
        <v>3090</v>
      </c>
      <c r="AY165" s="81" t="s">
        <v>3091</v>
      </c>
      <c r="AZ165" s="81" t="s">
        <v>3092</v>
      </c>
      <c r="BA165" s="81" t="s">
        <v>3093</v>
      </c>
      <c r="BB165" s="81" t="s">
        <v>3094</v>
      </c>
      <c r="BC165" s="81" t="s">
        <v>3095</v>
      </c>
      <c r="BD165" s="81" t="s">
        <v>3096</v>
      </c>
      <c r="BE165" s="81" t="s">
        <v>3097</v>
      </c>
      <c r="BF165" s="81" t="s">
        <v>3098</v>
      </c>
      <c r="BG165" s="81" t="s">
        <v>3099</v>
      </c>
      <c r="BH165" s="81" t="s">
        <v>4782</v>
      </c>
      <c r="BI165" s="81" t="s">
        <v>5086</v>
      </c>
      <c r="BJ165" s="81" t="s">
        <v>225</v>
      </c>
      <c r="BL165" s="81" t="s">
        <v>829</v>
      </c>
      <c r="BM165" s="81">
        <v>162</v>
      </c>
      <c r="BN165" s="81" t="str">
        <f t="shared" si="112"/>
        <v>='Februari 32'!C12</v>
      </c>
      <c r="BP165" s="81" t="str">
        <f t="shared" ca="1" si="123"/>
        <v/>
      </c>
      <c r="BR165" s="84">
        <f t="shared" si="116"/>
        <v>0</v>
      </c>
      <c r="BS165" s="84">
        <f t="shared" si="117"/>
        <v>0</v>
      </c>
      <c r="CA165" s="81" t="s">
        <v>2</v>
      </c>
      <c r="CB165" s="81">
        <f t="shared" si="124"/>
        <v>0</v>
      </c>
      <c r="CC165" s="81">
        <f t="shared" si="125"/>
        <v>0</v>
      </c>
      <c r="CD165" s="81" t="s">
        <v>16</v>
      </c>
      <c r="CE165" s="81">
        <f t="shared" si="126"/>
        <v>0</v>
      </c>
      <c r="CF165" s="81">
        <f t="shared" si="127"/>
        <v>0</v>
      </c>
      <c r="CG165" s="81" t="s">
        <v>5</v>
      </c>
      <c r="CH165" s="81">
        <f t="shared" si="128"/>
        <v>0</v>
      </c>
      <c r="CI165" s="81">
        <f t="shared" si="129"/>
        <v>0</v>
      </c>
      <c r="CJ165" s="81" t="s">
        <v>18</v>
      </c>
      <c r="CK165" s="81">
        <f t="shared" si="130"/>
        <v>0</v>
      </c>
      <c r="CL165" s="81">
        <f t="shared" si="131"/>
        <v>0</v>
      </c>
      <c r="CM165" s="81" t="s">
        <v>4</v>
      </c>
      <c r="CN165" s="81">
        <f t="shared" si="132"/>
        <v>0</v>
      </c>
      <c r="CO165" s="81">
        <f t="shared" si="133"/>
        <v>0</v>
      </c>
      <c r="CP165" s="81" t="s">
        <v>22</v>
      </c>
      <c r="CQ165" s="81">
        <f t="shared" si="134"/>
        <v>0</v>
      </c>
      <c r="CR165" s="81">
        <f t="shared" si="135"/>
        <v>0</v>
      </c>
      <c r="CS165" s="81" t="s">
        <v>21</v>
      </c>
      <c r="CT165" s="81">
        <f t="shared" si="136"/>
        <v>0</v>
      </c>
      <c r="CU165" s="81">
        <f t="shared" si="137"/>
        <v>0</v>
      </c>
      <c r="CV165" s="81" t="s">
        <v>998</v>
      </c>
      <c r="CW165" s="81">
        <f t="shared" si="138"/>
        <v>0</v>
      </c>
      <c r="CX165" s="81">
        <f t="shared" si="139"/>
        <v>0</v>
      </c>
      <c r="CY165" s="81" t="s">
        <v>19</v>
      </c>
      <c r="CZ165" s="81">
        <f t="shared" si="140"/>
        <v>0</v>
      </c>
      <c r="DA165" s="81">
        <f t="shared" si="141"/>
        <v>0</v>
      </c>
      <c r="DB165" s="81" t="s">
        <v>20</v>
      </c>
      <c r="DC165" s="81">
        <f t="shared" si="142"/>
        <v>0</v>
      </c>
      <c r="DD165" s="81">
        <f t="shared" si="143"/>
        <v>0</v>
      </c>
      <c r="DE165" s="81" t="s">
        <v>23</v>
      </c>
      <c r="DF165" s="81">
        <f t="shared" si="144"/>
        <v>0</v>
      </c>
      <c r="DG165" s="81">
        <f t="shared" si="145"/>
        <v>0</v>
      </c>
      <c r="DH165" s="81" t="s">
        <v>15</v>
      </c>
      <c r="DI165" s="81">
        <f t="shared" si="146"/>
        <v>0</v>
      </c>
      <c r="DJ165" s="81">
        <f t="shared" si="147"/>
        <v>0</v>
      </c>
      <c r="DK165" s="81" t="s">
        <v>5387</v>
      </c>
      <c r="DL165" s="81">
        <f t="shared" si="148"/>
        <v>0</v>
      </c>
      <c r="DM165" s="81">
        <f t="shared" si="149"/>
        <v>0</v>
      </c>
      <c r="DN165" s="81" t="s">
        <v>7</v>
      </c>
      <c r="DO165" s="81">
        <f t="shared" si="150"/>
        <v>0</v>
      </c>
      <c r="DP165" s="81">
        <f t="shared" si="151"/>
        <v>0</v>
      </c>
      <c r="DQ165" s="81" t="s">
        <v>1</v>
      </c>
      <c r="DR165" s="81">
        <f t="shared" si="152"/>
        <v>0</v>
      </c>
      <c r="DS165" s="81">
        <f t="shared" si="153"/>
        <v>0</v>
      </c>
    </row>
    <row r="166" spans="14:123" x14ac:dyDescent="0.3">
      <c r="N166" s="81">
        <f>IF(Q167=0,IF(Q166=0,,"x"),)</f>
        <v>0</v>
      </c>
      <c r="O166" s="81">
        <f t="shared" si="154"/>
        <v>0</v>
      </c>
      <c r="P166" s="81">
        <f t="shared" si="118"/>
        <v>0</v>
      </c>
      <c r="Q166" s="81">
        <f t="shared" si="155"/>
        <v>0</v>
      </c>
      <c r="R166" s="81">
        <f>IF(W166="",,SUM($W$4:W166))</f>
        <v>0</v>
      </c>
      <c r="S166" s="81">
        <f t="shared" si="119"/>
        <v>0</v>
      </c>
      <c r="T166" s="81">
        <f t="shared" si="156"/>
        <v>0</v>
      </c>
      <c r="U166" s="81">
        <f t="shared" si="120"/>
        <v>0</v>
      </c>
      <c r="V166" s="81" t="str">
        <f t="shared" ca="1" si="121"/>
        <v/>
      </c>
      <c r="X166" s="81">
        <f t="shared" si="159"/>
        <v>0</v>
      </c>
      <c r="Y166" s="81">
        <f t="shared" si="160"/>
        <v>0</v>
      </c>
      <c r="AE166" s="81">
        <v>166</v>
      </c>
      <c r="AI166" s="81">
        <v>163</v>
      </c>
      <c r="AJ166" s="81" t="str">
        <f t="shared" si="109"/>
        <v>Mars 32</v>
      </c>
      <c r="AK166" s="81" t="str">
        <f t="shared" si="158"/>
        <v>Mars</v>
      </c>
      <c r="AL166" s="81">
        <f t="shared" si="157"/>
        <v>32</v>
      </c>
      <c r="AM166" s="81" t="str">
        <f t="shared" si="122"/>
        <v>='Mars 32'!</v>
      </c>
      <c r="AN166" s="81" t="str">
        <f t="shared" si="115"/>
        <v>='Mars 32'!C27</v>
      </c>
      <c r="AO166" s="81" t="s">
        <v>1166</v>
      </c>
      <c r="AR166" s="81" t="s">
        <v>226</v>
      </c>
      <c r="AS166" s="83" t="str">
        <f t="shared" si="110"/>
        <v>='Mars 32'!C6</v>
      </c>
      <c r="AT166" s="83">
        <f t="shared" si="111"/>
        <v>0</v>
      </c>
      <c r="AV166" s="81" t="s">
        <v>527</v>
      </c>
      <c r="AW166" s="81" t="s">
        <v>3100</v>
      </c>
      <c r="AX166" s="81" t="s">
        <v>3101</v>
      </c>
      <c r="AY166" s="81" t="s">
        <v>3102</v>
      </c>
      <c r="AZ166" s="81" t="s">
        <v>3103</v>
      </c>
      <c r="BA166" s="81" t="s">
        <v>3104</v>
      </c>
      <c r="BB166" s="81" t="s">
        <v>3105</v>
      </c>
      <c r="BC166" s="81" t="s">
        <v>3106</v>
      </c>
      <c r="BD166" s="81" t="s">
        <v>3107</v>
      </c>
      <c r="BE166" s="81" t="s">
        <v>3108</v>
      </c>
      <c r="BF166" s="81" t="s">
        <v>3109</v>
      </c>
      <c r="BG166" s="81" t="s">
        <v>3110</v>
      </c>
      <c r="BH166" s="81" t="s">
        <v>4783</v>
      </c>
      <c r="BI166" s="81" t="s">
        <v>5087</v>
      </c>
      <c r="BJ166" s="81" t="s">
        <v>226</v>
      </c>
      <c r="BL166" s="81" t="s">
        <v>830</v>
      </c>
      <c r="BM166" s="81">
        <v>163</v>
      </c>
      <c r="BN166" s="81" t="str">
        <f t="shared" si="112"/>
        <v>='Mars 32'!C12</v>
      </c>
      <c r="BP166" s="81" t="str">
        <f t="shared" ca="1" si="123"/>
        <v/>
      </c>
      <c r="BR166" s="84">
        <f t="shared" si="116"/>
        <v>0</v>
      </c>
      <c r="BS166" s="84">
        <f t="shared" si="117"/>
        <v>0</v>
      </c>
      <c r="CA166" s="81" t="s">
        <v>2</v>
      </c>
      <c r="CB166" s="81">
        <f t="shared" si="124"/>
        <v>0</v>
      </c>
      <c r="CC166" s="81">
        <f t="shared" si="125"/>
        <v>0</v>
      </c>
      <c r="CD166" s="81" t="s">
        <v>16</v>
      </c>
      <c r="CE166" s="81">
        <f t="shared" si="126"/>
        <v>0</v>
      </c>
      <c r="CF166" s="81">
        <f t="shared" si="127"/>
        <v>0</v>
      </c>
      <c r="CG166" s="81" t="s">
        <v>5</v>
      </c>
      <c r="CH166" s="81">
        <f t="shared" si="128"/>
        <v>0</v>
      </c>
      <c r="CI166" s="81">
        <f t="shared" si="129"/>
        <v>0</v>
      </c>
      <c r="CJ166" s="81" t="s">
        <v>18</v>
      </c>
      <c r="CK166" s="81">
        <f t="shared" si="130"/>
        <v>0</v>
      </c>
      <c r="CL166" s="81">
        <f t="shared" si="131"/>
        <v>0</v>
      </c>
      <c r="CM166" s="81" t="s">
        <v>4</v>
      </c>
      <c r="CN166" s="81">
        <f t="shared" si="132"/>
        <v>0</v>
      </c>
      <c r="CO166" s="81">
        <f t="shared" si="133"/>
        <v>0</v>
      </c>
      <c r="CP166" s="81" t="s">
        <v>22</v>
      </c>
      <c r="CQ166" s="81">
        <f t="shared" si="134"/>
        <v>0</v>
      </c>
      <c r="CR166" s="81">
        <f t="shared" si="135"/>
        <v>0</v>
      </c>
      <c r="CS166" s="81" t="s">
        <v>21</v>
      </c>
      <c r="CT166" s="81">
        <f t="shared" si="136"/>
        <v>0</v>
      </c>
      <c r="CU166" s="81">
        <f t="shared" si="137"/>
        <v>0</v>
      </c>
      <c r="CV166" s="81" t="s">
        <v>998</v>
      </c>
      <c r="CW166" s="81">
        <f t="shared" si="138"/>
        <v>0</v>
      </c>
      <c r="CX166" s="81">
        <f t="shared" si="139"/>
        <v>0</v>
      </c>
      <c r="CY166" s="81" t="s">
        <v>19</v>
      </c>
      <c r="CZ166" s="81">
        <f t="shared" si="140"/>
        <v>0</v>
      </c>
      <c r="DA166" s="81">
        <f t="shared" si="141"/>
        <v>0</v>
      </c>
      <c r="DB166" s="81" t="s">
        <v>20</v>
      </c>
      <c r="DC166" s="81">
        <f t="shared" si="142"/>
        <v>0</v>
      </c>
      <c r="DD166" s="81">
        <f t="shared" si="143"/>
        <v>0</v>
      </c>
      <c r="DE166" s="81" t="s">
        <v>23</v>
      </c>
      <c r="DF166" s="81">
        <f t="shared" si="144"/>
        <v>0</v>
      </c>
      <c r="DG166" s="81">
        <f t="shared" si="145"/>
        <v>0</v>
      </c>
      <c r="DH166" s="81" t="s">
        <v>15</v>
      </c>
      <c r="DI166" s="81">
        <f t="shared" si="146"/>
        <v>0</v>
      </c>
      <c r="DJ166" s="81">
        <f t="shared" si="147"/>
        <v>0</v>
      </c>
      <c r="DK166" s="81" t="s">
        <v>5388</v>
      </c>
      <c r="DL166" s="81">
        <f t="shared" si="148"/>
        <v>0</v>
      </c>
      <c r="DM166" s="81">
        <f t="shared" si="149"/>
        <v>0</v>
      </c>
      <c r="DN166" s="81" t="s">
        <v>7</v>
      </c>
      <c r="DO166" s="81">
        <f t="shared" si="150"/>
        <v>0</v>
      </c>
      <c r="DP166" s="81">
        <f t="shared" si="151"/>
        <v>0</v>
      </c>
      <c r="DQ166" s="81" t="s">
        <v>1</v>
      </c>
      <c r="DR166" s="81">
        <f t="shared" si="152"/>
        <v>0</v>
      </c>
      <c r="DS166" s="81">
        <f t="shared" si="153"/>
        <v>0</v>
      </c>
    </row>
    <row r="167" spans="14:123" x14ac:dyDescent="0.3">
      <c r="N167" s="81">
        <f>IF(Q168=0,IF(Q167=0,,"x"),)</f>
        <v>0</v>
      </c>
      <c r="O167" s="81">
        <f t="shared" si="154"/>
        <v>0</v>
      </c>
      <c r="P167" s="81">
        <f t="shared" si="118"/>
        <v>0</v>
      </c>
      <c r="Q167" s="81">
        <f t="shared" si="155"/>
        <v>0</v>
      </c>
      <c r="R167" s="81">
        <f>IF(W167="",,SUM($W$4:W167))</f>
        <v>0</v>
      </c>
      <c r="S167" s="81">
        <f t="shared" si="119"/>
        <v>0</v>
      </c>
      <c r="T167" s="81">
        <f t="shared" si="156"/>
        <v>0</v>
      </c>
      <c r="U167" s="81">
        <f t="shared" si="120"/>
        <v>0</v>
      </c>
      <c r="V167" s="81" t="str">
        <f t="shared" ca="1" si="121"/>
        <v/>
      </c>
      <c r="X167" s="81">
        <f t="shared" si="159"/>
        <v>0</v>
      </c>
      <c r="Y167" s="81">
        <f t="shared" si="160"/>
        <v>0</v>
      </c>
      <c r="AE167" s="81">
        <v>167</v>
      </c>
      <c r="AI167" s="81">
        <v>164</v>
      </c>
      <c r="AJ167" s="81" t="str">
        <f t="shared" si="109"/>
        <v>April 32</v>
      </c>
      <c r="AK167" s="81" t="str">
        <f t="shared" si="158"/>
        <v>April</v>
      </c>
      <c r="AL167" s="81">
        <f t="shared" si="157"/>
        <v>32</v>
      </c>
      <c r="AM167" s="81" t="str">
        <f t="shared" si="122"/>
        <v>='April 32'!</v>
      </c>
      <c r="AN167" s="81" t="str">
        <f t="shared" si="115"/>
        <v>='April 32'!C27</v>
      </c>
      <c r="AO167" s="81" t="s">
        <v>1167</v>
      </c>
      <c r="AR167" s="81" t="s">
        <v>227</v>
      </c>
      <c r="AS167" s="83" t="str">
        <f t="shared" si="110"/>
        <v>='April 32'!C6</v>
      </c>
      <c r="AT167" s="83">
        <f t="shared" si="111"/>
        <v>0</v>
      </c>
      <c r="AV167" s="81" t="s">
        <v>528</v>
      </c>
      <c r="AW167" s="81" t="s">
        <v>3111</v>
      </c>
      <c r="AX167" s="81" t="s">
        <v>3112</v>
      </c>
      <c r="AY167" s="81" t="s">
        <v>3113</v>
      </c>
      <c r="AZ167" s="81" t="s">
        <v>3114</v>
      </c>
      <c r="BA167" s="81" t="s">
        <v>3115</v>
      </c>
      <c r="BB167" s="81" t="s">
        <v>3116</v>
      </c>
      <c r="BC167" s="81" t="s">
        <v>3117</v>
      </c>
      <c r="BD167" s="81" t="s">
        <v>3118</v>
      </c>
      <c r="BE167" s="81" t="s">
        <v>3119</v>
      </c>
      <c r="BF167" s="81" t="s">
        <v>3120</v>
      </c>
      <c r="BG167" s="81" t="s">
        <v>3121</v>
      </c>
      <c r="BH167" s="81" t="s">
        <v>4784</v>
      </c>
      <c r="BI167" s="81" t="s">
        <v>5088</v>
      </c>
      <c r="BJ167" s="81" t="s">
        <v>227</v>
      </c>
      <c r="BL167" s="81" t="s">
        <v>831</v>
      </c>
      <c r="BM167" s="81">
        <v>164</v>
      </c>
      <c r="BN167" s="81" t="str">
        <f t="shared" si="112"/>
        <v>='April 32'!C12</v>
      </c>
      <c r="BP167" s="81" t="str">
        <f t="shared" ca="1" si="123"/>
        <v/>
      </c>
      <c r="BR167" s="84">
        <f t="shared" si="116"/>
        <v>0</v>
      </c>
      <c r="BS167" s="84">
        <f t="shared" si="117"/>
        <v>0</v>
      </c>
      <c r="CA167" s="81" t="s">
        <v>2</v>
      </c>
      <c r="CB167" s="81">
        <f t="shared" si="124"/>
        <v>0</v>
      </c>
      <c r="CC167" s="81">
        <f t="shared" si="125"/>
        <v>0</v>
      </c>
      <c r="CD167" s="81" t="s">
        <v>16</v>
      </c>
      <c r="CE167" s="81">
        <f t="shared" si="126"/>
        <v>0</v>
      </c>
      <c r="CF167" s="81">
        <f t="shared" si="127"/>
        <v>0</v>
      </c>
      <c r="CG167" s="81" t="s">
        <v>5</v>
      </c>
      <c r="CH167" s="81">
        <f t="shared" si="128"/>
        <v>0</v>
      </c>
      <c r="CI167" s="81">
        <f t="shared" si="129"/>
        <v>0</v>
      </c>
      <c r="CJ167" s="81" t="s">
        <v>18</v>
      </c>
      <c r="CK167" s="81">
        <f t="shared" si="130"/>
        <v>0</v>
      </c>
      <c r="CL167" s="81">
        <f t="shared" si="131"/>
        <v>0</v>
      </c>
      <c r="CM167" s="81" t="s">
        <v>4</v>
      </c>
      <c r="CN167" s="81">
        <f t="shared" si="132"/>
        <v>0</v>
      </c>
      <c r="CO167" s="81">
        <f t="shared" si="133"/>
        <v>0</v>
      </c>
      <c r="CP167" s="81" t="s">
        <v>22</v>
      </c>
      <c r="CQ167" s="81">
        <f t="shared" si="134"/>
        <v>0</v>
      </c>
      <c r="CR167" s="81">
        <f t="shared" si="135"/>
        <v>0</v>
      </c>
      <c r="CS167" s="81" t="s">
        <v>21</v>
      </c>
      <c r="CT167" s="81">
        <f t="shared" si="136"/>
        <v>0</v>
      </c>
      <c r="CU167" s="81">
        <f t="shared" si="137"/>
        <v>0</v>
      </c>
      <c r="CV167" s="81" t="s">
        <v>998</v>
      </c>
      <c r="CW167" s="81">
        <f t="shared" si="138"/>
        <v>0</v>
      </c>
      <c r="CX167" s="81">
        <f t="shared" si="139"/>
        <v>0</v>
      </c>
      <c r="CY167" s="81" t="s">
        <v>19</v>
      </c>
      <c r="CZ167" s="81">
        <f t="shared" si="140"/>
        <v>0</v>
      </c>
      <c r="DA167" s="81">
        <f t="shared" si="141"/>
        <v>0</v>
      </c>
      <c r="DB167" s="81" t="s">
        <v>20</v>
      </c>
      <c r="DC167" s="81">
        <f t="shared" si="142"/>
        <v>0</v>
      </c>
      <c r="DD167" s="81">
        <f t="shared" si="143"/>
        <v>0</v>
      </c>
      <c r="DE167" s="81" t="s">
        <v>23</v>
      </c>
      <c r="DF167" s="81">
        <f t="shared" si="144"/>
        <v>0</v>
      </c>
      <c r="DG167" s="81">
        <f t="shared" si="145"/>
        <v>0</v>
      </c>
      <c r="DH167" s="81" t="s">
        <v>15</v>
      </c>
      <c r="DI167" s="81">
        <f t="shared" si="146"/>
        <v>0</v>
      </c>
      <c r="DJ167" s="81">
        <f t="shared" si="147"/>
        <v>0</v>
      </c>
      <c r="DK167" s="81" t="s">
        <v>5389</v>
      </c>
      <c r="DL167" s="81">
        <f t="shared" si="148"/>
        <v>0</v>
      </c>
      <c r="DM167" s="81">
        <f t="shared" si="149"/>
        <v>0</v>
      </c>
      <c r="DN167" s="81" t="s">
        <v>7</v>
      </c>
      <c r="DO167" s="81">
        <f t="shared" si="150"/>
        <v>0</v>
      </c>
      <c r="DP167" s="81">
        <f t="shared" si="151"/>
        <v>0</v>
      </c>
      <c r="DQ167" s="81" t="s">
        <v>1</v>
      </c>
      <c r="DR167" s="81">
        <f t="shared" si="152"/>
        <v>0</v>
      </c>
      <c r="DS167" s="81">
        <f t="shared" si="153"/>
        <v>0</v>
      </c>
    </row>
    <row r="168" spans="14:123" x14ac:dyDescent="0.3">
      <c r="N168" s="81">
        <f>IF(Q169=0,IF(Q168=0,,"x"),)</f>
        <v>0</v>
      </c>
      <c r="O168" s="81">
        <f t="shared" si="154"/>
        <v>0</v>
      </c>
      <c r="P168" s="81">
        <f t="shared" si="118"/>
        <v>0</v>
      </c>
      <c r="Q168" s="81">
        <f t="shared" si="155"/>
        <v>0</v>
      </c>
      <c r="R168" s="81">
        <f>IF(W168="",,SUM($W$4:W168))</f>
        <v>0</v>
      </c>
      <c r="S168" s="81">
        <f t="shared" si="119"/>
        <v>0</v>
      </c>
      <c r="T168" s="81">
        <f t="shared" si="156"/>
        <v>0</v>
      </c>
      <c r="U168" s="81">
        <f t="shared" si="120"/>
        <v>0</v>
      </c>
      <c r="V168" s="81" t="str">
        <f t="shared" ca="1" si="121"/>
        <v/>
      </c>
      <c r="X168" s="81">
        <f t="shared" si="159"/>
        <v>0</v>
      </c>
      <c r="Y168" s="81">
        <f t="shared" si="160"/>
        <v>0</v>
      </c>
      <c r="AE168" s="81">
        <v>168</v>
      </c>
      <c r="AI168" s="81">
        <v>165</v>
      </c>
      <c r="AJ168" s="81" t="str">
        <f t="shared" si="109"/>
        <v>Maj 32</v>
      </c>
      <c r="AK168" s="81" t="str">
        <f t="shared" si="158"/>
        <v>Maj</v>
      </c>
      <c r="AL168" s="81">
        <f t="shared" si="157"/>
        <v>32</v>
      </c>
      <c r="AM168" s="81" t="str">
        <f t="shared" si="122"/>
        <v>='Maj 32'!</v>
      </c>
      <c r="AN168" s="81" t="str">
        <f t="shared" si="115"/>
        <v>='Maj 32'!C27</v>
      </c>
      <c r="AO168" s="81" t="s">
        <v>1168</v>
      </c>
      <c r="AR168" s="81" t="s">
        <v>228</v>
      </c>
      <c r="AS168" s="83" t="str">
        <f t="shared" si="110"/>
        <v>='Maj 32'!C6</v>
      </c>
      <c r="AT168" s="83">
        <f t="shared" si="111"/>
        <v>0</v>
      </c>
      <c r="AV168" s="81" t="s">
        <v>529</v>
      </c>
      <c r="AW168" s="81" t="s">
        <v>3122</v>
      </c>
      <c r="AX168" s="81" t="s">
        <v>3123</v>
      </c>
      <c r="AY168" s="81" t="s">
        <v>3124</v>
      </c>
      <c r="AZ168" s="81" t="s">
        <v>3125</v>
      </c>
      <c r="BA168" s="81" t="s">
        <v>3126</v>
      </c>
      <c r="BB168" s="81" t="s">
        <v>3127</v>
      </c>
      <c r="BC168" s="81" t="s">
        <v>3128</v>
      </c>
      <c r="BD168" s="81" t="s">
        <v>3129</v>
      </c>
      <c r="BE168" s="81" t="s">
        <v>3130</v>
      </c>
      <c r="BF168" s="81" t="s">
        <v>3131</v>
      </c>
      <c r="BG168" s="81" t="s">
        <v>3132</v>
      </c>
      <c r="BH168" s="81" t="s">
        <v>4785</v>
      </c>
      <c r="BI168" s="81" t="s">
        <v>5089</v>
      </c>
      <c r="BJ168" s="81" t="s">
        <v>228</v>
      </c>
      <c r="BL168" s="81" t="s">
        <v>832</v>
      </c>
      <c r="BM168" s="81">
        <v>165</v>
      </c>
      <c r="BN168" s="81" t="str">
        <f t="shared" si="112"/>
        <v>='Maj 32'!C12</v>
      </c>
      <c r="BP168" s="81" t="str">
        <f t="shared" ca="1" si="123"/>
        <v/>
      </c>
      <c r="BR168" s="84">
        <f t="shared" si="116"/>
        <v>0</v>
      </c>
      <c r="BS168" s="84">
        <f t="shared" si="117"/>
        <v>0</v>
      </c>
      <c r="CA168" s="81" t="s">
        <v>2</v>
      </c>
      <c r="CB168" s="81">
        <f t="shared" si="124"/>
        <v>0</v>
      </c>
      <c r="CC168" s="81">
        <f t="shared" si="125"/>
        <v>0</v>
      </c>
      <c r="CD168" s="81" t="s">
        <v>16</v>
      </c>
      <c r="CE168" s="81">
        <f t="shared" si="126"/>
        <v>0</v>
      </c>
      <c r="CF168" s="81">
        <f t="shared" si="127"/>
        <v>0</v>
      </c>
      <c r="CG168" s="81" t="s">
        <v>5</v>
      </c>
      <c r="CH168" s="81">
        <f t="shared" si="128"/>
        <v>0</v>
      </c>
      <c r="CI168" s="81">
        <f t="shared" si="129"/>
        <v>0</v>
      </c>
      <c r="CJ168" s="81" t="s">
        <v>18</v>
      </c>
      <c r="CK168" s="81">
        <f t="shared" si="130"/>
        <v>0</v>
      </c>
      <c r="CL168" s="81">
        <f t="shared" si="131"/>
        <v>0</v>
      </c>
      <c r="CM168" s="81" t="s">
        <v>4</v>
      </c>
      <c r="CN168" s="81">
        <f t="shared" si="132"/>
        <v>0</v>
      </c>
      <c r="CO168" s="81">
        <f t="shared" si="133"/>
        <v>0</v>
      </c>
      <c r="CP168" s="81" t="s">
        <v>22</v>
      </c>
      <c r="CQ168" s="81">
        <f t="shared" si="134"/>
        <v>0</v>
      </c>
      <c r="CR168" s="81">
        <f t="shared" si="135"/>
        <v>0</v>
      </c>
      <c r="CS168" s="81" t="s">
        <v>21</v>
      </c>
      <c r="CT168" s="81">
        <f t="shared" si="136"/>
        <v>0</v>
      </c>
      <c r="CU168" s="81">
        <f t="shared" si="137"/>
        <v>0</v>
      </c>
      <c r="CV168" s="81" t="s">
        <v>998</v>
      </c>
      <c r="CW168" s="81">
        <f t="shared" si="138"/>
        <v>0</v>
      </c>
      <c r="CX168" s="81">
        <f t="shared" si="139"/>
        <v>0</v>
      </c>
      <c r="CY168" s="81" t="s">
        <v>19</v>
      </c>
      <c r="CZ168" s="81">
        <f t="shared" si="140"/>
        <v>0</v>
      </c>
      <c r="DA168" s="81">
        <f t="shared" si="141"/>
        <v>0</v>
      </c>
      <c r="DB168" s="81" t="s">
        <v>20</v>
      </c>
      <c r="DC168" s="81">
        <f t="shared" si="142"/>
        <v>0</v>
      </c>
      <c r="DD168" s="81">
        <f t="shared" si="143"/>
        <v>0</v>
      </c>
      <c r="DE168" s="81" t="s">
        <v>23</v>
      </c>
      <c r="DF168" s="81">
        <f t="shared" si="144"/>
        <v>0</v>
      </c>
      <c r="DG168" s="81">
        <f t="shared" si="145"/>
        <v>0</v>
      </c>
      <c r="DH168" s="81" t="s">
        <v>15</v>
      </c>
      <c r="DI168" s="81">
        <f t="shared" si="146"/>
        <v>0</v>
      </c>
      <c r="DJ168" s="81">
        <f t="shared" si="147"/>
        <v>0</v>
      </c>
      <c r="DK168" s="81" t="s">
        <v>5390</v>
      </c>
      <c r="DL168" s="81">
        <f t="shared" si="148"/>
        <v>0</v>
      </c>
      <c r="DM168" s="81">
        <f t="shared" si="149"/>
        <v>0</v>
      </c>
      <c r="DN168" s="81" t="s">
        <v>7</v>
      </c>
      <c r="DO168" s="81">
        <f t="shared" si="150"/>
        <v>0</v>
      </c>
      <c r="DP168" s="81">
        <f t="shared" si="151"/>
        <v>0</v>
      </c>
      <c r="DQ168" s="81" t="s">
        <v>1</v>
      </c>
      <c r="DR168" s="81">
        <f t="shared" si="152"/>
        <v>0</v>
      </c>
      <c r="DS168" s="81">
        <f t="shared" si="153"/>
        <v>0</v>
      </c>
    </row>
    <row r="169" spans="14:123" x14ac:dyDescent="0.3">
      <c r="N169" s="81">
        <f>IF(Q170=0,IF(Q169=0,,"x"),)</f>
        <v>0</v>
      </c>
      <c r="O169" s="81">
        <f t="shared" si="154"/>
        <v>0</v>
      </c>
      <c r="P169" s="81">
        <f t="shared" si="118"/>
        <v>0</v>
      </c>
      <c r="Q169" s="81">
        <f t="shared" si="155"/>
        <v>0</v>
      </c>
      <c r="R169" s="81">
        <f>IF(W169="",,SUM($W$4:W169))</f>
        <v>0</v>
      </c>
      <c r="S169" s="81">
        <f t="shared" si="119"/>
        <v>0</v>
      </c>
      <c r="T169" s="81">
        <f t="shared" si="156"/>
        <v>0</v>
      </c>
      <c r="U169" s="81">
        <f t="shared" si="120"/>
        <v>0</v>
      </c>
      <c r="V169" s="81" t="str">
        <f t="shared" ca="1" si="121"/>
        <v/>
      </c>
      <c r="X169" s="81">
        <f t="shared" si="159"/>
        <v>0</v>
      </c>
      <c r="Y169" s="81">
        <f t="shared" si="160"/>
        <v>0</v>
      </c>
      <c r="AE169" s="81">
        <v>169</v>
      </c>
      <c r="AI169" s="81">
        <v>166</v>
      </c>
      <c r="AJ169" s="81" t="str">
        <f t="shared" si="109"/>
        <v>Juni 32</v>
      </c>
      <c r="AK169" s="81" t="str">
        <f t="shared" si="158"/>
        <v>Juni</v>
      </c>
      <c r="AL169" s="81">
        <f t="shared" si="157"/>
        <v>32</v>
      </c>
      <c r="AM169" s="81" t="str">
        <f t="shared" si="122"/>
        <v>='Juni 32'!</v>
      </c>
      <c r="AN169" s="81" t="str">
        <f t="shared" si="115"/>
        <v>='Juni 32'!C27</v>
      </c>
      <c r="AO169" s="81" t="s">
        <v>1169</v>
      </c>
      <c r="AR169" s="81" t="s">
        <v>229</v>
      </c>
      <c r="AS169" s="83" t="str">
        <f t="shared" si="110"/>
        <v>='Juni 32'!C6</v>
      </c>
      <c r="AT169" s="83">
        <f t="shared" si="111"/>
        <v>0</v>
      </c>
      <c r="AV169" s="81" t="s">
        <v>530</v>
      </c>
      <c r="AW169" s="81" t="s">
        <v>3133</v>
      </c>
      <c r="AX169" s="81" t="s">
        <v>3134</v>
      </c>
      <c r="AY169" s="81" t="s">
        <v>3135</v>
      </c>
      <c r="AZ169" s="81" t="s">
        <v>3136</v>
      </c>
      <c r="BA169" s="81" t="s">
        <v>3137</v>
      </c>
      <c r="BB169" s="81" t="s">
        <v>3138</v>
      </c>
      <c r="BC169" s="81" t="s">
        <v>3139</v>
      </c>
      <c r="BD169" s="81" t="s">
        <v>3140</v>
      </c>
      <c r="BE169" s="81" t="s">
        <v>3141</v>
      </c>
      <c r="BF169" s="81" t="s">
        <v>3142</v>
      </c>
      <c r="BG169" s="81" t="s">
        <v>3143</v>
      </c>
      <c r="BH169" s="81" t="s">
        <v>4786</v>
      </c>
      <c r="BI169" s="81" t="s">
        <v>5090</v>
      </c>
      <c r="BJ169" s="81" t="s">
        <v>229</v>
      </c>
      <c r="BL169" s="81" t="s">
        <v>833</v>
      </c>
      <c r="BM169" s="81">
        <v>166</v>
      </c>
      <c r="BN169" s="81" t="str">
        <f t="shared" si="112"/>
        <v>='Juni 32'!C12</v>
      </c>
      <c r="BP169" s="81" t="str">
        <f t="shared" ca="1" si="123"/>
        <v/>
      </c>
      <c r="BR169" s="84">
        <f t="shared" si="116"/>
        <v>0</v>
      </c>
      <c r="BS169" s="84">
        <f t="shared" si="117"/>
        <v>0</v>
      </c>
      <c r="CA169" s="81" t="s">
        <v>2</v>
      </c>
      <c r="CB169" s="81">
        <f t="shared" si="124"/>
        <v>0</v>
      </c>
      <c r="CC169" s="81">
        <f t="shared" si="125"/>
        <v>0</v>
      </c>
      <c r="CD169" s="81" t="s">
        <v>16</v>
      </c>
      <c r="CE169" s="81">
        <f t="shared" si="126"/>
        <v>0</v>
      </c>
      <c r="CF169" s="81">
        <f t="shared" si="127"/>
        <v>0</v>
      </c>
      <c r="CG169" s="81" t="s">
        <v>5</v>
      </c>
      <c r="CH169" s="81">
        <f t="shared" si="128"/>
        <v>0</v>
      </c>
      <c r="CI169" s="81">
        <f t="shared" si="129"/>
        <v>0</v>
      </c>
      <c r="CJ169" s="81" t="s">
        <v>18</v>
      </c>
      <c r="CK169" s="81">
        <f t="shared" si="130"/>
        <v>0</v>
      </c>
      <c r="CL169" s="81">
        <f t="shared" si="131"/>
        <v>0</v>
      </c>
      <c r="CM169" s="81" t="s">
        <v>4</v>
      </c>
      <c r="CN169" s="81">
        <f t="shared" si="132"/>
        <v>0</v>
      </c>
      <c r="CO169" s="81">
        <f t="shared" si="133"/>
        <v>0</v>
      </c>
      <c r="CP169" s="81" t="s">
        <v>22</v>
      </c>
      <c r="CQ169" s="81">
        <f t="shared" si="134"/>
        <v>0</v>
      </c>
      <c r="CR169" s="81">
        <f t="shared" si="135"/>
        <v>0</v>
      </c>
      <c r="CS169" s="81" t="s">
        <v>21</v>
      </c>
      <c r="CT169" s="81">
        <f t="shared" si="136"/>
        <v>0</v>
      </c>
      <c r="CU169" s="81">
        <f t="shared" si="137"/>
        <v>0</v>
      </c>
      <c r="CV169" s="81" t="s">
        <v>998</v>
      </c>
      <c r="CW169" s="81">
        <f t="shared" si="138"/>
        <v>0</v>
      </c>
      <c r="CX169" s="81">
        <f t="shared" si="139"/>
        <v>0</v>
      </c>
      <c r="CY169" s="81" t="s">
        <v>19</v>
      </c>
      <c r="CZ169" s="81">
        <f t="shared" si="140"/>
        <v>0</v>
      </c>
      <c r="DA169" s="81">
        <f t="shared" si="141"/>
        <v>0</v>
      </c>
      <c r="DB169" s="81" t="s">
        <v>20</v>
      </c>
      <c r="DC169" s="81">
        <f t="shared" si="142"/>
        <v>0</v>
      </c>
      <c r="DD169" s="81">
        <f t="shared" si="143"/>
        <v>0</v>
      </c>
      <c r="DE169" s="81" t="s">
        <v>23</v>
      </c>
      <c r="DF169" s="81">
        <f t="shared" si="144"/>
        <v>0</v>
      </c>
      <c r="DG169" s="81">
        <f t="shared" si="145"/>
        <v>0</v>
      </c>
      <c r="DH169" s="81" t="s">
        <v>15</v>
      </c>
      <c r="DI169" s="81">
        <f t="shared" si="146"/>
        <v>0</v>
      </c>
      <c r="DJ169" s="81">
        <f t="shared" si="147"/>
        <v>0</v>
      </c>
      <c r="DK169" s="81" t="s">
        <v>5391</v>
      </c>
      <c r="DL169" s="81">
        <f t="shared" si="148"/>
        <v>0</v>
      </c>
      <c r="DM169" s="81">
        <f t="shared" si="149"/>
        <v>0</v>
      </c>
      <c r="DN169" s="81" t="s">
        <v>7</v>
      </c>
      <c r="DO169" s="81">
        <f t="shared" si="150"/>
        <v>0</v>
      </c>
      <c r="DP169" s="81">
        <f t="shared" si="151"/>
        <v>0</v>
      </c>
      <c r="DQ169" s="81" t="s">
        <v>1</v>
      </c>
      <c r="DR169" s="81">
        <f t="shared" si="152"/>
        <v>0</v>
      </c>
      <c r="DS169" s="81">
        <f t="shared" si="153"/>
        <v>0</v>
      </c>
    </row>
    <row r="170" spans="14:123" x14ac:dyDescent="0.3">
      <c r="N170" s="81">
        <f>IF(Q171=0,IF(Q170=0,,"x"),)</f>
        <v>0</v>
      </c>
      <c r="O170" s="81">
        <f t="shared" si="154"/>
        <v>0</v>
      </c>
      <c r="P170" s="81">
        <f t="shared" si="118"/>
        <v>0</v>
      </c>
      <c r="Q170" s="81">
        <f t="shared" si="155"/>
        <v>0</v>
      </c>
      <c r="R170" s="81">
        <f>IF(W170="",,SUM($W$4:W170))</f>
        <v>0</v>
      </c>
      <c r="S170" s="81">
        <f t="shared" si="119"/>
        <v>0</v>
      </c>
      <c r="T170" s="81">
        <f t="shared" si="156"/>
        <v>0</v>
      </c>
      <c r="U170" s="81">
        <f t="shared" si="120"/>
        <v>0</v>
      </c>
      <c r="V170" s="81" t="str">
        <f t="shared" ca="1" si="121"/>
        <v/>
      </c>
      <c r="X170" s="81">
        <f t="shared" si="159"/>
        <v>0</v>
      </c>
      <c r="Y170" s="81">
        <f t="shared" si="160"/>
        <v>0</v>
      </c>
      <c r="AE170" s="81">
        <v>170</v>
      </c>
      <c r="AI170" s="81">
        <v>167</v>
      </c>
      <c r="AJ170" s="81" t="str">
        <f t="shared" si="109"/>
        <v>Juli 32</v>
      </c>
      <c r="AK170" s="81" t="str">
        <f t="shared" si="158"/>
        <v>Juli</v>
      </c>
      <c r="AL170" s="81">
        <f t="shared" si="157"/>
        <v>32</v>
      </c>
      <c r="AM170" s="81" t="str">
        <f t="shared" si="122"/>
        <v>='Juli 32'!</v>
      </c>
      <c r="AN170" s="81" t="str">
        <f t="shared" si="115"/>
        <v>='Juli 32'!C27</v>
      </c>
      <c r="AO170" s="81" t="s">
        <v>1170</v>
      </c>
      <c r="AR170" s="81" t="s">
        <v>230</v>
      </c>
      <c r="AS170" s="83" t="str">
        <f t="shared" si="110"/>
        <v>='Juli 32'!C6</v>
      </c>
      <c r="AT170" s="83">
        <f t="shared" si="111"/>
        <v>0</v>
      </c>
      <c r="AV170" s="81" t="s">
        <v>531</v>
      </c>
      <c r="AW170" s="81" t="s">
        <v>3144</v>
      </c>
      <c r="AX170" s="81" t="s">
        <v>3145</v>
      </c>
      <c r="AY170" s="81" t="s">
        <v>3146</v>
      </c>
      <c r="AZ170" s="81" t="s">
        <v>3147</v>
      </c>
      <c r="BA170" s="81" t="s">
        <v>3148</v>
      </c>
      <c r="BB170" s="81" t="s">
        <v>3149</v>
      </c>
      <c r="BC170" s="81" t="s">
        <v>3150</v>
      </c>
      <c r="BD170" s="81" t="s">
        <v>3151</v>
      </c>
      <c r="BE170" s="81" t="s">
        <v>3152</v>
      </c>
      <c r="BF170" s="81" t="s">
        <v>3153</v>
      </c>
      <c r="BG170" s="81" t="s">
        <v>3154</v>
      </c>
      <c r="BH170" s="81" t="s">
        <v>4787</v>
      </c>
      <c r="BI170" s="81" t="s">
        <v>5091</v>
      </c>
      <c r="BJ170" s="81" t="s">
        <v>230</v>
      </c>
      <c r="BL170" s="81" t="s">
        <v>834</v>
      </c>
      <c r="BM170" s="81">
        <v>167</v>
      </c>
      <c r="BN170" s="81" t="str">
        <f t="shared" si="112"/>
        <v>='Juli 32'!C12</v>
      </c>
      <c r="BP170" s="81" t="str">
        <f t="shared" ca="1" si="123"/>
        <v/>
      </c>
      <c r="BR170" s="84">
        <f t="shared" si="116"/>
        <v>0</v>
      </c>
      <c r="BS170" s="84">
        <f t="shared" si="117"/>
        <v>0</v>
      </c>
      <c r="CA170" s="81" t="s">
        <v>2</v>
      </c>
      <c r="CB170" s="81">
        <f t="shared" si="124"/>
        <v>0</v>
      </c>
      <c r="CC170" s="81">
        <f t="shared" si="125"/>
        <v>0</v>
      </c>
      <c r="CD170" s="81" t="s">
        <v>16</v>
      </c>
      <c r="CE170" s="81">
        <f t="shared" si="126"/>
        <v>0</v>
      </c>
      <c r="CF170" s="81">
        <f t="shared" si="127"/>
        <v>0</v>
      </c>
      <c r="CG170" s="81" t="s">
        <v>5</v>
      </c>
      <c r="CH170" s="81">
        <f t="shared" si="128"/>
        <v>0</v>
      </c>
      <c r="CI170" s="81">
        <f t="shared" si="129"/>
        <v>0</v>
      </c>
      <c r="CJ170" s="81" t="s">
        <v>18</v>
      </c>
      <c r="CK170" s="81">
        <f t="shared" si="130"/>
        <v>0</v>
      </c>
      <c r="CL170" s="81">
        <f t="shared" si="131"/>
        <v>0</v>
      </c>
      <c r="CM170" s="81" t="s">
        <v>4</v>
      </c>
      <c r="CN170" s="81">
        <f t="shared" si="132"/>
        <v>0</v>
      </c>
      <c r="CO170" s="81">
        <f t="shared" si="133"/>
        <v>0</v>
      </c>
      <c r="CP170" s="81" t="s">
        <v>22</v>
      </c>
      <c r="CQ170" s="81">
        <f t="shared" si="134"/>
        <v>0</v>
      </c>
      <c r="CR170" s="81">
        <f t="shared" si="135"/>
        <v>0</v>
      </c>
      <c r="CS170" s="81" t="s">
        <v>21</v>
      </c>
      <c r="CT170" s="81">
        <f t="shared" si="136"/>
        <v>0</v>
      </c>
      <c r="CU170" s="81">
        <f t="shared" si="137"/>
        <v>0</v>
      </c>
      <c r="CV170" s="81" t="s">
        <v>998</v>
      </c>
      <c r="CW170" s="81">
        <f t="shared" si="138"/>
        <v>0</v>
      </c>
      <c r="CX170" s="81">
        <f t="shared" si="139"/>
        <v>0</v>
      </c>
      <c r="CY170" s="81" t="s">
        <v>19</v>
      </c>
      <c r="CZ170" s="81">
        <f t="shared" si="140"/>
        <v>0</v>
      </c>
      <c r="DA170" s="81">
        <f t="shared" si="141"/>
        <v>0</v>
      </c>
      <c r="DB170" s="81" t="s">
        <v>20</v>
      </c>
      <c r="DC170" s="81">
        <f t="shared" si="142"/>
        <v>0</v>
      </c>
      <c r="DD170" s="81">
        <f t="shared" si="143"/>
        <v>0</v>
      </c>
      <c r="DE170" s="81" t="s">
        <v>23</v>
      </c>
      <c r="DF170" s="81">
        <f t="shared" si="144"/>
        <v>0</v>
      </c>
      <c r="DG170" s="81">
        <f t="shared" si="145"/>
        <v>0</v>
      </c>
      <c r="DH170" s="81" t="s">
        <v>15</v>
      </c>
      <c r="DI170" s="81">
        <f t="shared" si="146"/>
        <v>0</v>
      </c>
      <c r="DJ170" s="81">
        <f t="shared" si="147"/>
        <v>0</v>
      </c>
      <c r="DK170" s="81" t="s">
        <v>5392</v>
      </c>
      <c r="DL170" s="81">
        <f t="shared" si="148"/>
        <v>0</v>
      </c>
      <c r="DM170" s="81">
        <f t="shared" si="149"/>
        <v>0</v>
      </c>
      <c r="DN170" s="81" t="s">
        <v>7</v>
      </c>
      <c r="DO170" s="81">
        <f t="shared" si="150"/>
        <v>0</v>
      </c>
      <c r="DP170" s="81">
        <f t="shared" si="151"/>
        <v>0</v>
      </c>
      <c r="DQ170" s="81" t="s">
        <v>1</v>
      </c>
      <c r="DR170" s="81">
        <f t="shared" si="152"/>
        <v>0</v>
      </c>
      <c r="DS170" s="81">
        <f t="shared" si="153"/>
        <v>0</v>
      </c>
    </row>
    <row r="171" spans="14:123" x14ac:dyDescent="0.3">
      <c r="N171" s="81">
        <f>IF(Q172=0,IF(Q171=0,,"x"),)</f>
        <v>0</v>
      </c>
      <c r="O171" s="81">
        <f t="shared" si="154"/>
        <v>0</v>
      </c>
      <c r="P171" s="81">
        <f t="shared" si="118"/>
        <v>0</v>
      </c>
      <c r="Q171" s="81">
        <f t="shared" si="155"/>
        <v>0</v>
      </c>
      <c r="R171" s="81">
        <f>IF(W171="",,SUM($W$4:W171))</f>
        <v>0</v>
      </c>
      <c r="S171" s="81">
        <f t="shared" si="119"/>
        <v>0</v>
      </c>
      <c r="T171" s="81">
        <f t="shared" si="156"/>
        <v>0</v>
      </c>
      <c r="U171" s="81">
        <f t="shared" si="120"/>
        <v>0</v>
      </c>
      <c r="V171" s="81" t="str">
        <f t="shared" ca="1" si="121"/>
        <v/>
      </c>
      <c r="X171" s="81">
        <f t="shared" si="159"/>
        <v>0</v>
      </c>
      <c r="Y171" s="81">
        <f t="shared" si="160"/>
        <v>0</v>
      </c>
      <c r="AE171" s="81">
        <v>171</v>
      </c>
      <c r="AI171" s="81">
        <v>168</v>
      </c>
      <c r="AJ171" s="81" t="str">
        <f t="shared" si="109"/>
        <v>Augusti 32</v>
      </c>
      <c r="AK171" s="81" t="str">
        <f t="shared" si="158"/>
        <v>Augusti</v>
      </c>
      <c r="AL171" s="81">
        <f t="shared" si="157"/>
        <v>32</v>
      </c>
      <c r="AM171" s="81" t="str">
        <f t="shared" si="122"/>
        <v>='Augusti 32'!</v>
      </c>
      <c r="AN171" s="81" t="str">
        <f t="shared" si="115"/>
        <v>='Augusti 32'!C27</v>
      </c>
      <c r="AO171" s="81" t="s">
        <v>1171</v>
      </c>
      <c r="AR171" s="81" t="s">
        <v>231</v>
      </c>
      <c r="AS171" s="83" t="str">
        <f t="shared" si="110"/>
        <v>='Augusti 32'!C6</v>
      </c>
      <c r="AT171" s="83">
        <f t="shared" si="111"/>
        <v>0</v>
      </c>
      <c r="AV171" s="81" t="s">
        <v>532</v>
      </c>
      <c r="AW171" s="81" t="s">
        <v>3155</v>
      </c>
      <c r="AX171" s="81" t="s">
        <v>3156</v>
      </c>
      <c r="AY171" s="81" t="s">
        <v>3157</v>
      </c>
      <c r="AZ171" s="81" t="s">
        <v>3158</v>
      </c>
      <c r="BA171" s="81" t="s">
        <v>3159</v>
      </c>
      <c r="BB171" s="81" t="s">
        <v>3160</v>
      </c>
      <c r="BC171" s="81" t="s">
        <v>3161</v>
      </c>
      <c r="BD171" s="81" t="s">
        <v>3162</v>
      </c>
      <c r="BE171" s="81" t="s">
        <v>3163</v>
      </c>
      <c r="BF171" s="81" t="s">
        <v>3164</v>
      </c>
      <c r="BG171" s="81" t="s">
        <v>3165</v>
      </c>
      <c r="BH171" s="81" t="s">
        <v>4788</v>
      </c>
      <c r="BI171" s="81" t="s">
        <v>5092</v>
      </c>
      <c r="BJ171" s="81" t="s">
        <v>231</v>
      </c>
      <c r="BL171" s="81" t="s">
        <v>835</v>
      </c>
      <c r="BM171" s="81">
        <v>168</v>
      </c>
      <c r="BN171" s="81" t="str">
        <f t="shared" si="112"/>
        <v>='Augusti 32'!C12</v>
      </c>
      <c r="BP171" s="81" t="str">
        <f t="shared" ca="1" si="123"/>
        <v/>
      </c>
      <c r="BR171" s="84">
        <f t="shared" si="116"/>
        <v>0</v>
      </c>
      <c r="BS171" s="84">
        <f t="shared" si="117"/>
        <v>0</v>
      </c>
      <c r="CA171" s="81" t="s">
        <v>2</v>
      </c>
      <c r="CB171" s="81">
        <f t="shared" si="124"/>
        <v>0</v>
      </c>
      <c r="CC171" s="81">
        <f t="shared" si="125"/>
        <v>0</v>
      </c>
      <c r="CD171" s="81" t="s">
        <v>16</v>
      </c>
      <c r="CE171" s="81">
        <f t="shared" si="126"/>
        <v>0</v>
      </c>
      <c r="CF171" s="81">
        <f t="shared" si="127"/>
        <v>0</v>
      </c>
      <c r="CG171" s="81" t="s">
        <v>5</v>
      </c>
      <c r="CH171" s="81">
        <f t="shared" si="128"/>
        <v>0</v>
      </c>
      <c r="CI171" s="81">
        <f t="shared" si="129"/>
        <v>0</v>
      </c>
      <c r="CJ171" s="81" t="s">
        <v>18</v>
      </c>
      <c r="CK171" s="81">
        <f t="shared" si="130"/>
        <v>0</v>
      </c>
      <c r="CL171" s="81">
        <f t="shared" si="131"/>
        <v>0</v>
      </c>
      <c r="CM171" s="81" t="s">
        <v>4</v>
      </c>
      <c r="CN171" s="81">
        <f t="shared" si="132"/>
        <v>0</v>
      </c>
      <c r="CO171" s="81">
        <f t="shared" si="133"/>
        <v>0</v>
      </c>
      <c r="CP171" s="81" t="s">
        <v>22</v>
      </c>
      <c r="CQ171" s="81">
        <f t="shared" si="134"/>
        <v>0</v>
      </c>
      <c r="CR171" s="81">
        <f t="shared" si="135"/>
        <v>0</v>
      </c>
      <c r="CS171" s="81" t="s">
        <v>21</v>
      </c>
      <c r="CT171" s="81">
        <f t="shared" si="136"/>
        <v>0</v>
      </c>
      <c r="CU171" s="81">
        <f t="shared" si="137"/>
        <v>0</v>
      </c>
      <c r="CV171" s="81" t="s">
        <v>998</v>
      </c>
      <c r="CW171" s="81">
        <f t="shared" si="138"/>
        <v>0</v>
      </c>
      <c r="CX171" s="81">
        <f t="shared" si="139"/>
        <v>0</v>
      </c>
      <c r="CY171" s="81" t="s">
        <v>19</v>
      </c>
      <c r="CZ171" s="81">
        <f t="shared" si="140"/>
        <v>0</v>
      </c>
      <c r="DA171" s="81">
        <f t="shared" si="141"/>
        <v>0</v>
      </c>
      <c r="DB171" s="81" t="s">
        <v>20</v>
      </c>
      <c r="DC171" s="81">
        <f t="shared" si="142"/>
        <v>0</v>
      </c>
      <c r="DD171" s="81">
        <f t="shared" si="143"/>
        <v>0</v>
      </c>
      <c r="DE171" s="81" t="s">
        <v>23</v>
      </c>
      <c r="DF171" s="81">
        <f t="shared" si="144"/>
        <v>0</v>
      </c>
      <c r="DG171" s="81">
        <f t="shared" si="145"/>
        <v>0</v>
      </c>
      <c r="DH171" s="81" t="s">
        <v>15</v>
      </c>
      <c r="DI171" s="81">
        <f t="shared" si="146"/>
        <v>0</v>
      </c>
      <c r="DJ171" s="81">
        <f t="shared" si="147"/>
        <v>0</v>
      </c>
      <c r="DK171" s="81" t="s">
        <v>5393</v>
      </c>
      <c r="DL171" s="81">
        <f t="shared" si="148"/>
        <v>0</v>
      </c>
      <c r="DM171" s="81">
        <f t="shared" si="149"/>
        <v>0</v>
      </c>
      <c r="DN171" s="81" t="s">
        <v>7</v>
      </c>
      <c r="DO171" s="81">
        <f t="shared" si="150"/>
        <v>0</v>
      </c>
      <c r="DP171" s="81">
        <f t="shared" si="151"/>
        <v>0</v>
      </c>
      <c r="DQ171" s="81" t="s">
        <v>1</v>
      </c>
      <c r="DR171" s="81">
        <f t="shared" si="152"/>
        <v>0</v>
      </c>
      <c r="DS171" s="81">
        <f t="shared" si="153"/>
        <v>0</v>
      </c>
    </row>
    <row r="172" spans="14:123" x14ac:dyDescent="0.3">
      <c r="N172" s="81">
        <f>IF(Q173=0,IF(Q172=0,,"x"),)</f>
        <v>0</v>
      </c>
      <c r="O172" s="81">
        <f t="shared" si="154"/>
        <v>0</v>
      </c>
      <c r="P172" s="81">
        <f t="shared" si="118"/>
        <v>0</v>
      </c>
      <c r="Q172" s="81">
        <f t="shared" si="155"/>
        <v>0</v>
      </c>
      <c r="R172" s="81">
        <f>IF(W172="",,SUM($W$4:W172))</f>
        <v>0</v>
      </c>
      <c r="S172" s="81">
        <f t="shared" si="119"/>
        <v>0</v>
      </c>
      <c r="T172" s="81">
        <f t="shared" si="156"/>
        <v>0</v>
      </c>
      <c r="U172" s="81">
        <f t="shared" si="120"/>
        <v>0</v>
      </c>
      <c r="V172" s="81" t="str">
        <f t="shared" ca="1" si="121"/>
        <v/>
      </c>
      <c r="X172" s="81">
        <f t="shared" si="159"/>
        <v>0</v>
      </c>
      <c r="Y172" s="81">
        <f t="shared" si="160"/>
        <v>0</v>
      </c>
      <c r="AE172" s="81">
        <v>172</v>
      </c>
      <c r="AI172" s="81">
        <v>169</v>
      </c>
      <c r="AJ172" s="81" t="str">
        <f t="shared" si="109"/>
        <v>September 32</v>
      </c>
      <c r="AK172" s="81" t="str">
        <f t="shared" si="158"/>
        <v>September</v>
      </c>
      <c r="AL172" s="81">
        <f t="shared" si="157"/>
        <v>32</v>
      </c>
      <c r="AM172" s="81" t="str">
        <f t="shared" si="122"/>
        <v>='September 32'!</v>
      </c>
      <c r="AN172" s="81" t="str">
        <f t="shared" si="115"/>
        <v>='September 32'!C27</v>
      </c>
      <c r="AO172" s="81" t="s">
        <v>1172</v>
      </c>
      <c r="AR172" s="81" t="s">
        <v>232</v>
      </c>
      <c r="AS172" s="83" t="str">
        <f t="shared" si="110"/>
        <v>='September 32'!C6</v>
      </c>
      <c r="AT172" s="83">
        <f t="shared" si="111"/>
        <v>0</v>
      </c>
      <c r="AV172" s="81" t="s">
        <v>533</v>
      </c>
      <c r="AW172" s="81" t="s">
        <v>3166</v>
      </c>
      <c r="AX172" s="81" t="s">
        <v>3167</v>
      </c>
      <c r="AY172" s="81" t="s">
        <v>3168</v>
      </c>
      <c r="AZ172" s="81" t="s">
        <v>3169</v>
      </c>
      <c r="BA172" s="81" t="s">
        <v>3170</v>
      </c>
      <c r="BB172" s="81" t="s">
        <v>3171</v>
      </c>
      <c r="BC172" s="81" t="s">
        <v>3172</v>
      </c>
      <c r="BD172" s="81" t="s">
        <v>3173</v>
      </c>
      <c r="BE172" s="81" t="s">
        <v>3174</v>
      </c>
      <c r="BF172" s="81" t="s">
        <v>3175</v>
      </c>
      <c r="BG172" s="81" t="s">
        <v>3176</v>
      </c>
      <c r="BH172" s="81" t="s">
        <v>4789</v>
      </c>
      <c r="BI172" s="81" t="s">
        <v>5093</v>
      </c>
      <c r="BJ172" s="81" t="s">
        <v>232</v>
      </c>
      <c r="BL172" s="81" t="s">
        <v>836</v>
      </c>
      <c r="BM172" s="81">
        <v>169</v>
      </c>
      <c r="BN172" s="81" t="str">
        <f t="shared" si="112"/>
        <v>='September 32'!C12</v>
      </c>
      <c r="BP172" s="81" t="str">
        <f t="shared" ca="1" si="123"/>
        <v/>
      </c>
      <c r="BR172" s="84">
        <f t="shared" si="116"/>
        <v>0</v>
      </c>
      <c r="BS172" s="84">
        <f t="shared" si="117"/>
        <v>0</v>
      </c>
      <c r="CA172" s="81" t="s">
        <v>2</v>
      </c>
      <c r="CB172" s="81">
        <f t="shared" si="124"/>
        <v>0</v>
      </c>
      <c r="CC172" s="81">
        <f t="shared" si="125"/>
        <v>0</v>
      </c>
      <c r="CD172" s="81" t="s">
        <v>16</v>
      </c>
      <c r="CE172" s="81">
        <f t="shared" si="126"/>
        <v>0</v>
      </c>
      <c r="CF172" s="81">
        <f t="shared" si="127"/>
        <v>0</v>
      </c>
      <c r="CG172" s="81" t="s">
        <v>5</v>
      </c>
      <c r="CH172" s="81">
        <f t="shared" si="128"/>
        <v>0</v>
      </c>
      <c r="CI172" s="81">
        <f t="shared" si="129"/>
        <v>0</v>
      </c>
      <c r="CJ172" s="81" t="s">
        <v>18</v>
      </c>
      <c r="CK172" s="81">
        <f t="shared" si="130"/>
        <v>0</v>
      </c>
      <c r="CL172" s="81">
        <f t="shared" si="131"/>
        <v>0</v>
      </c>
      <c r="CM172" s="81" t="s">
        <v>4</v>
      </c>
      <c r="CN172" s="81">
        <f t="shared" si="132"/>
        <v>0</v>
      </c>
      <c r="CO172" s="81">
        <f t="shared" si="133"/>
        <v>0</v>
      </c>
      <c r="CP172" s="81" t="s">
        <v>22</v>
      </c>
      <c r="CQ172" s="81">
        <f t="shared" si="134"/>
        <v>0</v>
      </c>
      <c r="CR172" s="81">
        <f t="shared" si="135"/>
        <v>0</v>
      </c>
      <c r="CS172" s="81" t="s">
        <v>21</v>
      </c>
      <c r="CT172" s="81">
        <f t="shared" si="136"/>
        <v>0</v>
      </c>
      <c r="CU172" s="81">
        <f t="shared" si="137"/>
        <v>0</v>
      </c>
      <c r="CV172" s="81" t="s">
        <v>998</v>
      </c>
      <c r="CW172" s="81">
        <f t="shared" si="138"/>
        <v>0</v>
      </c>
      <c r="CX172" s="81">
        <f t="shared" si="139"/>
        <v>0</v>
      </c>
      <c r="CY172" s="81" t="s">
        <v>19</v>
      </c>
      <c r="CZ172" s="81">
        <f t="shared" si="140"/>
        <v>0</v>
      </c>
      <c r="DA172" s="81">
        <f t="shared" si="141"/>
        <v>0</v>
      </c>
      <c r="DB172" s="81" t="s">
        <v>20</v>
      </c>
      <c r="DC172" s="81">
        <f t="shared" si="142"/>
        <v>0</v>
      </c>
      <c r="DD172" s="81">
        <f t="shared" si="143"/>
        <v>0</v>
      </c>
      <c r="DE172" s="81" t="s">
        <v>23</v>
      </c>
      <c r="DF172" s="81">
        <f t="shared" si="144"/>
        <v>0</v>
      </c>
      <c r="DG172" s="81">
        <f t="shared" si="145"/>
        <v>0</v>
      </c>
      <c r="DH172" s="81" t="s">
        <v>15</v>
      </c>
      <c r="DI172" s="81">
        <f t="shared" si="146"/>
        <v>0</v>
      </c>
      <c r="DJ172" s="81">
        <f t="shared" si="147"/>
        <v>0</v>
      </c>
      <c r="DK172" s="81" t="s">
        <v>5394</v>
      </c>
      <c r="DL172" s="81">
        <f t="shared" si="148"/>
        <v>0</v>
      </c>
      <c r="DM172" s="81">
        <f t="shared" si="149"/>
        <v>0</v>
      </c>
      <c r="DN172" s="81" t="s">
        <v>7</v>
      </c>
      <c r="DO172" s="81">
        <f t="shared" si="150"/>
        <v>0</v>
      </c>
      <c r="DP172" s="81">
        <f t="shared" si="151"/>
        <v>0</v>
      </c>
      <c r="DQ172" s="81" t="s">
        <v>1</v>
      </c>
      <c r="DR172" s="81">
        <f t="shared" si="152"/>
        <v>0</v>
      </c>
      <c r="DS172" s="81">
        <f t="shared" si="153"/>
        <v>0</v>
      </c>
    </row>
    <row r="173" spans="14:123" x14ac:dyDescent="0.3">
      <c r="N173" s="81">
        <f>IF(Q174=0,IF(Q173=0,,"x"),)</f>
        <v>0</v>
      </c>
      <c r="O173" s="81">
        <f t="shared" si="154"/>
        <v>0</v>
      </c>
      <c r="P173" s="81">
        <f t="shared" si="118"/>
        <v>0</v>
      </c>
      <c r="Q173" s="81">
        <f t="shared" si="155"/>
        <v>0</v>
      </c>
      <c r="R173" s="81">
        <f>IF(W173="",,SUM($W$4:W173))</f>
        <v>0</v>
      </c>
      <c r="S173" s="81">
        <f t="shared" si="119"/>
        <v>0</v>
      </c>
      <c r="T173" s="81">
        <f t="shared" si="156"/>
        <v>0</v>
      </c>
      <c r="U173" s="81">
        <f t="shared" si="120"/>
        <v>0</v>
      </c>
      <c r="V173" s="81" t="str">
        <f t="shared" ca="1" si="121"/>
        <v/>
      </c>
      <c r="X173" s="81">
        <f t="shared" si="159"/>
        <v>0</v>
      </c>
      <c r="Y173" s="81">
        <f t="shared" si="160"/>
        <v>0</v>
      </c>
      <c r="AE173" s="81">
        <v>173</v>
      </c>
      <c r="AI173" s="81">
        <v>170</v>
      </c>
      <c r="AJ173" s="81" t="str">
        <f t="shared" si="109"/>
        <v>Oktober 32</v>
      </c>
      <c r="AK173" s="81" t="str">
        <f t="shared" si="158"/>
        <v>Oktober</v>
      </c>
      <c r="AL173" s="81">
        <f t="shared" si="157"/>
        <v>32</v>
      </c>
      <c r="AM173" s="81" t="str">
        <f t="shared" si="122"/>
        <v>='Oktober 32'!</v>
      </c>
      <c r="AN173" s="81" t="str">
        <f t="shared" si="115"/>
        <v>='Oktober 32'!C27</v>
      </c>
      <c r="AO173" s="81" t="s">
        <v>1173</v>
      </c>
      <c r="AR173" s="81" t="s">
        <v>233</v>
      </c>
      <c r="AS173" s="83" t="str">
        <f t="shared" si="110"/>
        <v>='Oktober 32'!C6</v>
      </c>
      <c r="AT173" s="83">
        <f t="shared" si="111"/>
        <v>0</v>
      </c>
      <c r="AV173" s="81" t="s">
        <v>534</v>
      </c>
      <c r="AW173" s="81" t="s">
        <v>3177</v>
      </c>
      <c r="AX173" s="81" t="s">
        <v>3178</v>
      </c>
      <c r="AY173" s="81" t="s">
        <v>3179</v>
      </c>
      <c r="AZ173" s="81" t="s">
        <v>3180</v>
      </c>
      <c r="BA173" s="81" t="s">
        <v>3181</v>
      </c>
      <c r="BB173" s="81" t="s">
        <v>3182</v>
      </c>
      <c r="BC173" s="81" t="s">
        <v>3183</v>
      </c>
      <c r="BD173" s="81" t="s">
        <v>3184</v>
      </c>
      <c r="BE173" s="81" t="s">
        <v>3185</v>
      </c>
      <c r="BF173" s="81" t="s">
        <v>3186</v>
      </c>
      <c r="BG173" s="81" t="s">
        <v>3187</v>
      </c>
      <c r="BH173" s="81" t="s">
        <v>4790</v>
      </c>
      <c r="BI173" s="81" t="s">
        <v>5094</v>
      </c>
      <c r="BJ173" s="81" t="s">
        <v>233</v>
      </c>
      <c r="BL173" s="81" t="s">
        <v>837</v>
      </c>
      <c r="BM173" s="81">
        <v>170</v>
      </c>
      <c r="BN173" s="81" t="str">
        <f t="shared" si="112"/>
        <v>='Oktober 32'!C12</v>
      </c>
      <c r="BP173" s="81" t="str">
        <f t="shared" ca="1" si="123"/>
        <v/>
      </c>
      <c r="BR173" s="84">
        <f t="shared" si="116"/>
        <v>0</v>
      </c>
      <c r="BS173" s="84">
        <f t="shared" si="117"/>
        <v>0</v>
      </c>
      <c r="CA173" s="81" t="s">
        <v>2</v>
      </c>
      <c r="CB173" s="81">
        <f t="shared" si="124"/>
        <v>0</v>
      </c>
      <c r="CC173" s="81">
        <f t="shared" si="125"/>
        <v>0</v>
      </c>
      <c r="CD173" s="81" t="s">
        <v>16</v>
      </c>
      <c r="CE173" s="81">
        <f t="shared" si="126"/>
        <v>0</v>
      </c>
      <c r="CF173" s="81">
        <f t="shared" si="127"/>
        <v>0</v>
      </c>
      <c r="CG173" s="81" t="s">
        <v>5</v>
      </c>
      <c r="CH173" s="81">
        <f t="shared" si="128"/>
        <v>0</v>
      </c>
      <c r="CI173" s="81">
        <f t="shared" si="129"/>
        <v>0</v>
      </c>
      <c r="CJ173" s="81" t="s">
        <v>18</v>
      </c>
      <c r="CK173" s="81">
        <f t="shared" si="130"/>
        <v>0</v>
      </c>
      <c r="CL173" s="81">
        <f t="shared" si="131"/>
        <v>0</v>
      </c>
      <c r="CM173" s="81" t="s">
        <v>4</v>
      </c>
      <c r="CN173" s="81">
        <f t="shared" si="132"/>
        <v>0</v>
      </c>
      <c r="CO173" s="81">
        <f t="shared" si="133"/>
        <v>0</v>
      </c>
      <c r="CP173" s="81" t="s">
        <v>22</v>
      </c>
      <c r="CQ173" s="81">
        <f t="shared" si="134"/>
        <v>0</v>
      </c>
      <c r="CR173" s="81">
        <f t="shared" si="135"/>
        <v>0</v>
      </c>
      <c r="CS173" s="81" t="s">
        <v>21</v>
      </c>
      <c r="CT173" s="81">
        <f t="shared" si="136"/>
        <v>0</v>
      </c>
      <c r="CU173" s="81">
        <f t="shared" si="137"/>
        <v>0</v>
      </c>
      <c r="CV173" s="81" t="s">
        <v>998</v>
      </c>
      <c r="CW173" s="81">
        <f t="shared" si="138"/>
        <v>0</v>
      </c>
      <c r="CX173" s="81">
        <f t="shared" si="139"/>
        <v>0</v>
      </c>
      <c r="CY173" s="81" t="s">
        <v>19</v>
      </c>
      <c r="CZ173" s="81">
        <f t="shared" si="140"/>
        <v>0</v>
      </c>
      <c r="DA173" s="81">
        <f t="shared" si="141"/>
        <v>0</v>
      </c>
      <c r="DB173" s="81" t="s">
        <v>20</v>
      </c>
      <c r="DC173" s="81">
        <f t="shared" si="142"/>
        <v>0</v>
      </c>
      <c r="DD173" s="81">
        <f t="shared" si="143"/>
        <v>0</v>
      </c>
      <c r="DE173" s="81" t="s">
        <v>23</v>
      </c>
      <c r="DF173" s="81">
        <f t="shared" si="144"/>
        <v>0</v>
      </c>
      <c r="DG173" s="81">
        <f t="shared" si="145"/>
        <v>0</v>
      </c>
      <c r="DH173" s="81" t="s">
        <v>15</v>
      </c>
      <c r="DI173" s="81">
        <f t="shared" si="146"/>
        <v>0</v>
      </c>
      <c r="DJ173" s="81">
        <f t="shared" si="147"/>
        <v>0</v>
      </c>
      <c r="DK173" s="81" t="s">
        <v>5395</v>
      </c>
      <c r="DL173" s="81">
        <f t="shared" si="148"/>
        <v>0</v>
      </c>
      <c r="DM173" s="81">
        <f t="shared" si="149"/>
        <v>0</v>
      </c>
      <c r="DN173" s="81" t="s">
        <v>7</v>
      </c>
      <c r="DO173" s="81">
        <f t="shared" si="150"/>
        <v>0</v>
      </c>
      <c r="DP173" s="81">
        <f t="shared" si="151"/>
        <v>0</v>
      </c>
      <c r="DQ173" s="81" t="s">
        <v>1</v>
      </c>
      <c r="DR173" s="81">
        <f t="shared" si="152"/>
        <v>0</v>
      </c>
      <c r="DS173" s="81">
        <f t="shared" si="153"/>
        <v>0</v>
      </c>
    </row>
    <row r="174" spans="14:123" x14ac:dyDescent="0.3">
      <c r="N174" s="81">
        <f>IF(Q175=0,IF(Q174=0,,"x"),)</f>
        <v>0</v>
      </c>
      <c r="O174" s="81">
        <f t="shared" si="154"/>
        <v>0</v>
      </c>
      <c r="P174" s="81">
        <f t="shared" si="118"/>
        <v>0</v>
      </c>
      <c r="Q174" s="81">
        <f t="shared" si="155"/>
        <v>0</v>
      </c>
      <c r="R174" s="81">
        <f>IF(W174="",,SUM($W$4:W174))</f>
        <v>0</v>
      </c>
      <c r="S174" s="81">
        <f t="shared" si="119"/>
        <v>0</v>
      </c>
      <c r="T174" s="81">
        <f t="shared" si="156"/>
        <v>0</v>
      </c>
      <c r="U174" s="81">
        <f t="shared" si="120"/>
        <v>0</v>
      </c>
      <c r="V174" s="81" t="str">
        <f t="shared" ca="1" si="121"/>
        <v/>
      </c>
      <c r="X174" s="81">
        <f t="shared" si="159"/>
        <v>0</v>
      </c>
      <c r="Y174" s="81">
        <f t="shared" si="160"/>
        <v>0</v>
      </c>
      <c r="AE174" s="81">
        <v>174</v>
      </c>
      <c r="AI174" s="81">
        <v>171</v>
      </c>
      <c r="AJ174" s="81" t="str">
        <f t="shared" si="109"/>
        <v>November 32</v>
      </c>
      <c r="AK174" s="81" t="str">
        <f t="shared" si="158"/>
        <v>November</v>
      </c>
      <c r="AL174" s="81">
        <f t="shared" si="157"/>
        <v>32</v>
      </c>
      <c r="AM174" s="81" t="str">
        <f t="shared" si="122"/>
        <v>='November 32'!</v>
      </c>
      <c r="AN174" s="81" t="str">
        <f t="shared" si="115"/>
        <v>='November 32'!C27</v>
      </c>
      <c r="AO174" s="81" t="s">
        <v>1174</v>
      </c>
      <c r="AR174" s="81" t="s">
        <v>234</v>
      </c>
      <c r="AS174" s="83" t="str">
        <f t="shared" si="110"/>
        <v>='November 32'!C6</v>
      </c>
      <c r="AT174" s="83">
        <f t="shared" si="111"/>
        <v>0</v>
      </c>
      <c r="AV174" s="81" t="s">
        <v>535</v>
      </c>
      <c r="AW174" s="81" t="s">
        <v>3188</v>
      </c>
      <c r="AX174" s="81" t="s">
        <v>3189</v>
      </c>
      <c r="AY174" s="81" t="s">
        <v>3190</v>
      </c>
      <c r="AZ174" s="81" t="s">
        <v>3191</v>
      </c>
      <c r="BA174" s="81" t="s">
        <v>3192</v>
      </c>
      <c r="BB174" s="81" t="s">
        <v>3193</v>
      </c>
      <c r="BC174" s="81" t="s">
        <v>3194</v>
      </c>
      <c r="BD174" s="81" t="s">
        <v>3195</v>
      </c>
      <c r="BE174" s="81" t="s">
        <v>3196</v>
      </c>
      <c r="BF174" s="81" t="s">
        <v>3197</v>
      </c>
      <c r="BG174" s="81" t="s">
        <v>3198</v>
      </c>
      <c r="BH174" s="81" t="s">
        <v>4791</v>
      </c>
      <c r="BI174" s="81" t="s">
        <v>5095</v>
      </c>
      <c r="BJ174" s="81" t="s">
        <v>234</v>
      </c>
      <c r="BL174" s="81" t="s">
        <v>838</v>
      </c>
      <c r="BM174" s="81">
        <v>171</v>
      </c>
      <c r="BN174" s="81" t="str">
        <f t="shared" si="112"/>
        <v>='November 32'!C12</v>
      </c>
      <c r="BP174" s="81" t="str">
        <f t="shared" ca="1" si="123"/>
        <v/>
      </c>
      <c r="BR174" s="84">
        <f t="shared" si="116"/>
        <v>0</v>
      </c>
      <c r="BS174" s="84">
        <f t="shared" si="117"/>
        <v>0</v>
      </c>
      <c r="CA174" s="81" t="s">
        <v>2</v>
      </c>
      <c r="CB174" s="81">
        <f t="shared" si="124"/>
        <v>0</v>
      </c>
      <c r="CC174" s="81">
        <f t="shared" si="125"/>
        <v>0</v>
      </c>
      <c r="CD174" s="81" t="s">
        <v>16</v>
      </c>
      <c r="CE174" s="81">
        <f t="shared" si="126"/>
        <v>0</v>
      </c>
      <c r="CF174" s="81">
        <f t="shared" si="127"/>
        <v>0</v>
      </c>
      <c r="CG174" s="81" t="s">
        <v>5</v>
      </c>
      <c r="CH174" s="81">
        <f t="shared" si="128"/>
        <v>0</v>
      </c>
      <c r="CI174" s="81">
        <f t="shared" si="129"/>
        <v>0</v>
      </c>
      <c r="CJ174" s="81" t="s">
        <v>18</v>
      </c>
      <c r="CK174" s="81">
        <f t="shared" si="130"/>
        <v>0</v>
      </c>
      <c r="CL174" s="81">
        <f t="shared" si="131"/>
        <v>0</v>
      </c>
      <c r="CM174" s="81" t="s">
        <v>4</v>
      </c>
      <c r="CN174" s="81">
        <f t="shared" si="132"/>
        <v>0</v>
      </c>
      <c r="CO174" s="81">
        <f t="shared" si="133"/>
        <v>0</v>
      </c>
      <c r="CP174" s="81" t="s">
        <v>22</v>
      </c>
      <c r="CQ174" s="81">
        <f t="shared" si="134"/>
        <v>0</v>
      </c>
      <c r="CR174" s="81">
        <f t="shared" si="135"/>
        <v>0</v>
      </c>
      <c r="CS174" s="81" t="s">
        <v>21</v>
      </c>
      <c r="CT174" s="81">
        <f t="shared" si="136"/>
        <v>0</v>
      </c>
      <c r="CU174" s="81">
        <f t="shared" si="137"/>
        <v>0</v>
      </c>
      <c r="CV174" s="81" t="s">
        <v>998</v>
      </c>
      <c r="CW174" s="81">
        <f t="shared" si="138"/>
        <v>0</v>
      </c>
      <c r="CX174" s="81">
        <f t="shared" si="139"/>
        <v>0</v>
      </c>
      <c r="CY174" s="81" t="s">
        <v>19</v>
      </c>
      <c r="CZ174" s="81">
        <f t="shared" si="140"/>
        <v>0</v>
      </c>
      <c r="DA174" s="81">
        <f t="shared" si="141"/>
        <v>0</v>
      </c>
      <c r="DB174" s="81" t="s">
        <v>20</v>
      </c>
      <c r="DC174" s="81">
        <f t="shared" si="142"/>
        <v>0</v>
      </c>
      <c r="DD174" s="81">
        <f t="shared" si="143"/>
        <v>0</v>
      </c>
      <c r="DE174" s="81" t="s">
        <v>23</v>
      </c>
      <c r="DF174" s="81">
        <f t="shared" si="144"/>
        <v>0</v>
      </c>
      <c r="DG174" s="81">
        <f t="shared" si="145"/>
        <v>0</v>
      </c>
      <c r="DH174" s="81" t="s">
        <v>15</v>
      </c>
      <c r="DI174" s="81">
        <f t="shared" si="146"/>
        <v>0</v>
      </c>
      <c r="DJ174" s="81">
        <f t="shared" si="147"/>
        <v>0</v>
      </c>
      <c r="DK174" s="81" t="s">
        <v>5396</v>
      </c>
      <c r="DL174" s="81">
        <f t="shared" si="148"/>
        <v>0</v>
      </c>
      <c r="DM174" s="81">
        <f t="shared" si="149"/>
        <v>0</v>
      </c>
      <c r="DN174" s="81" t="s">
        <v>7</v>
      </c>
      <c r="DO174" s="81">
        <f t="shared" si="150"/>
        <v>0</v>
      </c>
      <c r="DP174" s="81">
        <f t="shared" si="151"/>
        <v>0</v>
      </c>
      <c r="DQ174" s="81" t="s">
        <v>1</v>
      </c>
      <c r="DR174" s="81">
        <f t="shared" si="152"/>
        <v>0</v>
      </c>
      <c r="DS174" s="81">
        <f t="shared" si="153"/>
        <v>0</v>
      </c>
    </row>
    <row r="175" spans="14:123" x14ac:dyDescent="0.3">
      <c r="N175" s="81">
        <f>IF(Q176=0,IF(Q175=0,,"x"),)</f>
        <v>0</v>
      </c>
      <c r="O175" s="81">
        <f t="shared" si="154"/>
        <v>0</v>
      </c>
      <c r="P175" s="81">
        <f t="shared" si="118"/>
        <v>0</v>
      </c>
      <c r="Q175" s="81">
        <f t="shared" si="155"/>
        <v>0</v>
      </c>
      <c r="R175" s="81">
        <f>IF(W175="",,SUM($W$4:W175))</f>
        <v>0</v>
      </c>
      <c r="S175" s="81">
        <f t="shared" si="119"/>
        <v>0</v>
      </c>
      <c r="T175" s="81">
        <f t="shared" si="156"/>
        <v>0</v>
      </c>
      <c r="U175" s="81">
        <f t="shared" si="120"/>
        <v>0</v>
      </c>
      <c r="V175" s="81" t="str">
        <f t="shared" ca="1" si="121"/>
        <v/>
      </c>
      <c r="X175" s="81">
        <f t="shared" si="159"/>
        <v>0</v>
      </c>
      <c r="Y175" s="81">
        <f t="shared" si="160"/>
        <v>0</v>
      </c>
      <c r="AE175" s="81">
        <v>175</v>
      </c>
      <c r="AI175" s="81">
        <v>172</v>
      </c>
      <c r="AJ175" s="81" t="str">
        <f t="shared" si="109"/>
        <v>December 32</v>
      </c>
      <c r="AK175" s="81" t="str">
        <f t="shared" si="158"/>
        <v>December</v>
      </c>
      <c r="AL175" s="81">
        <f t="shared" si="157"/>
        <v>32</v>
      </c>
      <c r="AM175" s="81" t="str">
        <f t="shared" si="122"/>
        <v>='December 32'!</v>
      </c>
      <c r="AN175" s="81" t="str">
        <f t="shared" si="115"/>
        <v>='December 32'!C27</v>
      </c>
      <c r="AO175" s="81" t="s">
        <v>1175</v>
      </c>
      <c r="AR175" s="81" t="s">
        <v>235</v>
      </c>
      <c r="AS175" s="83" t="str">
        <f t="shared" si="110"/>
        <v>='December 32'!C6</v>
      </c>
      <c r="AT175" s="83">
        <f t="shared" si="111"/>
        <v>0</v>
      </c>
      <c r="AV175" s="81" t="s">
        <v>536</v>
      </c>
      <c r="AW175" s="81" t="s">
        <v>3199</v>
      </c>
      <c r="AX175" s="81" t="s">
        <v>3200</v>
      </c>
      <c r="AY175" s="81" t="s">
        <v>3201</v>
      </c>
      <c r="AZ175" s="81" t="s">
        <v>3202</v>
      </c>
      <c r="BA175" s="81" t="s">
        <v>3203</v>
      </c>
      <c r="BB175" s="81" t="s">
        <v>3204</v>
      </c>
      <c r="BC175" s="81" t="s">
        <v>3205</v>
      </c>
      <c r="BD175" s="81" t="s">
        <v>3206</v>
      </c>
      <c r="BE175" s="81" t="s">
        <v>3207</v>
      </c>
      <c r="BF175" s="81" t="s">
        <v>3208</v>
      </c>
      <c r="BG175" s="81" t="s">
        <v>3209</v>
      </c>
      <c r="BH175" s="81" t="s">
        <v>4792</v>
      </c>
      <c r="BI175" s="81" t="s">
        <v>5096</v>
      </c>
      <c r="BJ175" s="81" t="s">
        <v>235</v>
      </c>
      <c r="BL175" s="81" t="s">
        <v>839</v>
      </c>
      <c r="BM175" s="81">
        <v>172</v>
      </c>
      <c r="BN175" s="81" t="str">
        <f t="shared" si="112"/>
        <v>='December 32'!C12</v>
      </c>
      <c r="BP175" s="81" t="str">
        <f t="shared" ca="1" si="123"/>
        <v/>
      </c>
      <c r="BR175" s="84">
        <f t="shared" si="116"/>
        <v>0</v>
      </c>
      <c r="BS175" s="84">
        <f t="shared" si="117"/>
        <v>0</v>
      </c>
      <c r="CA175" s="81" t="s">
        <v>2</v>
      </c>
      <c r="CB175" s="81">
        <f t="shared" si="124"/>
        <v>0</v>
      </c>
      <c r="CC175" s="81">
        <f t="shared" si="125"/>
        <v>0</v>
      </c>
      <c r="CD175" s="81" t="s">
        <v>16</v>
      </c>
      <c r="CE175" s="81">
        <f t="shared" si="126"/>
        <v>0</v>
      </c>
      <c r="CF175" s="81">
        <f t="shared" si="127"/>
        <v>0</v>
      </c>
      <c r="CG175" s="81" t="s">
        <v>5</v>
      </c>
      <c r="CH175" s="81">
        <f t="shared" si="128"/>
        <v>0</v>
      </c>
      <c r="CI175" s="81">
        <f t="shared" si="129"/>
        <v>0</v>
      </c>
      <c r="CJ175" s="81" t="s">
        <v>18</v>
      </c>
      <c r="CK175" s="81">
        <f t="shared" si="130"/>
        <v>0</v>
      </c>
      <c r="CL175" s="81">
        <f t="shared" si="131"/>
        <v>0</v>
      </c>
      <c r="CM175" s="81" t="s">
        <v>4</v>
      </c>
      <c r="CN175" s="81">
        <f t="shared" si="132"/>
        <v>0</v>
      </c>
      <c r="CO175" s="81">
        <f t="shared" si="133"/>
        <v>0</v>
      </c>
      <c r="CP175" s="81" t="s">
        <v>22</v>
      </c>
      <c r="CQ175" s="81">
        <f t="shared" si="134"/>
        <v>0</v>
      </c>
      <c r="CR175" s="81">
        <f t="shared" si="135"/>
        <v>0</v>
      </c>
      <c r="CS175" s="81" t="s">
        <v>21</v>
      </c>
      <c r="CT175" s="81">
        <f t="shared" si="136"/>
        <v>0</v>
      </c>
      <c r="CU175" s="81">
        <f t="shared" si="137"/>
        <v>0</v>
      </c>
      <c r="CV175" s="81" t="s">
        <v>998</v>
      </c>
      <c r="CW175" s="81">
        <f t="shared" si="138"/>
        <v>0</v>
      </c>
      <c r="CX175" s="81">
        <f t="shared" si="139"/>
        <v>0</v>
      </c>
      <c r="CY175" s="81" t="s">
        <v>19</v>
      </c>
      <c r="CZ175" s="81">
        <f t="shared" si="140"/>
        <v>0</v>
      </c>
      <c r="DA175" s="81">
        <f t="shared" si="141"/>
        <v>0</v>
      </c>
      <c r="DB175" s="81" t="s">
        <v>20</v>
      </c>
      <c r="DC175" s="81">
        <f t="shared" si="142"/>
        <v>0</v>
      </c>
      <c r="DD175" s="81">
        <f t="shared" si="143"/>
        <v>0</v>
      </c>
      <c r="DE175" s="81" t="s">
        <v>23</v>
      </c>
      <c r="DF175" s="81">
        <f t="shared" si="144"/>
        <v>0</v>
      </c>
      <c r="DG175" s="81">
        <f t="shared" si="145"/>
        <v>0</v>
      </c>
      <c r="DH175" s="81" t="s">
        <v>15</v>
      </c>
      <c r="DI175" s="81">
        <f t="shared" si="146"/>
        <v>0</v>
      </c>
      <c r="DJ175" s="81">
        <f t="shared" si="147"/>
        <v>0</v>
      </c>
      <c r="DK175" s="81" t="s">
        <v>5397</v>
      </c>
      <c r="DL175" s="81">
        <f t="shared" si="148"/>
        <v>0</v>
      </c>
      <c r="DM175" s="81">
        <f t="shared" si="149"/>
        <v>0</v>
      </c>
      <c r="DN175" s="81" t="s">
        <v>7</v>
      </c>
      <c r="DO175" s="81">
        <f t="shared" si="150"/>
        <v>0</v>
      </c>
      <c r="DP175" s="81">
        <f t="shared" si="151"/>
        <v>0</v>
      </c>
      <c r="DQ175" s="81" t="s">
        <v>1</v>
      </c>
      <c r="DR175" s="81">
        <f t="shared" si="152"/>
        <v>0</v>
      </c>
      <c r="DS175" s="81">
        <f t="shared" si="153"/>
        <v>0</v>
      </c>
    </row>
    <row r="176" spans="14:123" x14ac:dyDescent="0.3">
      <c r="N176" s="81">
        <f>IF(Q177=0,IF(Q176=0,,"x"),)</f>
        <v>0</v>
      </c>
      <c r="O176" s="81">
        <f t="shared" si="154"/>
        <v>0</v>
      </c>
      <c r="P176" s="81">
        <f t="shared" si="118"/>
        <v>0</v>
      </c>
      <c r="Q176" s="81">
        <f t="shared" si="155"/>
        <v>0</v>
      </c>
      <c r="R176" s="81">
        <f>IF(W176="",,SUM($W$4:W176))</f>
        <v>0</v>
      </c>
      <c r="S176" s="81">
        <f t="shared" si="119"/>
        <v>0</v>
      </c>
      <c r="T176" s="81">
        <f t="shared" si="156"/>
        <v>0</v>
      </c>
      <c r="U176" s="81">
        <f t="shared" si="120"/>
        <v>0</v>
      </c>
      <c r="V176" s="81" t="str">
        <f t="shared" ca="1" si="121"/>
        <v/>
      </c>
      <c r="X176" s="81">
        <f t="shared" si="159"/>
        <v>0</v>
      </c>
      <c r="Y176" s="81">
        <f t="shared" si="160"/>
        <v>0</v>
      </c>
      <c r="AE176" s="81">
        <v>176</v>
      </c>
      <c r="AI176" s="81">
        <v>173</v>
      </c>
      <c r="AJ176" s="81" t="str">
        <f t="shared" si="109"/>
        <v>Januari 33</v>
      </c>
      <c r="AK176" s="81" t="str">
        <f t="shared" si="158"/>
        <v>Januari</v>
      </c>
      <c r="AL176" s="81">
        <f t="shared" si="157"/>
        <v>33</v>
      </c>
      <c r="AM176" s="81" t="str">
        <f t="shared" si="122"/>
        <v>='Januari 33'!</v>
      </c>
      <c r="AN176" s="81" t="str">
        <f t="shared" si="115"/>
        <v>='Januari 33'!C27</v>
      </c>
      <c r="AO176" s="81" t="s">
        <v>1176</v>
      </c>
      <c r="AR176" s="81" t="s">
        <v>236</v>
      </c>
      <c r="AS176" s="83" t="str">
        <f t="shared" si="110"/>
        <v>='Januari 33'!C6</v>
      </c>
      <c r="AT176" s="83">
        <f t="shared" si="111"/>
        <v>0</v>
      </c>
      <c r="AV176" s="81" t="s">
        <v>537</v>
      </c>
      <c r="AW176" s="81" t="s">
        <v>3210</v>
      </c>
      <c r="AX176" s="81" t="s">
        <v>3211</v>
      </c>
      <c r="AY176" s="81" t="s">
        <v>3212</v>
      </c>
      <c r="AZ176" s="81" t="s">
        <v>3213</v>
      </c>
      <c r="BA176" s="81" t="s">
        <v>3214</v>
      </c>
      <c r="BB176" s="81" t="s">
        <v>3215</v>
      </c>
      <c r="BC176" s="81" t="s">
        <v>3216</v>
      </c>
      <c r="BD176" s="81" t="s">
        <v>3217</v>
      </c>
      <c r="BE176" s="81" t="s">
        <v>3218</v>
      </c>
      <c r="BF176" s="81" t="s">
        <v>3219</v>
      </c>
      <c r="BG176" s="81" t="s">
        <v>3220</v>
      </c>
      <c r="BH176" s="81" t="s">
        <v>4793</v>
      </c>
      <c r="BI176" s="81" t="s">
        <v>5097</v>
      </c>
      <c r="BJ176" s="81" t="s">
        <v>236</v>
      </c>
      <c r="BL176" s="81" t="s">
        <v>840</v>
      </c>
      <c r="BM176" s="81">
        <v>173</v>
      </c>
      <c r="BN176" s="81" t="str">
        <f t="shared" si="112"/>
        <v>='Januari 33'!C12</v>
      </c>
      <c r="BP176" s="81" t="str">
        <f t="shared" ca="1" si="123"/>
        <v/>
      </c>
      <c r="BR176" s="84">
        <f t="shared" si="116"/>
        <v>0</v>
      </c>
      <c r="BS176" s="84">
        <f t="shared" si="117"/>
        <v>0</v>
      </c>
      <c r="CA176" s="81" t="s">
        <v>2</v>
      </c>
      <c r="CB176" s="81">
        <f t="shared" si="124"/>
        <v>0</v>
      </c>
      <c r="CC176" s="81">
        <f t="shared" si="125"/>
        <v>0</v>
      </c>
      <c r="CD176" s="81" t="s">
        <v>16</v>
      </c>
      <c r="CE176" s="81">
        <f t="shared" si="126"/>
        <v>0</v>
      </c>
      <c r="CF176" s="81">
        <f t="shared" si="127"/>
        <v>0</v>
      </c>
      <c r="CG176" s="81" t="s">
        <v>5</v>
      </c>
      <c r="CH176" s="81">
        <f t="shared" si="128"/>
        <v>0</v>
      </c>
      <c r="CI176" s="81">
        <f t="shared" si="129"/>
        <v>0</v>
      </c>
      <c r="CJ176" s="81" t="s">
        <v>18</v>
      </c>
      <c r="CK176" s="81">
        <f t="shared" si="130"/>
        <v>0</v>
      </c>
      <c r="CL176" s="81">
        <f t="shared" si="131"/>
        <v>0</v>
      </c>
      <c r="CM176" s="81" t="s">
        <v>4</v>
      </c>
      <c r="CN176" s="81">
        <f t="shared" si="132"/>
        <v>0</v>
      </c>
      <c r="CO176" s="81">
        <f t="shared" si="133"/>
        <v>0</v>
      </c>
      <c r="CP176" s="81" t="s">
        <v>22</v>
      </c>
      <c r="CQ176" s="81">
        <f t="shared" si="134"/>
        <v>0</v>
      </c>
      <c r="CR176" s="81">
        <f t="shared" si="135"/>
        <v>0</v>
      </c>
      <c r="CS176" s="81" t="s">
        <v>21</v>
      </c>
      <c r="CT176" s="81">
        <f t="shared" si="136"/>
        <v>0</v>
      </c>
      <c r="CU176" s="81">
        <f t="shared" si="137"/>
        <v>0</v>
      </c>
      <c r="CV176" s="81" t="s">
        <v>998</v>
      </c>
      <c r="CW176" s="81">
        <f t="shared" si="138"/>
        <v>0</v>
      </c>
      <c r="CX176" s="81">
        <f t="shared" si="139"/>
        <v>0</v>
      </c>
      <c r="CY176" s="81" t="s">
        <v>19</v>
      </c>
      <c r="CZ176" s="81">
        <f t="shared" si="140"/>
        <v>0</v>
      </c>
      <c r="DA176" s="81">
        <f t="shared" si="141"/>
        <v>0</v>
      </c>
      <c r="DB176" s="81" t="s">
        <v>20</v>
      </c>
      <c r="DC176" s="81">
        <f t="shared" si="142"/>
        <v>0</v>
      </c>
      <c r="DD176" s="81">
        <f t="shared" si="143"/>
        <v>0</v>
      </c>
      <c r="DE176" s="81" t="s">
        <v>23</v>
      </c>
      <c r="DF176" s="81">
        <f t="shared" si="144"/>
        <v>0</v>
      </c>
      <c r="DG176" s="81">
        <f t="shared" si="145"/>
        <v>0</v>
      </c>
      <c r="DH176" s="81" t="s">
        <v>15</v>
      </c>
      <c r="DI176" s="81">
        <f t="shared" si="146"/>
        <v>0</v>
      </c>
      <c r="DJ176" s="81">
        <f t="shared" si="147"/>
        <v>0</v>
      </c>
      <c r="DK176" s="81" t="s">
        <v>5398</v>
      </c>
      <c r="DL176" s="81">
        <f t="shared" si="148"/>
        <v>0</v>
      </c>
      <c r="DM176" s="81">
        <f t="shared" si="149"/>
        <v>0</v>
      </c>
      <c r="DN176" s="81" t="s">
        <v>7</v>
      </c>
      <c r="DO176" s="81">
        <f t="shared" si="150"/>
        <v>0</v>
      </c>
      <c r="DP176" s="81">
        <f t="shared" si="151"/>
        <v>0</v>
      </c>
      <c r="DQ176" s="81" t="s">
        <v>1</v>
      </c>
      <c r="DR176" s="81">
        <f t="shared" si="152"/>
        <v>0</v>
      </c>
      <c r="DS176" s="81">
        <f t="shared" si="153"/>
        <v>0</v>
      </c>
    </row>
    <row r="177" spans="14:123" x14ac:dyDescent="0.3">
      <c r="N177" s="81">
        <f>IF(Q178=0,IF(Q177=0,,"x"),)</f>
        <v>0</v>
      </c>
      <c r="O177" s="81">
        <f t="shared" si="154"/>
        <v>0</v>
      </c>
      <c r="P177" s="81">
        <f t="shared" si="118"/>
        <v>0</v>
      </c>
      <c r="Q177" s="81">
        <f t="shared" si="155"/>
        <v>0</v>
      </c>
      <c r="R177" s="81">
        <f>IF(W177="",,SUM($W$4:W177))</f>
        <v>0</v>
      </c>
      <c r="S177" s="81">
        <f t="shared" si="119"/>
        <v>0</v>
      </c>
      <c r="T177" s="81">
        <f t="shared" si="156"/>
        <v>0</v>
      </c>
      <c r="U177" s="81">
        <f t="shared" si="120"/>
        <v>0</v>
      </c>
      <c r="V177" s="81" t="str">
        <f t="shared" ca="1" si="121"/>
        <v/>
      </c>
      <c r="X177" s="81">
        <f t="shared" si="159"/>
        <v>0</v>
      </c>
      <c r="Y177" s="81">
        <f t="shared" si="160"/>
        <v>0</v>
      </c>
      <c r="AE177" s="81">
        <v>177</v>
      </c>
      <c r="AI177" s="81">
        <v>174</v>
      </c>
      <c r="AJ177" s="81" t="str">
        <f t="shared" si="109"/>
        <v>Februari 33</v>
      </c>
      <c r="AK177" s="81" t="str">
        <f t="shared" si="158"/>
        <v>Februari</v>
      </c>
      <c r="AL177" s="81">
        <f t="shared" si="157"/>
        <v>33</v>
      </c>
      <c r="AM177" s="81" t="str">
        <f t="shared" si="122"/>
        <v>='Februari 33'!</v>
      </c>
      <c r="AN177" s="81" t="str">
        <f t="shared" si="115"/>
        <v>='Februari 33'!C27</v>
      </c>
      <c r="AO177" s="81" t="s">
        <v>1177</v>
      </c>
      <c r="AR177" s="81" t="s">
        <v>237</v>
      </c>
      <c r="AS177" s="83" t="str">
        <f t="shared" si="110"/>
        <v>='Februari 33'!C6</v>
      </c>
      <c r="AT177" s="83">
        <f t="shared" si="111"/>
        <v>0</v>
      </c>
      <c r="AV177" s="81" t="s">
        <v>538</v>
      </c>
      <c r="AW177" s="81" t="s">
        <v>3221</v>
      </c>
      <c r="AX177" s="81" t="s">
        <v>3222</v>
      </c>
      <c r="AY177" s="81" t="s">
        <v>3223</v>
      </c>
      <c r="AZ177" s="81" t="s">
        <v>3224</v>
      </c>
      <c r="BA177" s="81" t="s">
        <v>3225</v>
      </c>
      <c r="BB177" s="81" t="s">
        <v>3226</v>
      </c>
      <c r="BC177" s="81" t="s">
        <v>3227</v>
      </c>
      <c r="BD177" s="81" t="s">
        <v>3228</v>
      </c>
      <c r="BE177" s="81" t="s">
        <v>3229</v>
      </c>
      <c r="BF177" s="81" t="s">
        <v>3230</v>
      </c>
      <c r="BG177" s="81" t="s">
        <v>3231</v>
      </c>
      <c r="BH177" s="81" t="s">
        <v>4794</v>
      </c>
      <c r="BI177" s="81" t="s">
        <v>5098</v>
      </c>
      <c r="BJ177" s="81" t="s">
        <v>237</v>
      </c>
      <c r="BL177" s="81" t="s">
        <v>841</v>
      </c>
      <c r="BM177" s="81">
        <v>174</v>
      </c>
      <c r="BN177" s="81" t="str">
        <f t="shared" si="112"/>
        <v>='Februari 33'!C12</v>
      </c>
      <c r="BP177" s="81" t="str">
        <f t="shared" ca="1" si="123"/>
        <v/>
      </c>
      <c r="BR177" s="84">
        <f t="shared" si="116"/>
        <v>0</v>
      </c>
      <c r="BS177" s="84">
        <f t="shared" si="117"/>
        <v>0</v>
      </c>
      <c r="CA177" s="81" t="s">
        <v>2</v>
      </c>
      <c r="CB177" s="81">
        <f t="shared" si="124"/>
        <v>0</v>
      </c>
      <c r="CC177" s="81">
        <f t="shared" si="125"/>
        <v>0</v>
      </c>
      <c r="CD177" s="81" t="s">
        <v>16</v>
      </c>
      <c r="CE177" s="81">
        <f t="shared" si="126"/>
        <v>0</v>
      </c>
      <c r="CF177" s="81">
        <f t="shared" si="127"/>
        <v>0</v>
      </c>
      <c r="CG177" s="81" t="s">
        <v>5</v>
      </c>
      <c r="CH177" s="81">
        <f t="shared" si="128"/>
        <v>0</v>
      </c>
      <c r="CI177" s="81">
        <f t="shared" si="129"/>
        <v>0</v>
      </c>
      <c r="CJ177" s="81" t="s">
        <v>18</v>
      </c>
      <c r="CK177" s="81">
        <f t="shared" si="130"/>
        <v>0</v>
      </c>
      <c r="CL177" s="81">
        <f t="shared" si="131"/>
        <v>0</v>
      </c>
      <c r="CM177" s="81" t="s">
        <v>4</v>
      </c>
      <c r="CN177" s="81">
        <f t="shared" si="132"/>
        <v>0</v>
      </c>
      <c r="CO177" s="81">
        <f t="shared" si="133"/>
        <v>0</v>
      </c>
      <c r="CP177" s="81" t="s">
        <v>22</v>
      </c>
      <c r="CQ177" s="81">
        <f t="shared" si="134"/>
        <v>0</v>
      </c>
      <c r="CR177" s="81">
        <f t="shared" si="135"/>
        <v>0</v>
      </c>
      <c r="CS177" s="81" t="s">
        <v>21</v>
      </c>
      <c r="CT177" s="81">
        <f t="shared" si="136"/>
        <v>0</v>
      </c>
      <c r="CU177" s="81">
        <f t="shared" si="137"/>
        <v>0</v>
      </c>
      <c r="CV177" s="81" t="s">
        <v>998</v>
      </c>
      <c r="CW177" s="81">
        <f t="shared" si="138"/>
        <v>0</v>
      </c>
      <c r="CX177" s="81">
        <f t="shared" si="139"/>
        <v>0</v>
      </c>
      <c r="CY177" s="81" t="s">
        <v>19</v>
      </c>
      <c r="CZ177" s="81">
        <f t="shared" si="140"/>
        <v>0</v>
      </c>
      <c r="DA177" s="81">
        <f t="shared" si="141"/>
        <v>0</v>
      </c>
      <c r="DB177" s="81" t="s">
        <v>20</v>
      </c>
      <c r="DC177" s="81">
        <f t="shared" si="142"/>
        <v>0</v>
      </c>
      <c r="DD177" s="81">
        <f t="shared" si="143"/>
        <v>0</v>
      </c>
      <c r="DE177" s="81" t="s">
        <v>23</v>
      </c>
      <c r="DF177" s="81">
        <f t="shared" si="144"/>
        <v>0</v>
      </c>
      <c r="DG177" s="81">
        <f t="shared" si="145"/>
        <v>0</v>
      </c>
      <c r="DH177" s="81" t="s">
        <v>15</v>
      </c>
      <c r="DI177" s="81">
        <f t="shared" si="146"/>
        <v>0</v>
      </c>
      <c r="DJ177" s="81">
        <f t="shared" si="147"/>
        <v>0</v>
      </c>
      <c r="DK177" s="81" t="s">
        <v>5399</v>
      </c>
      <c r="DL177" s="81">
        <f t="shared" si="148"/>
        <v>0</v>
      </c>
      <c r="DM177" s="81">
        <f t="shared" si="149"/>
        <v>0</v>
      </c>
      <c r="DN177" s="81" t="s">
        <v>7</v>
      </c>
      <c r="DO177" s="81">
        <f t="shared" si="150"/>
        <v>0</v>
      </c>
      <c r="DP177" s="81">
        <f t="shared" si="151"/>
        <v>0</v>
      </c>
      <c r="DQ177" s="81" t="s">
        <v>1</v>
      </c>
      <c r="DR177" s="81">
        <f t="shared" si="152"/>
        <v>0</v>
      </c>
      <c r="DS177" s="81">
        <f t="shared" si="153"/>
        <v>0</v>
      </c>
    </row>
    <row r="178" spans="14:123" x14ac:dyDescent="0.3">
      <c r="N178" s="81">
        <f>IF(Q179=0,IF(Q178=0,,"x"),)</f>
        <v>0</v>
      </c>
      <c r="O178" s="81">
        <f t="shared" si="154"/>
        <v>0</v>
      </c>
      <c r="P178" s="81">
        <f t="shared" si="118"/>
        <v>0</v>
      </c>
      <c r="Q178" s="81">
        <f t="shared" si="155"/>
        <v>0</v>
      </c>
      <c r="R178" s="81">
        <f>IF(W178="",,SUM($W$4:W178))</f>
        <v>0</v>
      </c>
      <c r="S178" s="81">
        <f t="shared" si="119"/>
        <v>0</v>
      </c>
      <c r="T178" s="81">
        <f t="shared" si="156"/>
        <v>0</v>
      </c>
      <c r="U178" s="81">
        <f t="shared" si="120"/>
        <v>0</v>
      </c>
      <c r="V178" s="81" t="str">
        <f t="shared" ca="1" si="121"/>
        <v/>
      </c>
      <c r="X178" s="81">
        <f t="shared" si="159"/>
        <v>0</v>
      </c>
      <c r="Y178" s="81">
        <f t="shared" si="160"/>
        <v>0</v>
      </c>
      <c r="AE178" s="81">
        <v>178</v>
      </c>
      <c r="AI178" s="81">
        <v>175</v>
      </c>
      <c r="AJ178" s="81" t="str">
        <f t="shared" si="109"/>
        <v>Mars 33</v>
      </c>
      <c r="AK178" s="81" t="str">
        <f t="shared" si="158"/>
        <v>Mars</v>
      </c>
      <c r="AL178" s="81">
        <f t="shared" si="157"/>
        <v>33</v>
      </c>
      <c r="AM178" s="81" t="str">
        <f t="shared" si="122"/>
        <v>='Mars 33'!</v>
      </c>
      <c r="AN178" s="81" t="str">
        <f t="shared" si="115"/>
        <v>='Mars 33'!C27</v>
      </c>
      <c r="AO178" s="81" t="s">
        <v>1178</v>
      </c>
      <c r="AR178" s="81" t="s">
        <v>238</v>
      </c>
      <c r="AS178" s="83" t="str">
        <f t="shared" si="110"/>
        <v>='Mars 33'!C6</v>
      </c>
      <c r="AT178" s="83">
        <f t="shared" si="111"/>
        <v>0</v>
      </c>
      <c r="AV178" s="81" t="s">
        <v>539</v>
      </c>
      <c r="AW178" s="81" t="s">
        <v>3232</v>
      </c>
      <c r="AX178" s="81" t="s">
        <v>3233</v>
      </c>
      <c r="AY178" s="81" t="s">
        <v>3234</v>
      </c>
      <c r="AZ178" s="81" t="s">
        <v>3235</v>
      </c>
      <c r="BA178" s="81" t="s">
        <v>3236</v>
      </c>
      <c r="BB178" s="81" t="s">
        <v>3237</v>
      </c>
      <c r="BC178" s="81" t="s">
        <v>3238</v>
      </c>
      <c r="BD178" s="81" t="s">
        <v>3239</v>
      </c>
      <c r="BE178" s="81" t="s">
        <v>3240</v>
      </c>
      <c r="BF178" s="81" t="s">
        <v>3241</v>
      </c>
      <c r="BG178" s="81" t="s">
        <v>3242</v>
      </c>
      <c r="BH178" s="81" t="s">
        <v>4795</v>
      </c>
      <c r="BI178" s="81" t="s">
        <v>5099</v>
      </c>
      <c r="BJ178" s="81" t="s">
        <v>238</v>
      </c>
      <c r="BL178" s="81" t="s">
        <v>842</v>
      </c>
      <c r="BM178" s="81">
        <v>175</v>
      </c>
      <c r="BN178" s="81" t="str">
        <f t="shared" si="112"/>
        <v>='Mars 33'!C12</v>
      </c>
      <c r="BP178" s="81" t="str">
        <f t="shared" ca="1" si="123"/>
        <v/>
      </c>
      <c r="BR178" s="84">
        <f t="shared" si="116"/>
        <v>0</v>
      </c>
      <c r="BS178" s="84">
        <f t="shared" si="117"/>
        <v>0</v>
      </c>
      <c r="CA178" s="81" t="s">
        <v>2</v>
      </c>
      <c r="CB178" s="81">
        <f t="shared" si="124"/>
        <v>0</v>
      </c>
      <c r="CC178" s="81">
        <f t="shared" si="125"/>
        <v>0</v>
      </c>
      <c r="CD178" s="81" t="s">
        <v>16</v>
      </c>
      <c r="CE178" s="81">
        <f t="shared" si="126"/>
        <v>0</v>
      </c>
      <c r="CF178" s="81">
        <f t="shared" si="127"/>
        <v>0</v>
      </c>
      <c r="CG178" s="81" t="s">
        <v>5</v>
      </c>
      <c r="CH178" s="81">
        <f t="shared" si="128"/>
        <v>0</v>
      </c>
      <c r="CI178" s="81">
        <f t="shared" si="129"/>
        <v>0</v>
      </c>
      <c r="CJ178" s="81" t="s">
        <v>18</v>
      </c>
      <c r="CK178" s="81">
        <f t="shared" si="130"/>
        <v>0</v>
      </c>
      <c r="CL178" s="81">
        <f t="shared" si="131"/>
        <v>0</v>
      </c>
      <c r="CM178" s="81" t="s">
        <v>4</v>
      </c>
      <c r="CN178" s="81">
        <f t="shared" si="132"/>
        <v>0</v>
      </c>
      <c r="CO178" s="81">
        <f t="shared" si="133"/>
        <v>0</v>
      </c>
      <c r="CP178" s="81" t="s">
        <v>22</v>
      </c>
      <c r="CQ178" s="81">
        <f t="shared" si="134"/>
        <v>0</v>
      </c>
      <c r="CR178" s="81">
        <f t="shared" si="135"/>
        <v>0</v>
      </c>
      <c r="CS178" s="81" t="s">
        <v>21</v>
      </c>
      <c r="CT178" s="81">
        <f t="shared" si="136"/>
        <v>0</v>
      </c>
      <c r="CU178" s="81">
        <f t="shared" si="137"/>
        <v>0</v>
      </c>
      <c r="CV178" s="81" t="s">
        <v>998</v>
      </c>
      <c r="CW178" s="81">
        <f t="shared" si="138"/>
        <v>0</v>
      </c>
      <c r="CX178" s="81">
        <f t="shared" si="139"/>
        <v>0</v>
      </c>
      <c r="CY178" s="81" t="s">
        <v>19</v>
      </c>
      <c r="CZ178" s="81">
        <f t="shared" si="140"/>
        <v>0</v>
      </c>
      <c r="DA178" s="81">
        <f t="shared" si="141"/>
        <v>0</v>
      </c>
      <c r="DB178" s="81" t="s">
        <v>20</v>
      </c>
      <c r="DC178" s="81">
        <f t="shared" si="142"/>
        <v>0</v>
      </c>
      <c r="DD178" s="81">
        <f t="shared" si="143"/>
        <v>0</v>
      </c>
      <c r="DE178" s="81" t="s">
        <v>23</v>
      </c>
      <c r="DF178" s="81">
        <f t="shared" si="144"/>
        <v>0</v>
      </c>
      <c r="DG178" s="81">
        <f t="shared" si="145"/>
        <v>0</v>
      </c>
      <c r="DH178" s="81" t="s">
        <v>15</v>
      </c>
      <c r="DI178" s="81">
        <f t="shared" si="146"/>
        <v>0</v>
      </c>
      <c r="DJ178" s="81">
        <f t="shared" si="147"/>
        <v>0</v>
      </c>
      <c r="DK178" s="81" t="s">
        <v>5400</v>
      </c>
      <c r="DL178" s="81">
        <f t="shared" si="148"/>
        <v>0</v>
      </c>
      <c r="DM178" s="81">
        <f t="shared" si="149"/>
        <v>0</v>
      </c>
      <c r="DN178" s="81" t="s">
        <v>7</v>
      </c>
      <c r="DO178" s="81">
        <f t="shared" si="150"/>
        <v>0</v>
      </c>
      <c r="DP178" s="81">
        <f t="shared" si="151"/>
        <v>0</v>
      </c>
      <c r="DQ178" s="81" t="s">
        <v>1</v>
      </c>
      <c r="DR178" s="81">
        <f t="shared" si="152"/>
        <v>0</v>
      </c>
      <c r="DS178" s="81">
        <f t="shared" si="153"/>
        <v>0</v>
      </c>
    </row>
    <row r="179" spans="14:123" x14ac:dyDescent="0.3">
      <c r="N179" s="81">
        <f>IF(Q180=0,IF(Q179=0,,"x"),)</f>
        <v>0</v>
      </c>
      <c r="O179" s="81">
        <f t="shared" si="154"/>
        <v>0</v>
      </c>
      <c r="P179" s="81">
        <f t="shared" si="118"/>
        <v>0</v>
      </c>
      <c r="Q179" s="81">
        <f t="shared" si="155"/>
        <v>0</v>
      </c>
      <c r="R179" s="81">
        <f>IF(W179="",,SUM($W$4:W179))</f>
        <v>0</v>
      </c>
      <c r="S179" s="81">
        <f t="shared" si="119"/>
        <v>0</v>
      </c>
      <c r="T179" s="81">
        <f t="shared" si="156"/>
        <v>0</v>
      </c>
      <c r="U179" s="81">
        <f t="shared" si="120"/>
        <v>0</v>
      </c>
      <c r="V179" s="81" t="str">
        <f t="shared" ca="1" si="121"/>
        <v/>
      </c>
      <c r="X179" s="81">
        <f t="shared" si="159"/>
        <v>0</v>
      </c>
      <c r="Y179" s="81">
        <f t="shared" si="160"/>
        <v>0</v>
      </c>
      <c r="AE179" s="81">
        <v>179</v>
      </c>
      <c r="AI179" s="81">
        <v>176</v>
      </c>
      <c r="AJ179" s="81" t="str">
        <f t="shared" si="109"/>
        <v>April 33</v>
      </c>
      <c r="AK179" s="81" t="str">
        <f t="shared" si="158"/>
        <v>April</v>
      </c>
      <c r="AL179" s="81">
        <f t="shared" si="157"/>
        <v>33</v>
      </c>
      <c r="AM179" s="81" t="str">
        <f t="shared" si="122"/>
        <v>='April 33'!</v>
      </c>
      <c r="AN179" s="81" t="str">
        <f t="shared" si="115"/>
        <v>='April 33'!C27</v>
      </c>
      <c r="AO179" s="81" t="s">
        <v>1179</v>
      </c>
      <c r="AR179" s="81" t="s">
        <v>239</v>
      </c>
      <c r="AS179" s="83" t="str">
        <f t="shared" si="110"/>
        <v>='April 33'!C6</v>
      </c>
      <c r="AT179" s="83">
        <f t="shared" si="111"/>
        <v>0</v>
      </c>
      <c r="AV179" s="81" t="s">
        <v>540</v>
      </c>
      <c r="AW179" s="81" t="s">
        <v>3243</v>
      </c>
      <c r="AX179" s="81" t="s">
        <v>3244</v>
      </c>
      <c r="AY179" s="81" t="s">
        <v>3245</v>
      </c>
      <c r="AZ179" s="81" t="s">
        <v>3246</v>
      </c>
      <c r="BA179" s="81" t="s">
        <v>3247</v>
      </c>
      <c r="BB179" s="81" t="s">
        <v>3248</v>
      </c>
      <c r="BC179" s="81" t="s">
        <v>3249</v>
      </c>
      <c r="BD179" s="81" t="s">
        <v>3250</v>
      </c>
      <c r="BE179" s="81" t="s">
        <v>3251</v>
      </c>
      <c r="BF179" s="81" t="s">
        <v>3252</v>
      </c>
      <c r="BG179" s="81" t="s">
        <v>3253</v>
      </c>
      <c r="BH179" s="81" t="s">
        <v>4796</v>
      </c>
      <c r="BI179" s="81" t="s">
        <v>5100</v>
      </c>
      <c r="BJ179" s="81" t="s">
        <v>239</v>
      </c>
      <c r="BL179" s="81" t="s">
        <v>843</v>
      </c>
      <c r="BM179" s="81">
        <v>176</v>
      </c>
      <c r="BN179" s="81" t="str">
        <f t="shared" si="112"/>
        <v>='April 33'!C12</v>
      </c>
      <c r="BP179" s="81" t="str">
        <f t="shared" ca="1" si="123"/>
        <v/>
      </c>
      <c r="BR179" s="84">
        <f t="shared" si="116"/>
        <v>0</v>
      </c>
      <c r="BS179" s="84">
        <f t="shared" si="117"/>
        <v>0</v>
      </c>
      <c r="CA179" s="81" t="s">
        <v>2</v>
      </c>
      <c r="CB179" s="81">
        <f t="shared" si="124"/>
        <v>0</v>
      </c>
      <c r="CC179" s="81">
        <f t="shared" si="125"/>
        <v>0</v>
      </c>
      <c r="CD179" s="81" t="s">
        <v>16</v>
      </c>
      <c r="CE179" s="81">
        <f t="shared" si="126"/>
        <v>0</v>
      </c>
      <c r="CF179" s="81">
        <f t="shared" si="127"/>
        <v>0</v>
      </c>
      <c r="CG179" s="81" t="s">
        <v>5</v>
      </c>
      <c r="CH179" s="81">
        <f t="shared" si="128"/>
        <v>0</v>
      </c>
      <c r="CI179" s="81">
        <f t="shared" si="129"/>
        <v>0</v>
      </c>
      <c r="CJ179" s="81" t="s">
        <v>18</v>
      </c>
      <c r="CK179" s="81">
        <f t="shared" si="130"/>
        <v>0</v>
      </c>
      <c r="CL179" s="81">
        <f t="shared" si="131"/>
        <v>0</v>
      </c>
      <c r="CM179" s="81" t="s">
        <v>4</v>
      </c>
      <c r="CN179" s="81">
        <f t="shared" si="132"/>
        <v>0</v>
      </c>
      <c r="CO179" s="81">
        <f t="shared" si="133"/>
        <v>0</v>
      </c>
      <c r="CP179" s="81" t="s">
        <v>22</v>
      </c>
      <c r="CQ179" s="81">
        <f t="shared" si="134"/>
        <v>0</v>
      </c>
      <c r="CR179" s="81">
        <f t="shared" si="135"/>
        <v>0</v>
      </c>
      <c r="CS179" s="81" t="s">
        <v>21</v>
      </c>
      <c r="CT179" s="81">
        <f t="shared" si="136"/>
        <v>0</v>
      </c>
      <c r="CU179" s="81">
        <f t="shared" si="137"/>
        <v>0</v>
      </c>
      <c r="CV179" s="81" t="s">
        <v>998</v>
      </c>
      <c r="CW179" s="81">
        <f t="shared" si="138"/>
        <v>0</v>
      </c>
      <c r="CX179" s="81">
        <f t="shared" si="139"/>
        <v>0</v>
      </c>
      <c r="CY179" s="81" t="s">
        <v>19</v>
      </c>
      <c r="CZ179" s="81">
        <f t="shared" si="140"/>
        <v>0</v>
      </c>
      <c r="DA179" s="81">
        <f t="shared" si="141"/>
        <v>0</v>
      </c>
      <c r="DB179" s="81" t="s">
        <v>20</v>
      </c>
      <c r="DC179" s="81">
        <f t="shared" si="142"/>
        <v>0</v>
      </c>
      <c r="DD179" s="81">
        <f t="shared" si="143"/>
        <v>0</v>
      </c>
      <c r="DE179" s="81" t="s">
        <v>23</v>
      </c>
      <c r="DF179" s="81">
        <f t="shared" si="144"/>
        <v>0</v>
      </c>
      <c r="DG179" s="81">
        <f t="shared" si="145"/>
        <v>0</v>
      </c>
      <c r="DH179" s="81" t="s">
        <v>15</v>
      </c>
      <c r="DI179" s="81">
        <f t="shared" si="146"/>
        <v>0</v>
      </c>
      <c r="DJ179" s="81">
        <f t="shared" si="147"/>
        <v>0</v>
      </c>
      <c r="DK179" s="81" t="s">
        <v>5401</v>
      </c>
      <c r="DL179" s="81">
        <f t="shared" si="148"/>
        <v>0</v>
      </c>
      <c r="DM179" s="81">
        <f t="shared" si="149"/>
        <v>0</v>
      </c>
      <c r="DN179" s="81" t="s">
        <v>7</v>
      </c>
      <c r="DO179" s="81">
        <f t="shared" si="150"/>
        <v>0</v>
      </c>
      <c r="DP179" s="81">
        <f t="shared" si="151"/>
        <v>0</v>
      </c>
      <c r="DQ179" s="81" t="s">
        <v>1</v>
      </c>
      <c r="DR179" s="81">
        <f t="shared" si="152"/>
        <v>0</v>
      </c>
      <c r="DS179" s="81">
        <f t="shared" si="153"/>
        <v>0</v>
      </c>
    </row>
    <row r="180" spans="14:123" x14ac:dyDescent="0.3">
      <c r="N180" s="81">
        <f>IF(Q181=0,IF(Q180=0,,"x"),)</f>
        <v>0</v>
      </c>
      <c r="O180" s="81">
        <f t="shared" si="154"/>
        <v>0</v>
      </c>
      <c r="P180" s="81">
        <f t="shared" si="118"/>
        <v>0</v>
      </c>
      <c r="Q180" s="81">
        <f t="shared" si="155"/>
        <v>0</v>
      </c>
      <c r="R180" s="81">
        <f>IF(W180="",,SUM($W$4:W180))</f>
        <v>0</v>
      </c>
      <c r="S180" s="81">
        <f t="shared" si="119"/>
        <v>0</v>
      </c>
      <c r="T180" s="81">
        <f t="shared" si="156"/>
        <v>0</v>
      </c>
      <c r="U180" s="81">
        <f t="shared" si="120"/>
        <v>0</v>
      </c>
      <c r="V180" s="81" t="str">
        <f t="shared" ca="1" si="121"/>
        <v/>
      </c>
      <c r="X180" s="81">
        <f t="shared" si="159"/>
        <v>0</v>
      </c>
      <c r="Y180" s="81">
        <f t="shared" si="160"/>
        <v>0</v>
      </c>
      <c r="AE180" s="81">
        <v>180</v>
      </c>
      <c r="AI180" s="81">
        <v>177</v>
      </c>
      <c r="AJ180" s="81" t="str">
        <f t="shared" si="109"/>
        <v>Maj 33</v>
      </c>
      <c r="AK180" s="81" t="str">
        <f t="shared" si="158"/>
        <v>Maj</v>
      </c>
      <c r="AL180" s="81">
        <f t="shared" si="157"/>
        <v>33</v>
      </c>
      <c r="AM180" s="81" t="str">
        <f t="shared" si="122"/>
        <v>='Maj 33'!</v>
      </c>
      <c r="AN180" s="81" t="str">
        <f t="shared" si="115"/>
        <v>='Maj 33'!C27</v>
      </c>
      <c r="AO180" s="81" t="s">
        <v>1180</v>
      </c>
      <c r="AR180" s="81" t="s">
        <v>240</v>
      </c>
      <c r="AS180" s="83" t="str">
        <f t="shared" si="110"/>
        <v>='Maj 33'!C6</v>
      </c>
      <c r="AT180" s="83">
        <f t="shared" si="111"/>
        <v>0</v>
      </c>
      <c r="AV180" s="81" t="s">
        <v>541</v>
      </c>
      <c r="AW180" s="81" t="s">
        <v>3254</v>
      </c>
      <c r="AX180" s="81" t="s">
        <v>3255</v>
      </c>
      <c r="AY180" s="81" t="s">
        <v>3256</v>
      </c>
      <c r="AZ180" s="81" t="s">
        <v>3257</v>
      </c>
      <c r="BA180" s="81" t="s">
        <v>3258</v>
      </c>
      <c r="BB180" s="81" t="s">
        <v>3259</v>
      </c>
      <c r="BC180" s="81" t="s">
        <v>3260</v>
      </c>
      <c r="BD180" s="81" t="s">
        <v>3261</v>
      </c>
      <c r="BE180" s="81" t="s">
        <v>3262</v>
      </c>
      <c r="BF180" s="81" t="s">
        <v>3263</v>
      </c>
      <c r="BG180" s="81" t="s">
        <v>3264</v>
      </c>
      <c r="BH180" s="81" t="s">
        <v>4797</v>
      </c>
      <c r="BI180" s="81" t="s">
        <v>5101</v>
      </c>
      <c r="BJ180" s="81" t="s">
        <v>240</v>
      </c>
      <c r="BL180" s="81" t="s">
        <v>844</v>
      </c>
      <c r="BM180" s="81">
        <v>177</v>
      </c>
      <c r="BN180" s="81" t="str">
        <f t="shared" si="112"/>
        <v>='Maj 33'!C12</v>
      </c>
      <c r="BP180" s="81" t="str">
        <f t="shared" ca="1" si="123"/>
        <v/>
      </c>
      <c r="BR180" s="84">
        <f t="shared" si="116"/>
        <v>0</v>
      </c>
      <c r="BS180" s="84">
        <f t="shared" si="117"/>
        <v>0</v>
      </c>
      <c r="CA180" s="81" t="s">
        <v>2</v>
      </c>
      <c r="CB180" s="81">
        <f t="shared" si="124"/>
        <v>0</v>
      </c>
      <c r="CC180" s="81">
        <f t="shared" si="125"/>
        <v>0</v>
      </c>
      <c r="CD180" s="81" t="s">
        <v>16</v>
      </c>
      <c r="CE180" s="81">
        <f t="shared" si="126"/>
        <v>0</v>
      </c>
      <c r="CF180" s="81">
        <f t="shared" si="127"/>
        <v>0</v>
      </c>
      <c r="CG180" s="81" t="s">
        <v>5</v>
      </c>
      <c r="CH180" s="81">
        <f t="shared" si="128"/>
        <v>0</v>
      </c>
      <c r="CI180" s="81">
        <f t="shared" si="129"/>
        <v>0</v>
      </c>
      <c r="CJ180" s="81" t="s">
        <v>18</v>
      </c>
      <c r="CK180" s="81">
        <f t="shared" si="130"/>
        <v>0</v>
      </c>
      <c r="CL180" s="81">
        <f t="shared" si="131"/>
        <v>0</v>
      </c>
      <c r="CM180" s="81" t="s">
        <v>4</v>
      </c>
      <c r="CN180" s="81">
        <f t="shared" si="132"/>
        <v>0</v>
      </c>
      <c r="CO180" s="81">
        <f t="shared" si="133"/>
        <v>0</v>
      </c>
      <c r="CP180" s="81" t="s">
        <v>22</v>
      </c>
      <c r="CQ180" s="81">
        <f t="shared" si="134"/>
        <v>0</v>
      </c>
      <c r="CR180" s="81">
        <f t="shared" si="135"/>
        <v>0</v>
      </c>
      <c r="CS180" s="81" t="s">
        <v>21</v>
      </c>
      <c r="CT180" s="81">
        <f t="shared" si="136"/>
        <v>0</v>
      </c>
      <c r="CU180" s="81">
        <f t="shared" si="137"/>
        <v>0</v>
      </c>
      <c r="CV180" s="81" t="s">
        <v>998</v>
      </c>
      <c r="CW180" s="81">
        <f t="shared" si="138"/>
        <v>0</v>
      </c>
      <c r="CX180" s="81">
        <f t="shared" si="139"/>
        <v>0</v>
      </c>
      <c r="CY180" s="81" t="s">
        <v>19</v>
      </c>
      <c r="CZ180" s="81">
        <f t="shared" si="140"/>
        <v>0</v>
      </c>
      <c r="DA180" s="81">
        <f t="shared" si="141"/>
        <v>0</v>
      </c>
      <c r="DB180" s="81" t="s">
        <v>20</v>
      </c>
      <c r="DC180" s="81">
        <f t="shared" si="142"/>
        <v>0</v>
      </c>
      <c r="DD180" s="81">
        <f t="shared" si="143"/>
        <v>0</v>
      </c>
      <c r="DE180" s="81" t="s">
        <v>23</v>
      </c>
      <c r="DF180" s="81">
        <f t="shared" si="144"/>
        <v>0</v>
      </c>
      <c r="DG180" s="81">
        <f t="shared" si="145"/>
        <v>0</v>
      </c>
      <c r="DH180" s="81" t="s">
        <v>15</v>
      </c>
      <c r="DI180" s="81">
        <f t="shared" si="146"/>
        <v>0</v>
      </c>
      <c r="DJ180" s="81">
        <f t="shared" si="147"/>
        <v>0</v>
      </c>
      <c r="DK180" s="81" t="s">
        <v>5402</v>
      </c>
      <c r="DL180" s="81">
        <f t="shared" si="148"/>
        <v>0</v>
      </c>
      <c r="DM180" s="81">
        <f t="shared" si="149"/>
        <v>0</v>
      </c>
      <c r="DN180" s="81" t="s">
        <v>7</v>
      </c>
      <c r="DO180" s="81">
        <f t="shared" si="150"/>
        <v>0</v>
      </c>
      <c r="DP180" s="81">
        <f t="shared" si="151"/>
        <v>0</v>
      </c>
      <c r="DQ180" s="81" t="s">
        <v>1</v>
      </c>
      <c r="DR180" s="81">
        <f t="shared" si="152"/>
        <v>0</v>
      </c>
      <c r="DS180" s="81">
        <f t="shared" si="153"/>
        <v>0</v>
      </c>
    </row>
    <row r="181" spans="14:123" x14ac:dyDescent="0.3">
      <c r="N181" s="81">
        <f>IF(Q182=0,IF(Q181=0,,"x"),)</f>
        <v>0</v>
      </c>
      <c r="O181" s="81">
        <f t="shared" si="154"/>
        <v>0</v>
      </c>
      <c r="P181" s="81">
        <f t="shared" si="118"/>
        <v>0</v>
      </c>
      <c r="Q181" s="81">
        <f t="shared" si="155"/>
        <v>0</v>
      </c>
      <c r="R181" s="81">
        <f>IF(W181="",,SUM($W$4:W181))</f>
        <v>0</v>
      </c>
      <c r="S181" s="81">
        <f t="shared" si="119"/>
        <v>0</v>
      </c>
      <c r="T181" s="81">
        <f t="shared" si="156"/>
        <v>0</v>
      </c>
      <c r="U181" s="81">
        <f t="shared" si="120"/>
        <v>0</v>
      </c>
      <c r="V181" s="81" t="str">
        <f t="shared" ca="1" si="121"/>
        <v/>
      </c>
      <c r="X181" s="81">
        <f t="shared" si="159"/>
        <v>0</v>
      </c>
      <c r="Y181" s="81">
        <f t="shared" si="160"/>
        <v>0</v>
      </c>
      <c r="AE181" s="81">
        <v>181</v>
      </c>
      <c r="AI181" s="81">
        <v>178</v>
      </c>
      <c r="AJ181" s="81" t="str">
        <f t="shared" si="109"/>
        <v>Juni 33</v>
      </c>
      <c r="AK181" s="81" t="str">
        <f t="shared" si="158"/>
        <v>Juni</v>
      </c>
      <c r="AL181" s="81">
        <f t="shared" si="157"/>
        <v>33</v>
      </c>
      <c r="AM181" s="81" t="str">
        <f t="shared" si="122"/>
        <v>='Juni 33'!</v>
      </c>
      <c r="AN181" s="81" t="str">
        <f t="shared" si="115"/>
        <v>='Juni 33'!C27</v>
      </c>
      <c r="AO181" s="81" t="s">
        <v>1181</v>
      </c>
      <c r="AR181" s="81" t="s">
        <v>241</v>
      </c>
      <c r="AS181" s="83" t="str">
        <f t="shared" si="110"/>
        <v>='Juni 33'!C6</v>
      </c>
      <c r="AT181" s="83">
        <f t="shared" si="111"/>
        <v>0</v>
      </c>
      <c r="AV181" s="81" t="s">
        <v>542</v>
      </c>
      <c r="AW181" s="81" t="s">
        <v>3265</v>
      </c>
      <c r="AX181" s="81" t="s">
        <v>3266</v>
      </c>
      <c r="AY181" s="81" t="s">
        <v>3267</v>
      </c>
      <c r="AZ181" s="81" t="s">
        <v>3268</v>
      </c>
      <c r="BA181" s="81" t="s">
        <v>3269</v>
      </c>
      <c r="BB181" s="81" t="s">
        <v>3270</v>
      </c>
      <c r="BC181" s="81" t="s">
        <v>3271</v>
      </c>
      <c r="BD181" s="81" t="s">
        <v>3272</v>
      </c>
      <c r="BE181" s="81" t="s">
        <v>3273</v>
      </c>
      <c r="BF181" s="81" t="s">
        <v>3274</v>
      </c>
      <c r="BG181" s="81" t="s">
        <v>3275</v>
      </c>
      <c r="BH181" s="81" t="s">
        <v>4798</v>
      </c>
      <c r="BI181" s="81" t="s">
        <v>5102</v>
      </c>
      <c r="BJ181" s="81" t="s">
        <v>241</v>
      </c>
      <c r="BL181" s="81" t="s">
        <v>845</v>
      </c>
      <c r="BM181" s="81">
        <v>178</v>
      </c>
      <c r="BN181" s="81" t="str">
        <f t="shared" si="112"/>
        <v>='Juni 33'!C12</v>
      </c>
      <c r="BP181" s="81" t="str">
        <f t="shared" ca="1" si="123"/>
        <v/>
      </c>
      <c r="BR181" s="84">
        <f t="shared" si="116"/>
        <v>0</v>
      </c>
      <c r="BS181" s="84">
        <f t="shared" si="117"/>
        <v>0</v>
      </c>
      <c r="CA181" s="81" t="s">
        <v>2</v>
      </c>
      <c r="CB181" s="81">
        <f t="shared" si="124"/>
        <v>0</v>
      </c>
      <c r="CC181" s="81">
        <f t="shared" si="125"/>
        <v>0</v>
      </c>
      <c r="CD181" s="81" t="s">
        <v>16</v>
      </c>
      <c r="CE181" s="81">
        <f t="shared" si="126"/>
        <v>0</v>
      </c>
      <c r="CF181" s="81">
        <f t="shared" si="127"/>
        <v>0</v>
      </c>
      <c r="CG181" s="81" t="s">
        <v>5</v>
      </c>
      <c r="CH181" s="81">
        <f t="shared" si="128"/>
        <v>0</v>
      </c>
      <c r="CI181" s="81">
        <f t="shared" si="129"/>
        <v>0</v>
      </c>
      <c r="CJ181" s="81" t="s">
        <v>18</v>
      </c>
      <c r="CK181" s="81">
        <f t="shared" si="130"/>
        <v>0</v>
      </c>
      <c r="CL181" s="81">
        <f t="shared" si="131"/>
        <v>0</v>
      </c>
      <c r="CM181" s="81" t="s">
        <v>4</v>
      </c>
      <c r="CN181" s="81">
        <f t="shared" si="132"/>
        <v>0</v>
      </c>
      <c r="CO181" s="81">
        <f t="shared" si="133"/>
        <v>0</v>
      </c>
      <c r="CP181" s="81" t="s">
        <v>22</v>
      </c>
      <c r="CQ181" s="81">
        <f t="shared" si="134"/>
        <v>0</v>
      </c>
      <c r="CR181" s="81">
        <f t="shared" si="135"/>
        <v>0</v>
      </c>
      <c r="CS181" s="81" t="s">
        <v>21</v>
      </c>
      <c r="CT181" s="81">
        <f t="shared" si="136"/>
        <v>0</v>
      </c>
      <c r="CU181" s="81">
        <f t="shared" si="137"/>
        <v>0</v>
      </c>
      <c r="CV181" s="81" t="s">
        <v>998</v>
      </c>
      <c r="CW181" s="81">
        <f t="shared" si="138"/>
        <v>0</v>
      </c>
      <c r="CX181" s="81">
        <f t="shared" si="139"/>
        <v>0</v>
      </c>
      <c r="CY181" s="81" t="s">
        <v>19</v>
      </c>
      <c r="CZ181" s="81">
        <f t="shared" si="140"/>
        <v>0</v>
      </c>
      <c r="DA181" s="81">
        <f t="shared" si="141"/>
        <v>0</v>
      </c>
      <c r="DB181" s="81" t="s">
        <v>20</v>
      </c>
      <c r="DC181" s="81">
        <f t="shared" si="142"/>
        <v>0</v>
      </c>
      <c r="DD181" s="81">
        <f t="shared" si="143"/>
        <v>0</v>
      </c>
      <c r="DE181" s="81" t="s">
        <v>23</v>
      </c>
      <c r="DF181" s="81">
        <f t="shared" si="144"/>
        <v>0</v>
      </c>
      <c r="DG181" s="81">
        <f t="shared" si="145"/>
        <v>0</v>
      </c>
      <c r="DH181" s="81" t="s">
        <v>15</v>
      </c>
      <c r="DI181" s="81">
        <f t="shared" si="146"/>
        <v>0</v>
      </c>
      <c r="DJ181" s="81">
        <f t="shared" si="147"/>
        <v>0</v>
      </c>
      <c r="DK181" s="81" t="s">
        <v>5403</v>
      </c>
      <c r="DL181" s="81">
        <f t="shared" si="148"/>
        <v>0</v>
      </c>
      <c r="DM181" s="81">
        <f t="shared" si="149"/>
        <v>0</v>
      </c>
      <c r="DN181" s="81" t="s">
        <v>7</v>
      </c>
      <c r="DO181" s="81">
        <f t="shared" si="150"/>
        <v>0</v>
      </c>
      <c r="DP181" s="81">
        <f t="shared" si="151"/>
        <v>0</v>
      </c>
      <c r="DQ181" s="81" t="s">
        <v>1</v>
      </c>
      <c r="DR181" s="81">
        <f t="shared" si="152"/>
        <v>0</v>
      </c>
      <c r="DS181" s="81">
        <f t="shared" si="153"/>
        <v>0</v>
      </c>
    </row>
    <row r="182" spans="14:123" x14ac:dyDescent="0.3">
      <c r="N182" s="81">
        <f>IF(Q183=0,IF(Q182=0,,"x"),)</f>
        <v>0</v>
      </c>
      <c r="O182" s="81">
        <f t="shared" si="154"/>
        <v>0</v>
      </c>
      <c r="P182" s="81">
        <f t="shared" si="118"/>
        <v>0</v>
      </c>
      <c r="Q182" s="81">
        <f t="shared" si="155"/>
        <v>0</v>
      </c>
      <c r="R182" s="81">
        <f>IF(W182="",,SUM($W$4:W182))</f>
        <v>0</v>
      </c>
      <c r="S182" s="81">
        <f t="shared" si="119"/>
        <v>0</v>
      </c>
      <c r="T182" s="81">
        <f t="shared" si="156"/>
        <v>0</v>
      </c>
      <c r="U182" s="81">
        <f t="shared" si="120"/>
        <v>0</v>
      </c>
      <c r="V182" s="81" t="str">
        <f t="shared" ca="1" si="121"/>
        <v/>
      </c>
      <c r="X182" s="81">
        <f t="shared" si="159"/>
        <v>0</v>
      </c>
      <c r="Y182" s="81">
        <f t="shared" si="160"/>
        <v>0</v>
      </c>
      <c r="AE182" s="81">
        <v>182</v>
      </c>
      <c r="AI182" s="81">
        <v>179</v>
      </c>
      <c r="AJ182" s="81" t="str">
        <f t="shared" si="109"/>
        <v>Juli 33</v>
      </c>
      <c r="AK182" s="81" t="str">
        <f t="shared" si="158"/>
        <v>Juli</v>
      </c>
      <c r="AL182" s="81">
        <f t="shared" si="157"/>
        <v>33</v>
      </c>
      <c r="AM182" s="81" t="str">
        <f t="shared" si="122"/>
        <v>='Juli 33'!</v>
      </c>
      <c r="AN182" s="81" t="str">
        <f t="shared" si="115"/>
        <v>='Juli 33'!C27</v>
      </c>
      <c r="AO182" s="81" t="s">
        <v>1182</v>
      </c>
      <c r="AR182" s="81" t="s">
        <v>242</v>
      </c>
      <c r="AS182" s="83" t="str">
        <f t="shared" si="110"/>
        <v>='Juli 33'!C6</v>
      </c>
      <c r="AT182" s="83">
        <f t="shared" si="111"/>
        <v>0</v>
      </c>
      <c r="AV182" s="81" t="s">
        <v>543</v>
      </c>
      <c r="AW182" s="81" t="s">
        <v>3276</v>
      </c>
      <c r="AX182" s="81" t="s">
        <v>3277</v>
      </c>
      <c r="AY182" s="81" t="s">
        <v>3278</v>
      </c>
      <c r="AZ182" s="81" t="s">
        <v>3279</v>
      </c>
      <c r="BA182" s="81" t="s">
        <v>3280</v>
      </c>
      <c r="BB182" s="81" t="s">
        <v>3281</v>
      </c>
      <c r="BC182" s="81" t="s">
        <v>3282</v>
      </c>
      <c r="BD182" s="81" t="s">
        <v>3283</v>
      </c>
      <c r="BE182" s="81" t="s">
        <v>3284</v>
      </c>
      <c r="BF182" s="81" t="s">
        <v>3285</v>
      </c>
      <c r="BG182" s="81" t="s">
        <v>3286</v>
      </c>
      <c r="BH182" s="81" t="s">
        <v>4799</v>
      </c>
      <c r="BI182" s="81" t="s">
        <v>5103</v>
      </c>
      <c r="BJ182" s="81" t="s">
        <v>242</v>
      </c>
      <c r="BL182" s="81" t="s">
        <v>846</v>
      </c>
      <c r="BM182" s="81">
        <v>179</v>
      </c>
      <c r="BN182" s="81" t="str">
        <f t="shared" si="112"/>
        <v>='Juli 33'!C12</v>
      </c>
      <c r="BP182" s="81" t="str">
        <f t="shared" ca="1" si="123"/>
        <v/>
      </c>
      <c r="BR182" s="84">
        <f t="shared" si="116"/>
        <v>0</v>
      </c>
      <c r="BS182" s="84">
        <f t="shared" si="117"/>
        <v>0</v>
      </c>
      <c r="CA182" s="81" t="s">
        <v>2</v>
      </c>
      <c r="CB182" s="81">
        <f t="shared" si="124"/>
        <v>0</v>
      </c>
      <c r="CC182" s="81">
        <f t="shared" si="125"/>
        <v>0</v>
      </c>
      <c r="CD182" s="81" t="s">
        <v>16</v>
      </c>
      <c r="CE182" s="81">
        <f t="shared" si="126"/>
        <v>0</v>
      </c>
      <c r="CF182" s="81">
        <f t="shared" si="127"/>
        <v>0</v>
      </c>
      <c r="CG182" s="81" t="s">
        <v>5</v>
      </c>
      <c r="CH182" s="81">
        <f t="shared" si="128"/>
        <v>0</v>
      </c>
      <c r="CI182" s="81">
        <f t="shared" si="129"/>
        <v>0</v>
      </c>
      <c r="CJ182" s="81" t="s">
        <v>18</v>
      </c>
      <c r="CK182" s="81">
        <f t="shared" si="130"/>
        <v>0</v>
      </c>
      <c r="CL182" s="81">
        <f t="shared" si="131"/>
        <v>0</v>
      </c>
      <c r="CM182" s="81" t="s">
        <v>4</v>
      </c>
      <c r="CN182" s="81">
        <f t="shared" si="132"/>
        <v>0</v>
      </c>
      <c r="CO182" s="81">
        <f t="shared" si="133"/>
        <v>0</v>
      </c>
      <c r="CP182" s="81" t="s">
        <v>22</v>
      </c>
      <c r="CQ182" s="81">
        <f t="shared" si="134"/>
        <v>0</v>
      </c>
      <c r="CR182" s="81">
        <f t="shared" si="135"/>
        <v>0</v>
      </c>
      <c r="CS182" s="81" t="s">
        <v>21</v>
      </c>
      <c r="CT182" s="81">
        <f t="shared" si="136"/>
        <v>0</v>
      </c>
      <c r="CU182" s="81">
        <f t="shared" si="137"/>
        <v>0</v>
      </c>
      <c r="CV182" s="81" t="s">
        <v>998</v>
      </c>
      <c r="CW182" s="81">
        <f t="shared" si="138"/>
        <v>0</v>
      </c>
      <c r="CX182" s="81">
        <f t="shared" si="139"/>
        <v>0</v>
      </c>
      <c r="CY182" s="81" t="s">
        <v>19</v>
      </c>
      <c r="CZ182" s="81">
        <f t="shared" si="140"/>
        <v>0</v>
      </c>
      <c r="DA182" s="81">
        <f t="shared" si="141"/>
        <v>0</v>
      </c>
      <c r="DB182" s="81" t="s">
        <v>20</v>
      </c>
      <c r="DC182" s="81">
        <f t="shared" si="142"/>
        <v>0</v>
      </c>
      <c r="DD182" s="81">
        <f t="shared" si="143"/>
        <v>0</v>
      </c>
      <c r="DE182" s="81" t="s">
        <v>23</v>
      </c>
      <c r="DF182" s="81">
        <f t="shared" si="144"/>
        <v>0</v>
      </c>
      <c r="DG182" s="81">
        <f t="shared" si="145"/>
        <v>0</v>
      </c>
      <c r="DH182" s="81" t="s">
        <v>15</v>
      </c>
      <c r="DI182" s="81">
        <f t="shared" si="146"/>
        <v>0</v>
      </c>
      <c r="DJ182" s="81">
        <f t="shared" si="147"/>
        <v>0</v>
      </c>
      <c r="DK182" s="81" t="s">
        <v>5404</v>
      </c>
      <c r="DL182" s="81">
        <f t="shared" si="148"/>
        <v>0</v>
      </c>
      <c r="DM182" s="81">
        <f t="shared" si="149"/>
        <v>0</v>
      </c>
      <c r="DN182" s="81" t="s">
        <v>7</v>
      </c>
      <c r="DO182" s="81">
        <f t="shared" si="150"/>
        <v>0</v>
      </c>
      <c r="DP182" s="81">
        <f t="shared" si="151"/>
        <v>0</v>
      </c>
      <c r="DQ182" s="81" t="s">
        <v>1</v>
      </c>
      <c r="DR182" s="81">
        <f t="shared" si="152"/>
        <v>0</v>
      </c>
      <c r="DS182" s="81">
        <f t="shared" si="153"/>
        <v>0</v>
      </c>
    </row>
    <row r="183" spans="14:123" x14ac:dyDescent="0.3">
      <c r="N183" s="81">
        <f>IF(Q184=0,IF(Q183=0,,"x"),)</f>
        <v>0</v>
      </c>
      <c r="O183" s="81">
        <f t="shared" si="154"/>
        <v>0</v>
      </c>
      <c r="P183" s="81">
        <f t="shared" si="118"/>
        <v>0</v>
      </c>
      <c r="Q183" s="81">
        <f t="shared" si="155"/>
        <v>0</v>
      </c>
      <c r="R183" s="81">
        <f>IF(W183="",,SUM($W$4:W183))</f>
        <v>0</v>
      </c>
      <c r="S183" s="81">
        <f t="shared" si="119"/>
        <v>0</v>
      </c>
      <c r="T183" s="81">
        <f t="shared" si="156"/>
        <v>0</v>
      </c>
      <c r="U183" s="81">
        <f t="shared" si="120"/>
        <v>0</v>
      </c>
      <c r="V183" s="81" t="str">
        <f t="shared" ca="1" si="121"/>
        <v/>
      </c>
      <c r="X183" s="81">
        <f t="shared" si="159"/>
        <v>0</v>
      </c>
      <c r="Y183" s="81">
        <f t="shared" si="160"/>
        <v>0</v>
      </c>
      <c r="AE183" s="81">
        <v>183</v>
      </c>
      <c r="AI183" s="81">
        <v>180</v>
      </c>
      <c r="AJ183" s="81" t="str">
        <f t="shared" si="109"/>
        <v>Augusti 33</v>
      </c>
      <c r="AK183" s="81" t="str">
        <f t="shared" si="158"/>
        <v>Augusti</v>
      </c>
      <c r="AL183" s="81">
        <f t="shared" si="157"/>
        <v>33</v>
      </c>
      <c r="AM183" s="81" t="str">
        <f t="shared" si="122"/>
        <v>='Augusti 33'!</v>
      </c>
      <c r="AN183" s="81" t="str">
        <f t="shared" si="115"/>
        <v>='Augusti 33'!C27</v>
      </c>
      <c r="AO183" s="81" t="s">
        <v>1183</v>
      </c>
      <c r="AR183" s="81" t="s">
        <v>243</v>
      </c>
      <c r="AS183" s="83" t="str">
        <f t="shared" si="110"/>
        <v>='Augusti 33'!C6</v>
      </c>
      <c r="AT183" s="83">
        <f t="shared" si="111"/>
        <v>0</v>
      </c>
      <c r="AV183" s="81" t="s">
        <v>544</v>
      </c>
      <c r="AW183" s="81" t="s">
        <v>3287</v>
      </c>
      <c r="AX183" s="81" t="s">
        <v>3288</v>
      </c>
      <c r="AY183" s="81" t="s">
        <v>3289</v>
      </c>
      <c r="AZ183" s="81" t="s">
        <v>3290</v>
      </c>
      <c r="BA183" s="81" t="s">
        <v>3291</v>
      </c>
      <c r="BB183" s="81" t="s">
        <v>3292</v>
      </c>
      <c r="BC183" s="81" t="s">
        <v>3293</v>
      </c>
      <c r="BD183" s="81" t="s">
        <v>3294</v>
      </c>
      <c r="BE183" s="81" t="s">
        <v>3295</v>
      </c>
      <c r="BF183" s="81" t="s">
        <v>3296</v>
      </c>
      <c r="BG183" s="81" t="s">
        <v>3297</v>
      </c>
      <c r="BH183" s="81" t="s">
        <v>4800</v>
      </c>
      <c r="BI183" s="81" t="s">
        <v>5104</v>
      </c>
      <c r="BJ183" s="81" t="s">
        <v>243</v>
      </c>
      <c r="BL183" s="81" t="s">
        <v>847</v>
      </c>
      <c r="BM183" s="81">
        <v>180</v>
      </c>
      <c r="BN183" s="81" t="str">
        <f t="shared" si="112"/>
        <v>='Augusti 33'!C12</v>
      </c>
      <c r="BP183" s="81" t="str">
        <f t="shared" ca="1" si="123"/>
        <v/>
      </c>
      <c r="BR183" s="84">
        <f t="shared" si="116"/>
        <v>0</v>
      </c>
      <c r="BS183" s="84">
        <f t="shared" si="117"/>
        <v>0</v>
      </c>
      <c r="CA183" s="81" t="s">
        <v>2</v>
      </c>
      <c r="CB183" s="81">
        <f t="shared" si="124"/>
        <v>0</v>
      </c>
      <c r="CC183" s="81">
        <f t="shared" si="125"/>
        <v>0</v>
      </c>
      <c r="CD183" s="81" t="s">
        <v>16</v>
      </c>
      <c r="CE183" s="81">
        <f t="shared" si="126"/>
        <v>0</v>
      </c>
      <c r="CF183" s="81">
        <f t="shared" si="127"/>
        <v>0</v>
      </c>
      <c r="CG183" s="81" t="s">
        <v>5</v>
      </c>
      <c r="CH183" s="81">
        <f t="shared" si="128"/>
        <v>0</v>
      </c>
      <c r="CI183" s="81">
        <f t="shared" si="129"/>
        <v>0</v>
      </c>
      <c r="CJ183" s="81" t="s">
        <v>18</v>
      </c>
      <c r="CK183" s="81">
        <f t="shared" si="130"/>
        <v>0</v>
      </c>
      <c r="CL183" s="81">
        <f t="shared" si="131"/>
        <v>0</v>
      </c>
      <c r="CM183" s="81" t="s">
        <v>4</v>
      </c>
      <c r="CN183" s="81">
        <f t="shared" si="132"/>
        <v>0</v>
      </c>
      <c r="CO183" s="81">
        <f t="shared" si="133"/>
        <v>0</v>
      </c>
      <c r="CP183" s="81" t="s">
        <v>22</v>
      </c>
      <c r="CQ183" s="81">
        <f t="shared" si="134"/>
        <v>0</v>
      </c>
      <c r="CR183" s="81">
        <f t="shared" si="135"/>
        <v>0</v>
      </c>
      <c r="CS183" s="81" t="s">
        <v>21</v>
      </c>
      <c r="CT183" s="81">
        <f t="shared" si="136"/>
        <v>0</v>
      </c>
      <c r="CU183" s="81">
        <f t="shared" si="137"/>
        <v>0</v>
      </c>
      <c r="CV183" s="81" t="s">
        <v>998</v>
      </c>
      <c r="CW183" s="81">
        <f t="shared" si="138"/>
        <v>0</v>
      </c>
      <c r="CX183" s="81">
        <f t="shared" si="139"/>
        <v>0</v>
      </c>
      <c r="CY183" s="81" t="s">
        <v>19</v>
      </c>
      <c r="CZ183" s="81">
        <f t="shared" si="140"/>
        <v>0</v>
      </c>
      <c r="DA183" s="81">
        <f t="shared" si="141"/>
        <v>0</v>
      </c>
      <c r="DB183" s="81" t="s">
        <v>20</v>
      </c>
      <c r="DC183" s="81">
        <f t="shared" si="142"/>
        <v>0</v>
      </c>
      <c r="DD183" s="81">
        <f t="shared" si="143"/>
        <v>0</v>
      </c>
      <c r="DE183" s="81" t="s">
        <v>23</v>
      </c>
      <c r="DF183" s="81">
        <f t="shared" si="144"/>
        <v>0</v>
      </c>
      <c r="DG183" s="81">
        <f t="shared" si="145"/>
        <v>0</v>
      </c>
      <c r="DH183" s="81" t="s">
        <v>15</v>
      </c>
      <c r="DI183" s="81">
        <f t="shared" si="146"/>
        <v>0</v>
      </c>
      <c r="DJ183" s="81">
        <f t="shared" si="147"/>
        <v>0</v>
      </c>
      <c r="DK183" s="81" t="s">
        <v>5405</v>
      </c>
      <c r="DL183" s="81">
        <f t="shared" si="148"/>
        <v>0</v>
      </c>
      <c r="DM183" s="81">
        <f t="shared" si="149"/>
        <v>0</v>
      </c>
      <c r="DN183" s="81" t="s">
        <v>7</v>
      </c>
      <c r="DO183" s="81">
        <f t="shared" si="150"/>
        <v>0</v>
      </c>
      <c r="DP183" s="81">
        <f t="shared" si="151"/>
        <v>0</v>
      </c>
      <c r="DQ183" s="81" t="s">
        <v>1</v>
      </c>
      <c r="DR183" s="81">
        <f t="shared" si="152"/>
        <v>0</v>
      </c>
      <c r="DS183" s="81">
        <f t="shared" si="153"/>
        <v>0</v>
      </c>
    </row>
    <row r="184" spans="14:123" x14ac:dyDescent="0.3">
      <c r="N184" s="81">
        <f>IF(Q185=0,IF(Q184=0,,"x"),)</f>
        <v>0</v>
      </c>
      <c r="O184" s="81">
        <f t="shared" si="154"/>
        <v>0</v>
      </c>
      <c r="P184" s="81">
        <f t="shared" si="118"/>
        <v>0</v>
      </c>
      <c r="Q184" s="81">
        <f t="shared" si="155"/>
        <v>0</v>
      </c>
      <c r="R184" s="81">
        <f>IF(W184="",,SUM($W$4:W184))</f>
        <v>0</v>
      </c>
      <c r="S184" s="81">
        <f t="shared" si="119"/>
        <v>0</v>
      </c>
      <c r="T184" s="81">
        <f t="shared" si="156"/>
        <v>0</v>
      </c>
      <c r="U184" s="81">
        <f t="shared" si="120"/>
        <v>0</v>
      </c>
      <c r="V184" s="81" t="str">
        <f t="shared" ca="1" si="121"/>
        <v/>
      </c>
      <c r="X184" s="81">
        <f t="shared" si="159"/>
        <v>0</v>
      </c>
      <c r="Y184" s="81">
        <f t="shared" si="160"/>
        <v>0</v>
      </c>
      <c r="AE184" s="81">
        <v>184</v>
      </c>
      <c r="AI184" s="81">
        <v>181</v>
      </c>
      <c r="AJ184" s="81" t="str">
        <f t="shared" si="109"/>
        <v>September 33</v>
      </c>
      <c r="AK184" s="81" t="str">
        <f t="shared" si="158"/>
        <v>September</v>
      </c>
      <c r="AL184" s="81">
        <f t="shared" si="157"/>
        <v>33</v>
      </c>
      <c r="AM184" s="81" t="str">
        <f t="shared" si="122"/>
        <v>='September 33'!</v>
      </c>
      <c r="AN184" s="81" t="str">
        <f t="shared" si="115"/>
        <v>='September 33'!C27</v>
      </c>
      <c r="AO184" s="81" t="s">
        <v>1184</v>
      </c>
      <c r="AR184" s="81" t="s">
        <v>244</v>
      </c>
      <c r="AS184" s="83" t="str">
        <f t="shared" si="110"/>
        <v>='September 33'!C6</v>
      </c>
      <c r="AT184" s="83">
        <f t="shared" si="111"/>
        <v>0</v>
      </c>
      <c r="AV184" s="81" t="s">
        <v>545</v>
      </c>
      <c r="AW184" s="81" t="s">
        <v>3298</v>
      </c>
      <c r="AX184" s="81" t="s">
        <v>3299</v>
      </c>
      <c r="AY184" s="81" t="s">
        <v>3300</v>
      </c>
      <c r="AZ184" s="81" t="s">
        <v>3301</v>
      </c>
      <c r="BA184" s="81" t="s">
        <v>3302</v>
      </c>
      <c r="BB184" s="81" t="s">
        <v>3303</v>
      </c>
      <c r="BC184" s="81" t="s">
        <v>3304</v>
      </c>
      <c r="BD184" s="81" t="s">
        <v>3305</v>
      </c>
      <c r="BE184" s="81" t="s">
        <v>3306</v>
      </c>
      <c r="BF184" s="81" t="s">
        <v>3307</v>
      </c>
      <c r="BG184" s="81" t="s">
        <v>3308</v>
      </c>
      <c r="BH184" s="81" t="s">
        <v>4801</v>
      </c>
      <c r="BI184" s="81" t="s">
        <v>5105</v>
      </c>
      <c r="BJ184" s="81" t="s">
        <v>244</v>
      </c>
      <c r="BL184" s="81" t="s">
        <v>848</v>
      </c>
      <c r="BM184" s="81">
        <v>181</v>
      </c>
      <c r="BN184" s="81" t="str">
        <f t="shared" si="112"/>
        <v>='September 33'!C12</v>
      </c>
      <c r="BP184" s="81" t="str">
        <f t="shared" ca="1" si="123"/>
        <v/>
      </c>
      <c r="BR184" s="84">
        <f t="shared" si="116"/>
        <v>0</v>
      </c>
      <c r="BS184" s="84">
        <f t="shared" si="117"/>
        <v>0</v>
      </c>
      <c r="CA184" s="81" t="s">
        <v>2</v>
      </c>
      <c r="CB184" s="81">
        <f t="shared" si="124"/>
        <v>0</v>
      </c>
      <c r="CC184" s="81">
        <f t="shared" si="125"/>
        <v>0</v>
      </c>
      <c r="CD184" s="81" t="s">
        <v>16</v>
      </c>
      <c r="CE184" s="81">
        <f t="shared" si="126"/>
        <v>0</v>
      </c>
      <c r="CF184" s="81">
        <f t="shared" si="127"/>
        <v>0</v>
      </c>
      <c r="CG184" s="81" t="s">
        <v>5</v>
      </c>
      <c r="CH184" s="81">
        <f t="shared" si="128"/>
        <v>0</v>
      </c>
      <c r="CI184" s="81">
        <f t="shared" si="129"/>
        <v>0</v>
      </c>
      <c r="CJ184" s="81" t="s">
        <v>18</v>
      </c>
      <c r="CK184" s="81">
        <f t="shared" si="130"/>
        <v>0</v>
      </c>
      <c r="CL184" s="81">
        <f t="shared" si="131"/>
        <v>0</v>
      </c>
      <c r="CM184" s="81" t="s">
        <v>4</v>
      </c>
      <c r="CN184" s="81">
        <f t="shared" si="132"/>
        <v>0</v>
      </c>
      <c r="CO184" s="81">
        <f t="shared" si="133"/>
        <v>0</v>
      </c>
      <c r="CP184" s="81" t="s">
        <v>22</v>
      </c>
      <c r="CQ184" s="81">
        <f t="shared" si="134"/>
        <v>0</v>
      </c>
      <c r="CR184" s="81">
        <f t="shared" si="135"/>
        <v>0</v>
      </c>
      <c r="CS184" s="81" t="s">
        <v>21</v>
      </c>
      <c r="CT184" s="81">
        <f t="shared" si="136"/>
        <v>0</v>
      </c>
      <c r="CU184" s="81">
        <f t="shared" si="137"/>
        <v>0</v>
      </c>
      <c r="CV184" s="81" t="s">
        <v>998</v>
      </c>
      <c r="CW184" s="81">
        <f t="shared" si="138"/>
        <v>0</v>
      </c>
      <c r="CX184" s="81">
        <f t="shared" si="139"/>
        <v>0</v>
      </c>
      <c r="CY184" s="81" t="s">
        <v>19</v>
      </c>
      <c r="CZ184" s="81">
        <f t="shared" si="140"/>
        <v>0</v>
      </c>
      <c r="DA184" s="81">
        <f t="shared" si="141"/>
        <v>0</v>
      </c>
      <c r="DB184" s="81" t="s">
        <v>20</v>
      </c>
      <c r="DC184" s="81">
        <f t="shared" si="142"/>
        <v>0</v>
      </c>
      <c r="DD184" s="81">
        <f t="shared" si="143"/>
        <v>0</v>
      </c>
      <c r="DE184" s="81" t="s">
        <v>23</v>
      </c>
      <c r="DF184" s="81">
        <f t="shared" si="144"/>
        <v>0</v>
      </c>
      <c r="DG184" s="81">
        <f t="shared" si="145"/>
        <v>0</v>
      </c>
      <c r="DH184" s="81" t="s">
        <v>15</v>
      </c>
      <c r="DI184" s="81">
        <f t="shared" si="146"/>
        <v>0</v>
      </c>
      <c r="DJ184" s="81">
        <f t="shared" si="147"/>
        <v>0</v>
      </c>
      <c r="DK184" s="81" t="s">
        <v>5406</v>
      </c>
      <c r="DL184" s="81">
        <f t="shared" si="148"/>
        <v>0</v>
      </c>
      <c r="DM184" s="81">
        <f t="shared" si="149"/>
        <v>0</v>
      </c>
      <c r="DN184" s="81" t="s">
        <v>7</v>
      </c>
      <c r="DO184" s="81">
        <f t="shared" si="150"/>
        <v>0</v>
      </c>
      <c r="DP184" s="81">
        <f t="shared" si="151"/>
        <v>0</v>
      </c>
      <c r="DQ184" s="81" t="s">
        <v>1</v>
      </c>
      <c r="DR184" s="81">
        <f t="shared" si="152"/>
        <v>0</v>
      </c>
      <c r="DS184" s="81">
        <f t="shared" si="153"/>
        <v>0</v>
      </c>
    </row>
    <row r="185" spans="14:123" x14ac:dyDescent="0.3">
      <c r="N185" s="81">
        <f>IF(Q186=0,IF(Q185=0,,"x"),)</f>
        <v>0</v>
      </c>
      <c r="O185" s="81">
        <f t="shared" si="154"/>
        <v>0</v>
      </c>
      <c r="P185" s="81">
        <f t="shared" si="118"/>
        <v>0</v>
      </c>
      <c r="Q185" s="81">
        <f t="shared" si="155"/>
        <v>0</v>
      </c>
      <c r="R185" s="81">
        <f>IF(W185="",,SUM($W$4:W185))</f>
        <v>0</v>
      </c>
      <c r="S185" s="81">
        <f t="shared" si="119"/>
        <v>0</v>
      </c>
      <c r="T185" s="81">
        <f t="shared" si="156"/>
        <v>0</v>
      </c>
      <c r="U185" s="81">
        <f t="shared" si="120"/>
        <v>0</v>
      </c>
      <c r="V185" s="81" t="str">
        <f t="shared" ca="1" si="121"/>
        <v/>
      </c>
      <c r="X185" s="81">
        <f t="shared" si="159"/>
        <v>0</v>
      </c>
      <c r="Y185" s="81">
        <f t="shared" si="160"/>
        <v>0</v>
      </c>
      <c r="AE185" s="81">
        <v>185</v>
      </c>
      <c r="AI185" s="81">
        <v>182</v>
      </c>
      <c r="AJ185" s="81" t="str">
        <f t="shared" si="109"/>
        <v>Oktober 33</v>
      </c>
      <c r="AK185" s="81" t="str">
        <f t="shared" si="158"/>
        <v>Oktober</v>
      </c>
      <c r="AL185" s="81">
        <f t="shared" si="157"/>
        <v>33</v>
      </c>
      <c r="AM185" s="81" t="str">
        <f t="shared" si="122"/>
        <v>='Oktober 33'!</v>
      </c>
      <c r="AN185" s="81" t="str">
        <f t="shared" si="115"/>
        <v>='Oktober 33'!C27</v>
      </c>
      <c r="AO185" s="81" t="s">
        <v>1185</v>
      </c>
      <c r="AR185" s="81" t="s">
        <v>245</v>
      </c>
      <c r="AS185" s="83" t="str">
        <f t="shared" si="110"/>
        <v>='Oktober 33'!C6</v>
      </c>
      <c r="AT185" s="83">
        <f t="shared" si="111"/>
        <v>0</v>
      </c>
      <c r="AV185" s="81" t="s">
        <v>546</v>
      </c>
      <c r="AW185" s="81" t="s">
        <v>3309</v>
      </c>
      <c r="AX185" s="81" t="s">
        <v>3310</v>
      </c>
      <c r="AY185" s="81" t="s">
        <v>3311</v>
      </c>
      <c r="AZ185" s="81" t="s">
        <v>3312</v>
      </c>
      <c r="BA185" s="81" t="s">
        <v>3313</v>
      </c>
      <c r="BB185" s="81" t="s">
        <v>3314</v>
      </c>
      <c r="BC185" s="81" t="s">
        <v>3315</v>
      </c>
      <c r="BD185" s="81" t="s">
        <v>3316</v>
      </c>
      <c r="BE185" s="81" t="s">
        <v>3317</v>
      </c>
      <c r="BF185" s="81" t="s">
        <v>3318</v>
      </c>
      <c r="BG185" s="81" t="s">
        <v>3319</v>
      </c>
      <c r="BH185" s="81" t="s">
        <v>4802</v>
      </c>
      <c r="BI185" s="81" t="s">
        <v>5106</v>
      </c>
      <c r="BJ185" s="81" t="s">
        <v>245</v>
      </c>
      <c r="BL185" s="81" t="s">
        <v>849</v>
      </c>
      <c r="BM185" s="81">
        <v>182</v>
      </c>
      <c r="BN185" s="81" t="str">
        <f t="shared" si="112"/>
        <v>='Oktober 33'!C12</v>
      </c>
      <c r="BP185" s="81" t="str">
        <f t="shared" ca="1" si="123"/>
        <v/>
      </c>
      <c r="BR185" s="84">
        <f t="shared" si="116"/>
        <v>0</v>
      </c>
      <c r="BS185" s="84">
        <f t="shared" si="117"/>
        <v>0</v>
      </c>
      <c r="CA185" s="81" t="s">
        <v>2</v>
      </c>
      <c r="CB185" s="81">
        <f t="shared" si="124"/>
        <v>0</v>
      </c>
      <c r="CC185" s="81">
        <f t="shared" si="125"/>
        <v>0</v>
      </c>
      <c r="CD185" s="81" t="s">
        <v>16</v>
      </c>
      <c r="CE185" s="81">
        <f t="shared" si="126"/>
        <v>0</v>
      </c>
      <c r="CF185" s="81">
        <f t="shared" si="127"/>
        <v>0</v>
      </c>
      <c r="CG185" s="81" t="s">
        <v>5</v>
      </c>
      <c r="CH185" s="81">
        <f t="shared" si="128"/>
        <v>0</v>
      </c>
      <c r="CI185" s="81">
        <f t="shared" si="129"/>
        <v>0</v>
      </c>
      <c r="CJ185" s="81" t="s">
        <v>18</v>
      </c>
      <c r="CK185" s="81">
        <f t="shared" si="130"/>
        <v>0</v>
      </c>
      <c r="CL185" s="81">
        <f t="shared" si="131"/>
        <v>0</v>
      </c>
      <c r="CM185" s="81" t="s">
        <v>4</v>
      </c>
      <c r="CN185" s="81">
        <f t="shared" si="132"/>
        <v>0</v>
      </c>
      <c r="CO185" s="81">
        <f t="shared" si="133"/>
        <v>0</v>
      </c>
      <c r="CP185" s="81" t="s">
        <v>22</v>
      </c>
      <c r="CQ185" s="81">
        <f t="shared" si="134"/>
        <v>0</v>
      </c>
      <c r="CR185" s="81">
        <f t="shared" si="135"/>
        <v>0</v>
      </c>
      <c r="CS185" s="81" t="s">
        <v>21</v>
      </c>
      <c r="CT185" s="81">
        <f t="shared" si="136"/>
        <v>0</v>
      </c>
      <c r="CU185" s="81">
        <f t="shared" si="137"/>
        <v>0</v>
      </c>
      <c r="CV185" s="81" t="s">
        <v>998</v>
      </c>
      <c r="CW185" s="81">
        <f t="shared" si="138"/>
        <v>0</v>
      </c>
      <c r="CX185" s="81">
        <f t="shared" si="139"/>
        <v>0</v>
      </c>
      <c r="CY185" s="81" t="s">
        <v>19</v>
      </c>
      <c r="CZ185" s="81">
        <f t="shared" si="140"/>
        <v>0</v>
      </c>
      <c r="DA185" s="81">
        <f t="shared" si="141"/>
        <v>0</v>
      </c>
      <c r="DB185" s="81" t="s">
        <v>20</v>
      </c>
      <c r="DC185" s="81">
        <f t="shared" si="142"/>
        <v>0</v>
      </c>
      <c r="DD185" s="81">
        <f t="shared" si="143"/>
        <v>0</v>
      </c>
      <c r="DE185" s="81" t="s">
        <v>23</v>
      </c>
      <c r="DF185" s="81">
        <f t="shared" si="144"/>
        <v>0</v>
      </c>
      <c r="DG185" s="81">
        <f t="shared" si="145"/>
        <v>0</v>
      </c>
      <c r="DH185" s="81" t="s">
        <v>15</v>
      </c>
      <c r="DI185" s="81">
        <f t="shared" si="146"/>
        <v>0</v>
      </c>
      <c r="DJ185" s="81">
        <f t="shared" si="147"/>
        <v>0</v>
      </c>
      <c r="DK185" s="81" t="s">
        <v>5407</v>
      </c>
      <c r="DL185" s="81">
        <f t="shared" si="148"/>
        <v>0</v>
      </c>
      <c r="DM185" s="81">
        <f t="shared" si="149"/>
        <v>0</v>
      </c>
      <c r="DN185" s="81" t="s">
        <v>7</v>
      </c>
      <c r="DO185" s="81">
        <f t="shared" si="150"/>
        <v>0</v>
      </c>
      <c r="DP185" s="81">
        <f t="shared" si="151"/>
        <v>0</v>
      </c>
      <c r="DQ185" s="81" t="s">
        <v>1</v>
      </c>
      <c r="DR185" s="81">
        <f t="shared" si="152"/>
        <v>0</v>
      </c>
      <c r="DS185" s="81">
        <f t="shared" si="153"/>
        <v>0</v>
      </c>
    </row>
    <row r="186" spans="14:123" x14ac:dyDescent="0.3">
      <c r="N186" s="81">
        <f>IF(Q187=0,IF(Q186=0,,"x"),)</f>
        <v>0</v>
      </c>
      <c r="O186" s="81">
        <f t="shared" si="154"/>
        <v>0</v>
      </c>
      <c r="P186" s="81">
        <f t="shared" si="118"/>
        <v>0</v>
      </c>
      <c r="Q186" s="81">
        <f t="shared" si="155"/>
        <v>0</v>
      </c>
      <c r="R186" s="81">
        <f>IF(W186="",,SUM($W$4:W186))</f>
        <v>0</v>
      </c>
      <c r="S186" s="81">
        <f t="shared" si="119"/>
        <v>0</v>
      </c>
      <c r="T186" s="81">
        <f t="shared" si="156"/>
        <v>0</v>
      </c>
      <c r="U186" s="81">
        <f t="shared" si="120"/>
        <v>0</v>
      </c>
      <c r="V186" s="81" t="str">
        <f t="shared" ca="1" si="121"/>
        <v/>
      </c>
      <c r="X186" s="81">
        <f t="shared" si="159"/>
        <v>0</v>
      </c>
      <c r="Y186" s="81">
        <f t="shared" si="160"/>
        <v>0</v>
      </c>
      <c r="AE186" s="81">
        <v>186</v>
      </c>
      <c r="AI186" s="81">
        <v>183</v>
      </c>
      <c r="AJ186" s="81" t="str">
        <f t="shared" si="109"/>
        <v>November 33</v>
      </c>
      <c r="AK186" s="81" t="str">
        <f t="shared" si="158"/>
        <v>November</v>
      </c>
      <c r="AL186" s="81">
        <f t="shared" si="157"/>
        <v>33</v>
      </c>
      <c r="AM186" s="81" t="str">
        <f t="shared" si="122"/>
        <v>='November 33'!</v>
      </c>
      <c r="AN186" s="81" t="str">
        <f t="shared" si="115"/>
        <v>='November 33'!C27</v>
      </c>
      <c r="AO186" s="81" t="s">
        <v>1186</v>
      </c>
      <c r="AR186" s="81" t="s">
        <v>246</v>
      </c>
      <c r="AS186" s="83" t="str">
        <f t="shared" si="110"/>
        <v>='November 33'!C6</v>
      </c>
      <c r="AT186" s="83">
        <f t="shared" si="111"/>
        <v>0</v>
      </c>
      <c r="AV186" s="81" t="s">
        <v>547</v>
      </c>
      <c r="AW186" s="81" t="s">
        <v>3320</v>
      </c>
      <c r="AX186" s="81" t="s">
        <v>3321</v>
      </c>
      <c r="AY186" s="81" t="s">
        <v>3322</v>
      </c>
      <c r="AZ186" s="81" t="s">
        <v>3323</v>
      </c>
      <c r="BA186" s="81" t="s">
        <v>3324</v>
      </c>
      <c r="BB186" s="81" t="s">
        <v>3325</v>
      </c>
      <c r="BC186" s="81" t="s">
        <v>3326</v>
      </c>
      <c r="BD186" s="81" t="s">
        <v>3327</v>
      </c>
      <c r="BE186" s="81" t="s">
        <v>3328</v>
      </c>
      <c r="BF186" s="81" t="s">
        <v>3329</v>
      </c>
      <c r="BG186" s="81" t="s">
        <v>3330</v>
      </c>
      <c r="BH186" s="81" t="s">
        <v>4803</v>
      </c>
      <c r="BI186" s="81" t="s">
        <v>5107</v>
      </c>
      <c r="BJ186" s="81" t="s">
        <v>246</v>
      </c>
      <c r="BL186" s="81" t="s">
        <v>850</v>
      </c>
      <c r="BM186" s="81">
        <v>183</v>
      </c>
      <c r="BN186" s="81" t="str">
        <f t="shared" si="112"/>
        <v>='November 33'!C12</v>
      </c>
      <c r="BP186" s="81" t="str">
        <f t="shared" ca="1" si="123"/>
        <v/>
      </c>
      <c r="BR186" s="84">
        <f t="shared" si="116"/>
        <v>0</v>
      </c>
      <c r="BS186" s="84">
        <f t="shared" si="117"/>
        <v>0</v>
      </c>
      <c r="CA186" s="81" t="s">
        <v>2</v>
      </c>
      <c r="CB186" s="81">
        <f t="shared" si="124"/>
        <v>0</v>
      </c>
      <c r="CC186" s="81">
        <f t="shared" si="125"/>
        <v>0</v>
      </c>
      <c r="CD186" s="81" t="s">
        <v>16</v>
      </c>
      <c r="CE186" s="81">
        <f t="shared" si="126"/>
        <v>0</v>
      </c>
      <c r="CF186" s="81">
        <f t="shared" si="127"/>
        <v>0</v>
      </c>
      <c r="CG186" s="81" t="s">
        <v>5</v>
      </c>
      <c r="CH186" s="81">
        <f t="shared" si="128"/>
        <v>0</v>
      </c>
      <c r="CI186" s="81">
        <f t="shared" si="129"/>
        <v>0</v>
      </c>
      <c r="CJ186" s="81" t="s">
        <v>18</v>
      </c>
      <c r="CK186" s="81">
        <f t="shared" si="130"/>
        <v>0</v>
      </c>
      <c r="CL186" s="81">
        <f t="shared" si="131"/>
        <v>0</v>
      </c>
      <c r="CM186" s="81" t="s">
        <v>4</v>
      </c>
      <c r="CN186" s="81">
        <f t="shared" si="132"/>
        <v>0</v>
      </c>
      <c r="CO186" s="81">
        <f t="shared" si="133"/>
        <v>0</v>
      </c>
      <c r="CP186" s="81" t="s">
        <v>22</v>
      </c>
      <c r="CQ186" s="81">
        <f t="shared" si="134"/>
        <v>0</v>
      </c>
      <c r="CR186" s="81">
        <f t="shared" si="135"/>
        <v>0</v>
      </c>
      <c r="CS186" s="81" t="s">
        <v>21</v>
      </c>
      <c r="CT186" s="81">
        <f t="shared" si="136"/>
        <v>0</v>
      </c>
      <c r="CU186" s="81">
        <f t="shared" si="137"/>
        <v>0</v>
      </c>
      <c r="CV186" s="81" t="s">
        <v>998</v>
      </c>
      <c r="CW186" s="81">
        <f t="shared" si="138"/>
        <v>0</v>
      </c>
      <c r="CX186" s="81">
        <f t="shared" si="139"/>
        <v>0</v>
      </c>
      <c r="CY186" s="81" t="s">
        <v>19</v>
      </c>
      <c r="CZ186" s="81">
        <f t="shared" si="140"/>
        <v>0</v>
      </c>
      <c r="DA186" s="81">
        <f t="shared" si="141"/>
        <v>0</v>
      </c>
      <c r="DB186" s="81" t="s">
        <v>20</v>
      </c>
      <c r="DC186" s="81">
        <f t="shared" si="142"/>
        <v>0</v>
      </c>
      <c r="DD186" s="81">
        <f t="shared" si="143"/>
        <v>0</v>
      </c>
      <c r="DE186" s="81" t="s">
        <v>23</v>
      </c>
      <c r="DF186" s="81">
        <f t="shared" si="144"/>
        <v>0</v>
      </c>
      <c r="DG186" s="81">
        <f t="shared" si="145"/>
        <v>0</v>
      </c>
      <c r="DH186" s="81" t="s">
        <v>15</v>
      </c>
      <c r="DI186" s="81">
        <f t="shared" si="146"/>
        <v>0</v>
      </c>
      <c r="DJ186" s="81">
        <f t="shared" si="147"/>
        <v>0</v>
      </c>
      <c r="DK186" s="81" t="s">
        <v>5408</v>
      </c>
      <c r="DL186" s="81">
        <f t="shared" si="148"/>
        <v>0</v>
      </c>
      <c r="DM186" s="81">
        <f t="shared" si="149"/>
        <v>0</v>
      </c>
      <c r="DN186" s="81" t="s">
        <v>7</v>
      </c>
      <c r="DO186" s="81">
        <f t="shared" si="150"/>
        <v>0</v>
      </c>
      <c r="DP186" s="81">
        <f t="shared" si="151"/>
        <v>0</v>
      </c>
      <c r="DQ186" s="81" t="s">
        <v>1</v>
      </c>
      <c r="DR186" s="81">
        <f t="shared" si="152"/>
        <v>0</v>
      </c>
      <c r="DS186" s="81">
        <f t="shared" si="153"/>
        <v>0</v>
      </c>
    </row>
    <row r="187" spans="14:123" x14ac:dyDescent="0.3">
      <c r="N187" s="81">
        <f>IF(Q188=0,IF(Q187=0,,"x"),)</f>
        <v>0</v>
      </c>
      <c r="O187" s="81">
        <f t="shared" si="154"/>
        <v>0</v>
      </c>
      <c r="P187" s="81">
        <f t="shared" si="118"/>
        <v>0</v>
      </c>
      <c r="Q187" s="81">
        <f t="shared" si="155"/>
        <v>0</v>
      </c>
      <c r="R187" s="81">
        <f>IF(W187="",,SUM($W$4:W187))</f>
        <v>0</v>
      </c>
      <c r="S187" s="81">
        <f t="shared" si="119"/>
        <v>0</v>
      </c>
      <c r="T187" s="81">
        <f t="shared" si="156"/>
        <v>0</v>
      </c>
      <c r="U187" s="81">
        <f t="shared" si="120"/>
        <v>0</v>
      </c>
      <c r="V187" s="81" t="str">
        <f t="shared" ca="1" si="121"/>
        <v/>
      </c>
      <c r="X187" s="81">
        <f t="shared" si="159"/>
        <v>0</v>
      </c>
      <c r="Y187" s="81">
        <f t="shared" si="160"/>
        <v>0</v>
      </c>
      <c r="AE187" s="81">
        <v>187</v>
      </c>
      <c r="AI187" s="81">
        <v>184</v>
      </c>
      <c r="AJ187" s="81" t="str">
        <f t="shared" si="109"/>
        <v>December 33</v>
      </c>
      <c r="AK187" s="81" t="str">
        <f t="shared" si="158"/>
        <v>December</v>
      </c>
      <c r="AL187" s="81">
        <f t="shared" si="157"/>
        <v>33</v>
      </c>
      <c r="AM187" s="81" t="str">
        <f t="shared" si="122"/>
        <v>='December 33'!</v>
      </c>
      <c r="AN187" s="81" t="str">
        <f t="shared" si="115"/>
        <v>='December 33'!C27</v>
      </c>
      <c r="AO187" s="81" t="s">
        <v>1187</v>
      </c>
      <c r="AR187" s="81" t="s">
        <v>247</v>
      </c>
      <c r="AS187" s="83" t="str">
        <f t="shared" si="110"/>
        <v>='December 33'!C6</v>
      </c>
      <c r="AT187" s="83">
        <f t="shared" si="111"/>
        <v>0</v>
      </c>
      <c r="AV187" s="81" t="s">
        <v>548</v>
      </c>
      <c r="AW187" s="81" t="s">
        <v>3331</v>
      </c>
      <c r="AX187" s="81" t="s">
        <v>3332</v>
      </c>
      <c r="AY187" s="81" t="s">
        <v>3333</v>
      </c>
      <c r="AZ187" s="81" t="s">
        <v>3334</v>
      </c>
      <c r="BA187" s="81" t="s">
        <v>3335</v>
      </c>
      <c r="BB187" s="81" t="s">
        <v>3336</v>
      </c>
      <c r="BC187" s="81" t="s">
        <v>3337</v>
      </c>
      <c r="BD187" s="81" t="s">
        <v>3338</v>
      </c>
      <c r="BE187" s="81" t="s">
        <v>3339</v>
      </c>
      <c r="BF187" s="81" t="s">
        <v>3340</v>
      </c>
      <c r="BG187" s="81" t="s">
        <v>3341</v>
      </c>
      <c r="BH187" s="81" t="s">
        <v>4804</v>
      </c>
      <c r="BI187" s="81" t="s">
        <v>5108</v>
      </c>
      <c r="BJ187" s="81" t="s">
        <v>247</v>
      </c>
      <c r="BL187" s="81" t="s">
        <v>851</v>
      </c>
      <c r="BM187" s="81">
        <v>184</v>
      </c>
      <c r="BN187" s="81" t="str">
        <f t="shared" si="112"/>
        <v>='December 33'!C12</v>
      </c>
      <c r="BP187" s="81" t="str">
        <f t="shared" ca="1" si="123"/>
        <v/>
      </c>
      <c r="BR187" s="84">
        <f t="shared" si="116"/>
        <v>0</v>
      </c>
      <c r="BS187" s="84">
        <f t="shared" si="117"/>
        <v>0</v>
      </c>
      <c r="CA187" s="81" t="s">
        <v>2</v>
      </c>
      <c r="CB187" s="81">
        <f t="shared" si="124"/>
        <v>0</v>
      </c>
      <c r="CC187" s="81">
        <f t="shared" si="125"/>
        <v>0</v>
      </c>
      <c r="CD187" s="81" t="s">
        <v>16</v>
      </c>
      <c r="CE187" s="81">
        <f t="shared" si="126"/>
        <v>0</v>
      </c>
      <c r="CF187" s="81">
        <f t="shared" si="127"/>
        <v>0</v>
      </c>
      <c r="CG187" s="81" t="s">
        <v>5</v>
      </c>
      <c r="CH187" s="81">
        <f t="shared" si="128"/>
        <v>0</v>
      </c>
      <c r="CI187" s="81">
        <f t="shared" si="129"/>
        <v>0</v>
      </c>
      <c r="CJ187" s="81" t="s">
        <v>18</v>
      </c>
      <c r="CK187" s="81">
        <f t="shared" si="130"/>
        <v>0</v>
      </c>
      <c r="CL187" s="81">
        <f t="shared" si="131"/>
        <v>0</v>
      </c>
      <c r="CM187" s="81" t="s">
        <v>4</v>
      </c>
      <c r="CN187" s="81">
        <f t="shared" si="132"/>
        <v>0</v>
      </c>
      <c r="CO187" s="81">
        <f t="shared" si="133"/>
        <v>0</v>
      </c>
      <c r="CP187" s="81" t="s">
        <v>22</v>
      </c>
      <c r="CQ187" s="81">
        <f t="shared" si="134"/>
        <v>0</v>
      </c>
      <c r="CR187" s="81">
        <f t="shared" si="135"/>
        <v>0</v>
      </c>
      <c r="CS187" s="81" t="s">
        <v>21</v>
      </c>
      <c r="CT187" s="81">
        <f t="shared" si="136"/>
        <v>0</v>
      </c>
      <c r="CU187" s="81">
        <f t="shared" si="137"/>
        <v>0</v>
      </c>
      <c r="CV187" s="81" t="s">
        <v>998</v>
      </c>
      <c r="CW187" s="81">
        <f t="shared" si="138"/>
        <v>0</v>
      </c>
      <c r="CX187" s="81">
        <f t="shared" si="139"/>
        <v>0</v>
      </c>
      <c r="CY187" s="81" t="s">
        <v>19</v>
      </c>
      <c r="CZ187" s="81">
        <f t="shared" si="140"/>
        <v>0</v>
      </c>
      <c r="DA187" s="81">
        <f t="shared" si="141"/>
        <v>0</v>
      </c>
      <c r="DB187" s="81" t="s">
        <v>20</v>
      </c>
      <c r="DC187" s="81">
        <f t="shared" si="142"/>
        <v>0</v>
      </c>
      <c r="DD187" s="81">
        <f t="shared" si="143"/>
        <v>0</v>
      </c>
      <c r="DE187" s="81" t="s">
        <v>23</v>
      </c>
      <c r="DF187" s="81">
        <f t="shared" si="144"/>
        <v>0</v>
      </c>
      <c r="DG187" s="81">
        <f t="shared" si="145"/>
        <v>0</v>
      </c>
      <c r="DH187" s="81" t="s">
        <v>15</v>
      </c>
      <c r="DI187" s="81">
        <f t="shared" si="146"/>
        <v>0</v>
      </c>
      <c r="DJ187" s="81">
        <f t="shared" si="147"/>
        <v>0</v>
      </c>
      <c r="DK187" s="81" t="s">
        <v>5409</v>
      </c>
      <c r="DL187" s="81">
        <f t="shared" si="148"/>
        <v>0</v>
      </c>
      <c r="DM187" s="81">
        <f t="shared" si="149"/>
        <v>0</v>
      </c>
      <c r="DN187" s="81" t="s">
        <v>7</v>
      </c>
      <c r="DO187" s="81">
        <f t="shared" si="150"/>
        <v>0</v>
      </c>
      <c r="DP187" s="81">
        <f t="shared" si="151"/>
        <v>0</v>
      </c>
      <c r="DQ187" s="81" t="s">
        <v>1</v>
      </c>
      <c r="DR187" s="81">
        <f t="shared" si="152"/>
        <v>0</v>
      </c>
      <c r="DS187" s="81">
        <f t="shared" si="153"/>
        <v>0</v>
      </c>
    </row>
    <row r="188" spans="14:123" x14ac:dyDescent="0.3">
      <c r="N188" s="81">
        <f>IF(Q189=0,IF(Q188=0,,"x"),)</f>
        <v>0</v>
      </c>
      <c r="O188" s="81">
        <f t="shared" si="154"/>
        <v>0</v>
      </c>
      <c r="P188" s="81">
        <f t="shared" si="118"/>
        <v>0</v>
      </c>
      <c r="Q188" s="81">
        <f t="shared" si="155"/>
        <v>0</v>
      </c>
      <c r="R188" s="81">
        <f>IF(W188="",,SUM($W$4:W188))</f>
        <v>0</v>
      </c>
      <c r="S188" s="81">
        <f t="shared" si="119"/>
        <v>0</v>
      </c>
      <c r="T188" s="81">
        <f t="shared" si="156"/>
        <v>0</v>
      </c>
      <c r="U188" s="81">
        <f t="shared" si="120"/>
        <v>0</v>
      </c>
      <c r="V188" s="81" t="str">
        <f t="shared" ca="1" si="121"/>
        <v/>
      </c>
      <c r="X188" s="81">
        <f t="shared" si="159"/>
        <v>0</v>
      </c>
      <c r="Y188" s="81">
        <f t="shared" si="160"/>
        <v>0</v>
      </c>
      <c r="AE188" s="81">
        <v>188</v>
      </c>
      <c r="AI188" s="81">
        <v>185</v>
      </c>
      <c r="AJ188" s="81" t="str">
        <f t="shared" si="109"/>
        <v>Januari 34</v>
      </c>
      <c r="AK188" s="81" t="str">
        <f t="shared" si="158"/>
        <v>Januari</v>
      </c>
      <c r="AL188" s="81">
        <f t="shared" si="157"/>
        <v>34</v>
      </c>
      <c r="AM188" s="81" t="str">
        <f t="shared" si="122"/>
        <v>='Januari 34'!</v>
      </c>
      <c r="AN188" s="81" t="str">
        <f t="shared" si="115"/>
        <v>='Januari 34'!C27</v>
      </c>
      <c r="AO188" s="81" t="s">
        <v>1188</v>
      </c>
      <c r="AR188" s="81" t="s">
        <v>248</v>
      </c>
      <c r="AS188" s="83" t="str">
        <f t="shared" si="110"/>
        <v>='Januari 34'!C6</v>
      </c>
      <c r="AT188" s="83">
        <f t="shared" si="111"/>
        <v>0</v>
      </c>
      <c r="AV188" s="81" t="s">
        <v>549</v>
      </c>
      <c r="AW188" s="81" t="s">
        <v>3342</v>
      </c>
      <c r="AX188" s="81" t="s">
        <v>3343</v>
      </c>
      <c r="AY188" s="81" t="s">
        <v>3344</v>
      </c>
      <c r="AZ188" s="81" t="s">
        <v>3345</v>
      </c>
      <c r="BA188" s="81" t="s">
        <v>3346</v>
      </c>
      <c r="BB188" s="81" t="s">
        <v>3347</v>
      </c>
      <c r="BC188" s="81" t="s">
        <v>3348</v>
      </c>
      <c r="BD188" s="81" t="s">
        <v>3349</v>
      </c>
      <c r="BE188" s="81" t="s">
        <v>3350</v>
      </c>
      <c r="BF188" s="81" t="s">
        <v>3351</v>
      </c>
      <c r="BG188" s="81" t="s">
        <v>3352</v>
      </c>
      <c r="BH188" s="81" t="s">
        <v>4805</v>
      </c>
      <c r="BI188" s="81" t="s">
        <v>5109</v>
      </c>
      <c r="BJ188" s="81" t="s">
        <v>248</v>
      </c>
      <c r="BL188" s="81" t="s">
        <v>852</v>
      </c>
      <c r="BM188" s="81">
        <v>185</v>
      </c>
      <c r="BN188" s="81" t="str">
        <f t="shared" si="112"/>
        <v>='Januari 34'!C12</v>
      </c>
      <c r="BP188" s="81" t="str">
        <f t="shared" ca="1" si="123"/>
        <v/>
      </c>
      <c r="BR188" s="84">
        <f t="shared" si="116"/>
        <v>0</v>
      </c>
      <c r="BS188" s="84">
        <f t="shared" si="117"/>
        <v>0</v>
      </c>
      <c r="CA188" s="81" t="s">
        <v>2</v>
      </c>
      <c r="CB188" s="81">
        <f t="shared" si="124"/>
        <v>0</v>
      </c>
      <c r="CC188" s="81">
        <f t="shared" si="125"/>
        <v>0</v>
      </c>
      <c r="CD188" s="81" t="s">
        <v>16</v>
      </c>
      <c r="CE188" s="81">
        <f t="shared" si="126"/>
        <v>0</v>
      </c>
      <c r="CF188" s="81">
        <f t="shared" si="127"/>
        <v>0</v>
      </c>
      <c r="CG188" s="81" t="s">
        <v>5</v>
      </c>
      <c r="CH188" s="81">
        <f t="shared" si="128"/>
        <v>0</v>
      </c>
      <c r="CI188" s="81">
        <f t="shared" si="129"/>
        <v>0</v>
      </c>
      <c r="CJ188" s="81" t="s">
        <v>18</v>
      </c>
      <c r="CK188" s="81">
        <f t="shared" si="130"/>
        <v>0</v>
      </c>
      <c r="CL188" s="81">
        <f t="shared" si="131"/>
        <v>0</v>
      </c>
      <c r="CM188" s="81" t="s">
        <v>4</v>
      </c>
      <c r="CN188" s="81">
        <f t="shared" si="132"/>
        <v>0</v>
      </c>
      <c r="CO188" s="81">
        <f t="shared" si="133"/>
        <v>0</v>
      </c>
      <c r="CP188" s="81" t="s">
        <v>22</v>
      </c>
      <c r="CQ188" s="81">
        <f t="shared" si="134"/>
        <v>0</v>
      </c>
      <c r="CR188" s="81">
        <f t="shared" si="135"/>
        <v>0</v>
      </c>
      <c r="CS188" s="81" t="s">
        <v>21</v>
      </c>
      <c r="CT188" s="81">
        <f t="shared" si="136"/>
        <v>0</v>
      </c>
      <c r="CU188" s="81">
        <f t="shared" si="137"/>
        <v>0</v>
      </c>
      <c r="CV188" s="81" t="s">
        <v>998</v>
      </c>
      <c r="CW188" s="81">
        <f t="shared" si="138"/>
        <v>0</v>
      </c>
      <c r="CX188" s="81">
        <f t="shared" si="139"/>
        <v>0</v>
      </c>
      <c r="CY188" s="81" t="s">
        <v>19</v>
      </c>
      <c r="CZ188" s="81">
        <f t="shared" si="140"/>
        <v>0</v>
      </c>
      <c r="DA188" s="81">
        <f t="shared" si="141"/>
        <v>0</v>
      </c>
      <c r="DB188" s="81" t="s">
        <v>20</v>
      </c>
      <c r="DC188" s="81">
        <f t="shared" si="142"/>
        <v>0</v>
      </c>
      <c r="DD188" s="81">
        <f t="shared" si="143"/>
        <v>0</v>
      </c>
      <c r="DE188" s="81" t="s">
        <v>23</v>
      </c>
      <c r="DF188" s="81">
        <f t="shared" si="144"/>
        <v>0</v>
      </c>
      <c r="DG188" s="81">
        <f t="shared" si="145"/>
        <v>0</v>
      </c>
      <c r="DH188" s="81" t="s">
        <v>15</v>
      </c>
      <c r="DI188" s="81">
        <f t="shared" si="146"/>
        <v>0</v>
      </c>
      <c r="DJ188" s="81">
        <f t="shared" si="147"/>
        <v>0</v>
      </c>
      <c r="DK188" s="81" t="s">
        <v>5410</v>
      </c>
      <c r="DL188" s="81">
        <f t="shared" si="148"/>
        <v>0</v>
      </c>
      <c r="DM188" s="81">
        <f t="shared" si="149"/>
        <v>0</v>
      </c>
      <c r="DN188" s="81" t="s">
        <v>7</v>
      </c>
      <c r="DO188" s="81">
        <f t="shared" si="150"/>
        <v>0</v>
      </c>
      <c r="DP188" s="81">
        <f t="shared" si="151"/>
        <v>0</v>
      </c>
      <c r="DQ188" s="81" t="s">
        <v>1</v>
      </c>
      <c r="DR188" s="81">
        <f t="shared" si="152"/>
        <v>0</v>
      </c>
      <c r="DS188" s="81">
        <f t="shared" si="153"/>
        <v>0</v>
      </c>
    </row>
    <row r="189" spans="14:123" x14ac:dyDescent="0.3">
      <c r="N189" s="81">
        <f>IF(Q190=0,IF(Q189=0,,"x"),)</f>
        <v>0</v>
      </c>
      <c r="O189" s="81">
        <f t="shared" si="154"/>
        <v>0</v>
      </c>
      <c r="P189" s="81">
        <f t="shared" si="118"/>
        <v>0</v>
      </c>
      <c r="Q189" s="81">
        <f t="shared" si="155"/>
        <v>0</v>
      </c>
      <c r="R189" s="81">
        <f>IF(W189="",,SUM($W$4:W189))</f>
        <v>0</v>
      </c>
      <c r="S189" s="81">
        <f t="shared" si="119"/>
        <v>0</v>
      </c>
      <c r="T189" s="81">
        <f t="shared" si="156"/>
        <v>0</v>
      </c>
      <c r="U189" s="81">
        <f t="shared" si="120"/>
        <v>0</v>
      </c>
      <c r="V189" s="81" t="str">
        <f t="shared" ca="1" si="121"/>
        <v/>
      </c>
      <c r="X189" s="81">
        <f t="shared" si="159"/>
        <v>0</v>
      </c>
      <c r="Y189" s="81">
        <f t="shared" si="160"/>
        <v>0</v>
      </c>
      <c r="AE189" s="81">
        <v>189</v>
      </c>
      <c r="AI189" s="81">
        <v>186</v>
      </c>
      <c r="AJ189" s="81" t="str">
        <f t="shared" si="109"/>
        <v>Februari 34</v>
      </c>
      <c r="AK189" s="81" t="str">
        <f t="shared" si="158"/>
        <v>Februari</v>
      </c>
      <c r="AL189" s="81">
        <f t="shared" si="157"/>
        <v>34</v>
      </c>
      <c r="AM189" s="81" t="str">
        <f t="shared" si="122"/>
        <v>='Februari 34'!</v>
      </c>
      <c r="AN189" s="81" t="str">
        <f t="shared" si="115"/>
        <v>='Februari 34'!C27</v>
      </c>
      <c r="AO189" s="81" t="s">
        <v>1189</v>
      </c>
      <c r="AR189" s="81" t="s">
        <v>249</v>
      </c>
      <c r="AS189" s="83" t="str">
        <f t="shared" si="110"/>
        <v>='Februari 34'!C6</v>
      </c>
      <c r="AT189" s="83">
        <f t="shared" si="111"/>
        <v>0</v>
      </c>
      <c r="AV189" s="81" t="s">
        <v>550</v>
      </c>
      <c r="AW189" s="81" t="s">
        <v>3353</v>
      </c>
      <c r="AX189" s="81" t="s">
        <v>3354</v>
      </c>
      <c r="AY189" s="81" t="s">
        <v>3355</v>
      </c>
      <c r="AZ189" s="81" t="s">
        <v>3356</v>
      </c>
      <c r="BA189" s="81" t="s">
        <v>3357</v>
      </c>
      <c r="BB189" s="81" t="s">
        <v>3358</v>
      </c>
      <c r="BC189" s="81" t="s">
        <v>3359</v>
      </c>
      <c r="BD189" s="81" t="s">
        <v>3360</v>
      </c>
      <c r="BE189" s="81" t="s">
        <v>3361</v>
      </c>
      <c r="BF189" s="81" t="s">
        <v>3362</v>
      </c>
      <c r="BG189" s="81" t="s">
        <v>3363</v>
      </c>
      <c r="BH189" s="81" t="s">
        <v>4806</v>
      </c>
      <c r="BI189" s="81" t="s">
        <v>5110</v>
      </c>
      <c r="BJ189" s="81" t="s">
        <v>249</v>
      </c>
      <c r="BL189" s="81" t="s">
        <v>853</v>
      </c>
      <c r="BM189" s="81">
        <v>186</v>
      </c>
      <c r="BN189" s="81" t="str">
        <f t="shared" si="112"/>
        <v>='Februari 34'!C12</v>
      </c>
      <c r="BP189" s="81" t="str">
        <f t="shared" ca="1" si="123"/>
        <v/>
      </c>
      <c r="BR189" s="84">
        <f t="shared" si="116"/>
        <v>0</v>
      </c>
      <c r="BS189" s="84">
        <f t="shared" si="117"/>
        <v>0</v>
      </c>
      <c r="CA189" s="81" t="s">
        <v>2</v>
      </c>
      <c r="CB189" s="81">
        <f t="shared" si="124"/>
        <v>0</v>
      </c>
      <c r="CC189" s="81">
        <f t="shared" si="125"/>
        <v>0</v>
      </c>
      <c r="CD189" s="81" t="s">
        <v>16</v>
      </c>
      <c r="CE189" s="81">
        <f t="shared" si="126"/>
        <v>0</v>
      </c>
      <c r="CF189" s="81">
        <f t="shared" si="127"/>
        <v>0</v>
      </c>
      <c r="CG189" s="81" t="s">
        <v>5</v>
      </c>
      <c r="CH189" s="81">
        <f t="shared" si="128"/>
        <v>0</v>
      </c>
      <c r="CI189" s="81">
        <f t="shared" si="129"/>
        <v>0</v>
      </c>
      <c r="CJ189" s="81" t="s">
        <v>18</v>
      </c>
      <c r="CK189" s="81">
        <f t="shared" si="130"/>
        <v>0</v>
      </c>
      <c r="CL189" s="81">
        <f t="shared" si="131"/>
        <v>0</v>
      </c>
      <c r="CM189" s="81" t="s">
        <v>4</v>
      </c>
      <c r="CN189" s="81">
        <f t="shared" si="132"/>
        <v>0</v>
      </c>
      <c r="CO189" s="81">
        <f t="shared" si="133"/>
        <v>0</v>
      </c>
      <c r="CP189" s="81" t="s">
        <v>22</v>
      </c>
      <c r="CQ189" s="81">
        <f t="shared" si="134"/>
        <v>0</v>
      </c>
      <c r="CR189" s="81">
        <f t="shared" si="135"/>
        <v>0</v>
      </c>
      <c r="CS189" s="81" t="s">
        <v>21</v>
      </c>
      <c r="CT189" s="81">
        <f t="shared" si="136"/>
        <v>0</v>
      </c>
      <c r="CU189" s="81">
        <f t="shared" si="137"/>
        <v>0</v>
      </c>
      <c r="CV189" s="81" t="s">
        <v>998</v>
      </c>
      <c r="CW189" s="81">
        <f t="shared" si="138"/>
        <v>0</v>
      </c>
      <c r="CX189" s="81">
        <f t="shared" si="139"/>
        <v>0</v>
      </c>
      <c r="CY189" s="81" t="s">
        <v>19</v>
      </c>
      <c r="CZ189" s="81">
        <f t="shared" si="140"/>
        <v>0</v>
      </c>
      <c r="DA189" s="81">
        <f t="shared" si="141"/>
        <v>0</v>
      </c>
      <c r="DB189" s="81" t="s">
        <v>20</v>
      </c>
      <c r="DC189" s="81">
        <f t="shared" si="142"/>
        <v>0</v>
      </c>
      <c r="DD189" s="81">
        <f t="shared" si="143"/>
        <v>0</v>
      </c>
      <c r="DE189" s="81" t="s">
        <v>23</v>
      </c>
      <c r="DF189" s="81">
        <f t="shared" si="144"/>
        <v>0</v>
      </c>
      <c r="DG189" s="81">
        <f t="shared" si="145"/>
        <v>0</v>
      </c>
      <c r="DH189" s="81" t="s">
        <v>15</v>
      </c>
      <c r="DI189" s="81">
        <f t="shared" si="146"/>
        <v>0</v>
      </c>
      <c r="DJ189" s="81">
        <f t="shared" si="147"/>
        <v>0</v>
      </c>
      <c r="DK189" s="81" t="s">
        <v>5411</v>
      </c>
      <c r="DL189" s="81">
        <f t="shared" si="148"/>
        <v>0</v>
      </c>
      <c r="DM189" s="81">
        <f t="shared" si="149"/>
        <v>0</v>
      </c>
      <c r="DN189" s="81" t="s">
        <v>7</v>
      </c>
      <c r="DO189" s="81">
        <f t="shared" si="150"/>
        <v>0</v>
      </c>
      <c r="DP189" s="81">
        <f t="shared" si="151"/>
        <v>0</v>
      </c>
      <c r="DQ189" s="81" t="s">
        <v>1</v>
      </c>
      <c r="DR189" s="81">
        <f t="shared" si="152"/>
        <v>0</v>
      </c>
      <c r="DS189" s="81">
        <f t="shared" si="153"/>
        <v>0</v>
      </c>
    </row>
    <row r="190" spans="14:123" x14ac:dyDescent="0.3">
      <c r="N190" s="81">
        <f>IF(Q191=0,IF(Q190=0,,"x"),)</f>
        <v>0</v>
      </c>
      <c r="O190" s="81">
        <f t="shared" si="154"/>
        <v>0</v>
      </c>
      <c r="P190" s="81">
        <f t="shared" si="118"/>
        <v>0</v>
      </c>
      <c r="Q190" s="81">
        <f t="shared" si="155"/>
        <v>0</v>
      </c>
      <c r="R190" s="81">
        <f>IF(W190="",,SUM($W$4:W190))</f>
        <v>0</v>
      </c>
      <c r="S190" s="81">
        <f t="shared" si="119"/>
        <v>0</v>
      </c>
      <c r="T190" s="81">
        <f t="shared" si="156"/>
        <v>0</v>
      </c>
      <c r="U190" s="81">
        <f t="shared" si="120"/>
        <v>0</v>
      </c>
      <c r="AE190" s="81">
        <v>190</v>
      </c>
      <c r="AI190" s="81">
        <v>187</v>
      </c>
      <c r="AJ190" s="81" t="str">
        <f t="shared" si="109"/>
        <v>Mars 34</v>
      </c>
      <c r="AK190" s="81" t="str">
        <f t="shared" si="158"/>
        <v>Mars</v>
      </c>
      <c r="AL190" s="81">
        <f t="shared" si="157"/>
        <v>34</v>
      </c>
      <c r="AM190" s="81" t="str">
        <f t="shared" si="122"/>
        <v>='Mars 34'!</v>
      </c>
      <c r="AN190" s="81" t="str">
        <f t="shared" si="115"/>
        <v>='Mars 34'!C27</v>
      </c>
      <c r="AO190" s="81" t="s">
        <v>1190</v>
      </c>
      <c r="AR190" s="81" t="s">
        <v>250</v>
      </c>
      <c r="AS190" s="83" t="str">
        <f t="shared" si="110"/>
        <v>='Mars 34'!C6</v>
      </c>
      <c r="AT190" s="83">
        <f t="shared" si="111"/>
        <v>0</v>
      </c>
      <c r="AV190" s="81" t="s">
        <v>551</v>
      </c>
      <c r="AW190" s="81" t="s">
        <v>3364</v>
      </c>
      <c r="AX190" s="81" t="s">
        <v>3365</v>
      </c>
      <c r="AY190" s="81" t="s">
        <v>3366</v>
      </c>
      <c r="AZ190" s="81" t="s">
        <v>3367</v>
      </c>
      <c r="BA190" s="81" t="s">
        <v>3368</v>
      </c>
      <c r="BB190" s="81" t="s">
        <v>3369</v>
      </c>
      <c r="BC190" s="81" t="s">
        <v>3370</v>
      </c>
      <c r="BD190" s="81" t="s">
        <v>3371</v>
      </c>
      <c r="BE190" s="81" t="s">
        <v>3372</v>
      </c>
      <c r="BF190" s="81" t="s">
        <v>3373</v>
      </c>
      <c r="BG190" s="81" t="s">
        <v>3374</v>
      </c>
      <c r="BH190" s="81" t="s">
        <v>4807</v>
      </c>
      <c r="BI190" s="81" t="s">
        <v>5111</v>
      </c>
      <c r="BJ190" s="81" t="s">
        <v>250</v>
      </c>
      <c r="BL190" s="81" t="s">
        <v>854</v>
      </c>
      <c r="BM190" s="81">
        <v>187</v>
      </c>
      <c r="BN190" s="81" t="str">
        <f t="shared" si="112"/>
        <v>='Mars 34'!C12</v>
      </c>
      <c r="BP190" s="81" t="str">
        <f t="shared" ca="1" si="123"/>
        <v/>
      </c>
      <c r="BR190" s="84">
        <f t="shared" si="116"/>
        <v>0</v>
      </c>
      <c r="BS190" s="84">
        <f t="shared" si="117"/>
        <v>0</v>
      </c>
      <c r="CA190" s="81" t="s">
        <v>2</v>
      </c>
      <c r="CB190" s="81">
        <f t="shared" si="124"/>
        <v>0</v>
      </c>
      <c r="CC190" s="81">
        <f t="shared" si="125"/>
        <v>0</v>
      </c>
      <c r="CD190" s="81" t="s">
        <v>16</v>
      </c>
      <c r="CE190" s="81">
        <f t="shared" si="126"/>
        <v>0</v>
      </c>
      <c r="CF190" s="81">
        <f t="shared" si="127"/>
        <v>0</v>
      </c>
      <c r="CG190" s="81" t="s">
        <v>5</v>
      </c>
      <c r="CH190" s="81">
        <f t="shared" si="128"/>
        <v>0</v>
      </c>
      <c r="CI190" s="81">
        <f t="shared" si="129"/>
        <v>0</v>
      </c>
      <c r="CJ190" s="81" t="s">
        <v>18</v>
      </c>
      <c r="CK190" s="81">
        <f t="shared" si="130"/>
        <v>0</v>
      </c>
      <c r="CL190" s="81">
        <f t="shared" si="131"/>
        <v>0</v>
      </c>
      <c r="CM190" s="81" t="s">
        <v>4</v>
      </c>
      <c r="CN190" s="81">
        <f t="shared" si="132"/>
        <v>0</v>
      </c>
      <c r="CO190" s="81">
        <f t="shared" si="133"/>
        <v>0</v>
      </c>
      <c r="CP190" s="81" t="s">
        <v>22</v>
      </c>
      <c r="CQ190" s="81">
        <f t="shared" si="134"/>
        <v>0</v>
      </c>
      <c r="CR190" s="81">
        <f t="shared" si="135"/>
        <v>0</v>
      </c>
      <c r="CS190" s="81" t="s">
        <v>21</v>
      </c>
      <c r="CT190" s="81">
        <f t="shared" si="136"/>
        <v>0</v>
      </c>
      <c r="CU190" s="81">
        <f t="shared" si="137"/>
        <v>0</v>
      </c>
      <c r="CV190" s="81" t="s">
        <v>998</v>
      </c>
      <c r="CW190" s="81">
        <f t="shared" si="138"/>
        <v>0</v>
      </c>
      <c r="CX190" s="81">
        <f t="shared" si="139"/>
        <v>0</v>
      </c>
      <c r="CY190" s="81" t="s">
        <v>19</v>
      </c>
      <c r="CZ190" s="81">
        <f t="shared" si="140"/>
        <v>0</v>
      </c>
      <c r="DA190" s="81">
        <f t="shared" si="141"/>
        <v>0</v>
      </c>
      <c r="DB190" s="81" t="s">
        <v>20</v>
      </c>
      <c r="DC190" s="81">
        <f t="shared" si="142"/>
        <v>0</v>
      </c>
      <c r="DD190" s="81">
        <f t="shared" si="143"/>
        <v>0</v>
      </c>
      <c r="DE190" s="81" t="s">
        <v>23</v>
      </c>
      <c r="DF190" s="81">
        <f t="shared" si="144"/>
        <v>0</v>
      </c>
      <c r="DG190" s="81">
        <f t="shared" si="145"/>
        <v>0</v>
      </c>
      <c r="DH190" s="81" t="s">
        <v>15</v>
      </c>
      <c r="DI190" s="81">
        <f t="shared" si="146"/>
        <v>0</v>
      </c>
      <c r="DJ190" s="81">
        <f t="shared" si="147"/>
        <v>0</v>
      </c>
      <c r="DK190" s="81" t="s">
        <v>5412</v>
      </c>
      <c r="DL190" s="81">
        <f t="shared" si="148"/>
        <v>0</v>
      </c>
      <c r="DM190" s="81">
        <f t="shared" si="149"/>
        <v>0</v>
      </c>
      <c r="DN190" s="81" t="s">
        <v>7</v>
      </c>
      <c r="DO190" s="81">
        <f t="shared" si="150"/>
        <v>0</v>
      </c>
      <c r="DP190" s="81">
        <f t="shared" si="151"/>
        <v>0</v>
      </c>
      <c r="DQ190" s="81" t="s">
        <v>1</v>
      </c>
      <c r="DR190" s="81">
        <f t="shared" si="152"/>
        <v>0</v>
      </c>
      <c r="DS190" s="81">
        <f t="shared" si="153"/>
        <v>0</v>
      </c>
    </row>
    <row r="191" spans="14:123" x14ac:dyDescent="0.3">
      <c r="N191" s="81">
        <f>IF(Q192=0,IF(Q191=0,,"x"),)</f>
        <v>0</v>
      </c>
      <c r="O191" s="81">
        <f t="shared" si="154"/>
        <v>0</v>
      </c>
      <c r="P191" s="81">
        <f t="shared" si="118"/>
        <v>0</v>
      </c>
      <c r="Q191" s="81">
        <f t="shared" si="155"/>
        <v>0</v>
      </c>
      <c r="R191" s="81">
        <f>IF(W191="",,SUM($W$4:W191))</f>
        <v>0</v>
      </c>
      <c r="S191" s="81">
        <f t="shared" si="119"/>
        <v>0</v>
      </c>
      <c r="T191" s="81">
        <f t="shared" si="156"/>
        <v>0</v>
      </c>
      <c r="U191" s="81">
        <f t="shared" si="120"/>
        <v>0</v>
      </c>
      <c r="AE191" s="81">
        <v>191</v>
      </c>
      <c r="AI191" s="81">
        <v>188</v>
      </c>
      <c r="AJ191" s="81" t="str">
        <f t="shared" si="109"/>
        <v>April 34</v>
      </c>
      <c r="AK191" s="81" t="str">
        <f t="shared" si="158"/>
        <v>April</v>
      </c>
      <c r="AL191" s="81">
        <f t="shared" si="157"/>
        <v>34</v>
      </c>
      <c r="AM191" s="81" t="str">
        <f t="shared" si="122"/>
        <v>='April 34'!</v>
      </c>
      <c r="AN191" s="81" t="str">
        <f t="shared" si="115"/>
        <v>='April 34'!C27</v>
      </c>
      <c r="AO191" s="81" t="s">
        <v>1191</v>
      </c>
      <c r="AR191" s="81" t="s">
        <v>251</v>
      </c>
      <c r="AS191" s="83" t="str">
        <f t="shared" si="110"/>
        <v>='April 34'!C6</v>
      </c>
      <c r="AT191" s="83">
        <f t="shared" si="111"/>
        <v>0</v>
      </c>
      <c r="AV191" s="81" t="s">
        <v>552</v>
      </c>
      <c r="AW191" s="81" t="s">
        <v>3375</v>
      </c>
      <c r="AX191" s="81" t="s">
        <v>3376</v>
      </c>
      <c r="AY191" s="81" t="s">
        <v>3377</v>
      </c>
      <c r="AZ191" s="81" t="s">
        <v>3378</v>
      </c>
      <c r="BA191" s="81" t="s">
        <v>3379</v>
      </c>
      <c r="BB191" s="81" t="s">
        <v>3380</v>
      </c>
      <c r="BC191" s="81" t="s">
        <v>3381</v>
      </c>
      <c r="BD191" s="81" t="s">
        <v>3382</v>
      </c>
      <c r="BE191" s="81" t="s">
        <v>3383</v>
      </c>
      <c r="BF191" s="81" t="s">
        <v>3384</v>
      </c>
      <c r="BG191" s="81" t="s">
        <v>3385</v>
      </c>
      <c r="BH191" s="81" t="s">
        <v>4808</v>
      </c>
      <c r="BI191" s="81" t="s">
        <v>5112</v>
      </c>
      <c r="BJ191" s="81" t="s">
        <v>251</v>
      </c>
      <c r="BL191" s="81" t="s">
        <v>855</v>
      </c>
      <c r="BM191" s="81">
        <v>188</v>
      </c>
      <c r="BN191" s="81" t="str">
        <f t="shared" si="112"/>
        <v>='April 34'!C12</v>
      </c>
      <c r="BP191" s="81" t="str">
        <f t="shared" ca="1" si="123"/>
        <v/>
      </c>
      <c r="BR191" s="84">
        <f t="shared" si="116"/>
        <v>0</v>
      </c>
      <c r="BS191" s="84">
        <f t="shared" si="117"/>
        <v>0</v>
      </c>
      <c r="CA191" s="81" t="s">
        <v>2</v>
      </c>
      <c r="CB191" s="81">
        <f t="shared" si="124"/>
        <v>0</v>
      </c>
      <c r="CC191" s="81">
        <f t="shared" si="125"/>
        <v>0</v>
      </c>
      <c r="CD191" s="81" t="s">
        <v>16</v>
      </c>
      <c r="CE191" s="81">
        <f t="shared" si="126"/>
        <v>0</v>
      </c>
      <c r="CF191" s="81">
        <f t="shared" si="127"/>
        <v>0</v>
      </c>
      <c r="CG191" s="81" t="s">
        <v>5</v>
      </c>
      <c r="CH191" s="81">
        <f t="shared" si="128"/>
        <v>0</v>
      </c>
      <c r="CI191" s="81">
        <f t="shared" si="129"/>
        <v>0</v>
      </c>
      <c r="CJ191" s="81" t="s">
        <v>18</v>
      </c>
      <c r="CK191" s="81">
        <f t="shared" si="130"/>
        <v>0</v>
      </c>
      <c r="CL191" s="81">
        <f t="shared" si="131"/>
        <v>0</v>
      </c>
      <c r="CM191" s="81" t="s">
        <v>4</v>
      </c>
      <c r="CN191" s="81">
        <f t="shared" si="132"/>
        <v>0</v>
      </c>
      <c r="CO191" s="81">
        <f t="shared" si="133"/>
        <v>0</v>
      </c>
      <c r="CP191" s="81" t="s">
        <v>22</v>
      </c>
      <c r="CQ191" s="81">
        <f t="shared" si="134"/>
        <v>0</v>
      </c>
      <c r="CR191" s="81">
        <f t="shared" si="135"/>
        <v>0</v>
      </c>
      <c r="CS191" s="81" t="s">
        <v>21</v>
      </c>
      <c r="CT191" s="81">
        <f t="shared" si="136"/>
        <v>0</v>
      </c>
      <c r="CU191" s="81">
        <f t="shared" si="137"/>
        <v>0</v>
      </c>
      <c r="CV191" s="81" t="s">
        <v>998</v>
      </c>
      <c r="CW191" s="81">
        <f t="shared" si="138"/>
        <v>0</v>
      </c>
      <c r="CX191" s="81">
        <f t="shared" si="139"/>
        <v>0</v>
      </c>
      <c r="CY191" s="81" t="s">
        <v>19</v>
      </c>
      <c r="CZ191" s="81">
        <f t="shared" si="140"/>
        <v>0</v>
      </c>
      <c r="DA191" s="81">
        <f t="shared" si="141"/>
        <v>0</v>
      </c>
      <c r="DB191" s="81" t="s">
        <v>20</v>
      </c>
      <c r="DC191" s="81">
        <f t="shared" si="142"/>
        <v>0</v>
      </c>
      <c r="DD191" s="81">
        <f t="shared" si="143"/>
        <v>0</v>
      </c>
      <c r="DE191" s="81" t="s">
        <v>23</v>
      </c>
      <c r="DF191" s="81">
        <f t="shared" si="144"/>
        <v>0</v>
      </c>
      <c r="DG191" s="81">
        <f t="shared" si="145"/>
        <v>0</v>
      </c>
      <c r="DH191" s="81" t="s">
        <v>15</v>
      </c>
      <c r="DI191" s="81">
        <f t="shared" si="146"/>
        <v>0</v>
      </c>
      <c r="DJ191" s="81">
        <f t="shared" si="147"/>
        <v>0</v>
      </c>
      <c r="DK191" s="81" t="s">
        <v>5413</v>
      </c>
      <c r="DL191" s="81">
        <f t="shared" si="148"/>
        <v>0</v>
      </c>
      <c r="DM191" s="81">
        <f t="shared" si="149"/>
        <v>0</v>
      </c>
      <c r="DN191" s="81" t="s">
        <v>7</v>
      </c>
      <c r="DO191" s="81">
        <f t="shared" si="150"/>
        <v>0</v>
      </c>
      <c r="DP191" s="81">
        <f t="shared" si="151"/>
        <v>0</v>
      </c>
      <c r="DQ191" s="81" t="s">
        <v>1</v>
      </c>
      <c r="DR191" s="81">
        <f t="shared" si="152"/>
        <v>0</v>
      </c>
      <c r="DS191" s="81">
        <f t="shared" si="153"/>
        <v>0</v>
      </c>
    </row>
    <row r="192" spans="14:123" x14ac:dyDescent="0.3">
      <c r="N192" s="81">
        <f>IF(Q193=0,IF(Q192=0,,"x"),)</f>
        <v>0</v>
      </c>
      <c r="O192" s="81">
        <f t="shared" si="154"/>
        <v>0</v>
      </c>
      <c r="P192" s="81">
        <f t="shared" si="118"/>
        <v>0</v>
      </c>
      <c r="Q192" s="81">
        <f t="shared" si="155"/>
        <v>0</v>
      </c>
      <c r="R192" s="81">
        <f>IF(W192="",,SUM($W$4:W192))</f>
        <v>0</v>
      </c>
      <c r="S192" s="81">
        <f t="shared" si="119"/>
        <v>0</v>
      </c>
      <c r="T192" s="81">
        <f t="shared" si="156"/>
        <v>0</v>
      </c>
      <c r="U192" s="81">
        <f t="shared" si="120"/>
        <v>0</v>
      </c>
      <c r="AE192" s="81">
        <v>192</v>
      </c>
      <c r="AI192" s="81">
        <v>189</v>
      </c>
      <c r="AJ192" s="81" t="str">
        <f t="shared" si="109"/>
        <v>Maj 34</v>
      </c>
      <c r="AK192" s="81" t="str">
        <f t="shared" si="158"/>
        <v>Maj</v>
      </c>
      <c r="AL192" s="81">
        <f t="shared" si="157"/>
        <v>34</v>
      </c>
      <c r="AM192" s="81" t="str">
        <f t="shared" si="122"/>
        <v>='Maj 34'!</v>
      </c>
      <c r="AN192" s="81" t="str">
        <f t="shared" si="115"/>
        <v>='Maj 34'!C27</v>
      </c>
      <c r="AO192" s="81" t="s">
        <v>1192</v>
      </c>
      <c r="AR192" s="81" t="s">
        <v>252</v>
      </c>
      <c r="AS192" s="83" t="str">
        <f t="shared" si="110"/>
        <v>='Maj 34'!C6</v>
      </c>
      <c r="AT192" s="83">
        <f t="shared" si="111"/>
        <v>0</v>
      </c>
      <c r="AV192" s="81" t="s">
        <v>553</v>
      </c>
      <c r="AW192" s="81" t="s">
        <v>3386</v>
      </c>
      <c r="AX192" s="81" t="s">
        <v>3387</v>
      </c>
      <c r="AY192" s="81" t="s">
        <v>3388</v>
      </c>
      <c r="AZ192" s="81" t="s">
        <v>3389</v>
      </c>
      <c r="BA192" s="81" t="s">
        <v>3390</v>
      </c>
      <c r="BB192" s="81" t="s">
        <v>3391</v>
      </c>
      <c r="BC192" s="81" t="s">
        <v>3392</v>
      </c>
      <c r="BD192" s="81" t="s">
        <v>3393</v>
      </c>
      <c r="BE192" s="81" t="s">
        <v>3394</v>
      </c>
      <c r="BF192" s="81" t="s">
        <v>3395</v>
      </c>
      <c r="BG192" s="81" t="s">
        <v>3396</v>
      </c>
      <c r="BH192" s="81" t="s">
        <v>4809</v>
      </c>
      <c r="BI192" s="81" t="s">
        <v>5113</v>
      </c>
      <c r="BJ192" s="81" t="s">
        <v>252</v>
      </c>
      <c r="BL192" s="81" t="s">
        <v>856</v>
      </c>
      <c r="BM192" s="81">
        <v>189</v>
      </c>
      <c r="BN192" s="81" t="str">
        <f t="shared" si="112"/>
        <v>='Maj 34'!C12</v>
      </c>
      <c r="BP192" s="81" t="str">
        <f t="shared" ca="1" si="123"/>
        <v/>
      </c>
      <c r="BR192" s="84">
        <f t="shared" si="116"/>
        <v>0</v>
      </c>
      <c r="BS192" s="84">
        <f t="shared" si="117"/>
        <v>0</v>
      </c>
      <c r="CA192" s="81" t="s">
        <v>2</v>
      </c>
      <c r="CB192" s="81">
        <f t="shared" si="124"/>
        <v>0</v>
      </c>
      <c r="CC192" s="81">
        <f t="shared" si="125"/>
        <v>0</v>
      </c>
      <c r="CD192" s="81" t="s">
        <v>16</v>
      </c>
      <c r="CE192" s="81">
        <f t="shared" si="126"/>
        <v>0</v>
      </c>
      <c r="CF192" s="81">
        <f t="shared" si="127"/>
        <v>0</v>
      </c>
      <c r="CG192" s="81" t="s">
        <v>5</v>
      </c>
      <c r="CH192" s="81">
        <f t="shared" si="128"/>
        <v>0</v>
      </c>
      <c r="CI192" s="81">
        <f t="shared" si="129"/>
        <v>0</v>
      </c>
      <c r="CJ192" s="81" t="s">
        <v>18</v>
      </c>
      <c r="CK192" s="81">
        <f t="shared" si="130"/>
        <v>0</v>
      </c>
      <c r="CL192" s="81">
        <f t="shared" si="131"/>
        <v>0</v>
      </c>
      <c r="CM192" s="81" t="s">
        <v>4</v>
      </c>
      <c r="CN192" s="81">
        <f t="shared" si="132"/>
        <v>0</v>
      </c>
      <c r="CO192" s="81">
        <f t="shared" si="133"/>
        <v>0</v>
      </c>
      <c r="CP192" s="81" t="s">
        <v>22</v>
      </c>
      <c r="CQ192" s="81">
        <f t="shared" si="134"/>
        <v>0</v>
      </c>
      <c r="CR192" s="81">
        <f t="shared" si="135"/>
        <v>0</v>
      </c>
      <c r="CS192" s="81" t="s">
        <v>21</v>
      </c>
      <c r="CT192" s="81">
        <f t="shared" si="136"/>
        <v>0</v>
      </c>
      <c r="CU192" s="81">
        <f t="shared" si="137"/>
        <v>0</v>
      </c>
      <c r="CV192" s="81" t="s">
        <v>998</v>
      </c>
      <c r="CW192" s="81">
        <f t="shared" si="138"/>
        <v>0</v>
      </c>
      <c r="CX192" s="81">
        <f t="shared" si="139"/>
        <v>0</v>
      </c>
      <c r="CY192" s="81" t="s">
        <v>19</v>
      </c>
      <c r="CZ192" s="81">
        <f t="shared" si="140"/>
        <v>0</v>
      </c>
      <c r="DA192" s="81">
        <f t="shared" si="141"/>
        <v>0</v>
      </c>
      <c r="DB192" s="81" t="s">
        <v>20</v>
      </c>
      <c r="DC192" s="81">
        <f t="shared" si="142"/>
        <v>0</v>
      </c>
      <c r="DD192" s="81">
        <f t="shared" si="143"/>
        <v>0</v>
      </c>
      <c r="DE192" s="81" t="s">
        <v>23</v>
      </c>
      <c r="DF192" s="81">
        <f t="shared" si="144"/>
        <v>0</v>
      </c>
      <c r="DG192" s="81">
        <f t="shared" si="145"/>
        <v>0</v>
      </c>
      <c r="DH192" s="81" t="s">
        <v>15</v>
      </c>
      <c r="DI192" s="81">
        <f t="shared" si="146"/>
        <v>0</v>
      </c>
      <c r="DJ192" s="81">
        <f t="shared" si="147"/>
        <v>0</v>
      </c>
      <c r="DK192" s="81" t="s">
        <v>5414</v>
      </c>
      <c r="DL192" s="81">
        <f t="shared" si="148"/>
        <v>0</v>
      </c>
      <c r="DM192" s="81">
        <f t="shared" si="149"/>
        <v>0</v>
      </c>
      <c r="DN192" s="81" t="s">
        <v>7</v>
      </c>
      <c r="DO192" s="81">
        <f t="shared" si="150"/>
        <v>0</v>
      </c>
      <c r="DP192" s="81">
        <f t="shared" si="151"/>
        <v>0</v>
      </c>
      <c r="DQ192" s="81" t="s">
        <v>1</v>
      </c>
      <c r="DR192" s="81">
        <f t="shared" si="152"/>
        <v>0</v>
      </c>
      <c r="DS192" s="81">
        <f t="shared" si="153"/>
        <v>0</v>
      </c>
    </row>
    <row r="193" spans="14:123" x14ac:dyDescent="0.3">
      <c r="N193" s="81">
        <f>IF(Q194=0,IF(Q193=0,,"x"),)</f>
        <v>0</v>
      </c>
      <c r="O193" s="81">
        <f t="shared" si="154"/>
        <v>0</v>
      </c>
      <c r="P193" s="81">
        <f t="shared" si="118"/>
        <v>0</v>
      </c>
      <c r="Q193" s="81">
        <f t="shared" si="155"/>
        <v>0</v>
      </c>
      <c r="R193" s="81">
        <f>IF(W193="",,SUM($W$4:W193))</f>
        <v>0</v>
      </c>
      <c r="S193" s="81">
        <f t="shared" si="119"/>
        <v>0</v>
      </c>
      <c r="T193" s="81">
        <f t="shared" si="156"/>
        <v>0</v>
      </c>
      <c r="U193" s="81">
        <f t="shared" si="120"/>
        <v>0</v>
      </c>
      <c r="AE193" s="81">
        <v>193</v>
      </c>
      <c r="AI193" s="81">
        <v>190</v>
      </c>
      <c r="AJ193" s="81" t="str">
        <f t="shared" si="109"/>
        <v>Juni 34</v>
      </c>
      <c r="AK193" s="81" t="str">
        <f t="shared" si="158"/>
        <v>Juni</v>
      </c>
      <c r="AL193" s="81">
        <f t="shared" si="157"/>
        <v>34</v>
      </c>
      <c r="AM193" s="81" t="str">
        <f t="shared" si="122"/>
        <v>='Juni 34'!</v>
      </c>
      <c r="AN193" s="81" t="str">
        <f t="shared" si="115"/>
        <v>='Juni 34'!C27</v>
      </c>
      <c r="AO193" s="81" t="s">
        <v>1193</v>
      </c>
      <c r="AR193" s="81" t="s">
        <v>253</v>
      </c>
      <c r="AS193" s="83" t="str">
        <f t="shared" si="110"/>
        <v>='Juni 34'!C6</v>
      </c>
      <c r="AT193" s="83">
        <f t="shared" si="111"/>
        <v>0</v>
      </c>
      <c r="AV193" s="81" t="s">
        <v>554</v>
      </c>
      <c r="AW193" s="81" t="s">
        <v>3397</v>
      </c>
      <c r="AX193" s="81" t="s">
        <v>3398</v>
      </c>
      <c r="AY193" s="81" t="s">
        <v>3399</v>
      </c>
      <c r="AZ193" s="81" t="s">
        <v>3400</v>
      </c>
      <c r="BA193" s="81" t="s">
        <v>3401</v>
      </c>
      <c r="BB193" s="81" t="s">
        <v>3402</v>
      </c>
      <c r="BC193" s="81" t="s">
        <v>3403</v>
      </c>
      <c r="BD193" s="81" t="s">
        <v>3404</v>
      </c>
      <c r="BE193" s="81" t="s">
        <v>3405</v>
      </c>
      <c r="BF193" s="81" t="s">
        <v>3406</v>
      </c>
      <c r="BG193" s="81" t="s">
        <v>3407</v>
      </c>
      <c r="BH193" s="81" t="s">
        <v>4810</v>
      </c>
      <c r="BI193" s="81" t="s">
        <v>5114</v>
      </c>
      <c r="BJ193" s="81" t="s">
        <v>253</v>
      </c>
      <c r="BL193" s="81" t="s">
        <v>857</v>
      </c>
      <c r="BM193" s="81">
        <v>190</v>
      </c>
      <c r="BN193" s="81" t="str">
        <f t="shared" si="112"/>
        <v>='Juni 34'!C12</v>
      </c>
      <c r="BP193" s="81" t="str">
        <f t="shared" ca="1" si="123"/>
        <v/>
      </c>
      <c r="BR193" s="84">
        <f t="shared" si="116"/>
        <v>0</v>
      </c>
      <c r="BS193" s="84">
        <f t="shared" si="117"/>
        <v>0</v>
      </c>
      <c r="CA193" s="81" t="s">
        <v>2</v>
      </c>
      <c r="CB193" s="81">
        <f t="shared" si="124"/>
        <v>0</v>
      </c>
      <c r="CC193" s="81">
        <f t="shared" si="125"/>
        <v>0</v>
      </c>
      <c r="CD193" s="81" t="s">
        <v>16</v>
      </c>
      <c r="CE193" s="81">
        <f t="shared" si="126"/>
        <v>0</v>
      </c>
      <c r="CF193" s="81">
        <f t="shared" si="127"/>
        <v>0</v>
      </c>
      <c r="CG193" s="81" t="s">
        <v>5</v>
      </c>
      <c r="CH193" s="81">
        <f t="shared" si="128"/>
        <v>0</v>
      </c>
      <c r="CI193" s="81">
        <f t="shared" si="129"/>
        <v>0</v>
      </c>
      <c r="CJ193" s="81" t="s">
        <v>18</v>
      </c>
      <c r="CK193" s="81">
        <f t="shared" si="130"/>
        <v>0</v>
      </c>
      <c r="CL193" s="81">
        <f t="shared" si="131"/>
        <v>0</v>
      </c>
      <c r="CM193" s="81" t="s">
        <v>4</v>
      </c>
      <c r="CN193" s="81">
        <f t="shared" si="132"/>
        <v>0</v>
      </c>
      <c r="CO193" s="81">
        <f t="shared" si="133"/>
        <v>0</v>
      </c>
      <c r="CP193" s="81" t="s">
        <v>22</v>
      </c>
      <c r="CQ193" s="81">
        <f t="shared" si="134"/>
        <v>0</v>
      </c>
      <c r="CR193" s="81">
        <f t="shared" si="135"/>
        <v>0</v>
      </c>
      <c r="CS193" s="81" t="s">
        <v>21</v>
      </c>
      <c r="CT193" s="81">
        <f t="shared" si="136"/>
        <v>0</v>
      </c>
      <c r="CU193" s="81">
        <f t="shared" si="137"/>
        <v>0</v>
      </c>
      <c r="CV193" s="81" t="s">
        <v>998</v>
      </c>
      <c r="CW193" s="81">
        <f t="shared" si="138"/>
        <v>0</v>
      </c>
      <c r="CX193" s="81">
        <f t="shared" si="139"/>
        <v>0</v>
      </c>
      <c r="CY193" s="81" t="s">
        <v>19</v>
      </c>
      <c r="CZ193" s="81">
        <f t="shared" si="140"/>
        <v>0</v>
      </c>
      <c r="DA193" s="81">
        <f t="shared" si="141"/>
        <v>0</v>
      </c>
      <c r="DB193" s="81" t="s">
        <v>20</v>
      </c>
      <c r="DC193" s="81">
        <f t="shared" si="142"/>
        <v>0</v>
      </c>
      <c r="DD193" s="81">
        <f t="shared" si="143"/>
        <v>0</v>
      </c>
      <c r="DE193" s="81" t="s">
        <v>23</v>
      </c>
      <c r="DF193" s="81">
        <f t="shared" si="144"/>
        <v>0</v>
      </c>
      <c r="DG193" s="81">
        <f t="shared" si="145"/>
        <v>0</v>
      </c>
      <c r="DH193" s="81" t="s">
        <v>15</v>
      </c>
      <c r="DI193" s="81">
        <f t="shared" si="146"/>
        <v>0</v>
      </c>
      <c r="DJ193" s="81">
        <f t="shared" si="147"/>
        <v>0</v>
      </c>
      <c r="DK193" s="81" t="s">
        <v>5415</v>
      </c>
      <c r="DL193" s="81">
        <f t="shared" si="148"/>
        <v>0</v>
      </c>
      <c r="DM193" s="81">
        <f t="shared" si="149"/>
        <v>0</v>
      </c>
      <c r="DN193" s="81" t="s">
        <v>7</v>
      </c>
      <c r="DO193" s="81">
        <f t="shared" si="150"/>
        <v>0</v>
      </c>
      <c r="DP193" s="81">
        <f t="shared" si="151"/>
        <v>0</v>
      </c>
      <c r="DQ193" s="81" t="s">
        <v>1</v>
      </c>
      <c r="DR193" s="81">
        <f t="shared" si="152"/>
        <v>0</v>
      </c>
      <c r="DS193" s="81">
        <f t="shared" si="153"/>
        <v>0</v>
      </c>
    </row>
    <row r="194" spans="14:123" x14ac:dyDescent="0.3">
      <c r="N194" s="81">
        <f>IF(Q195=0,IF(Q194=0,,"x"),)</f>
        <v>0</v>
      </c>
      <c r="O194" s="81">
        <f t="shared" si="154"/>
        <v>0</v>
      </c>
      <c r="P194" s="81">
        <f t="shared" si="118"/>
        <v>0</v>
      </c>
      <c r="Q194" s="81">
        <f t="shared" si="155"/>
        <v>0</v>
      </c>
      <c r="R194" s="81">
        <f>IF(W194="",,SUM($W$4:W194))</f>
        <v>0</v>
      </c>
      <c r="S194" s="81">
        <f t="shared" si="119"/>
        <v>0</v>
      </c>
      <c r="T194" s="81">
        <f t="shared" si="156"/>
        <v>0</v>
      </c>
      <c r="U194" s="81">
        <f t="shared" si="120"/>
        <v>0</v>
      </c>
      <c r="AE194" s="81">
        <v>194</v>
      </c>
      <c r="AI194" s="81">
        <v>191</v>
      </c>
      <c r="AJ194" s="81" t="str">
        <f t="shared" si="109"/>
        <v>Juli 34</v>
      </c>
      <c r="AK194" s="81" t="str">
        <f t="shared" si="158"/>
        <v>Juli</v>
      </c>
      <c r="AL194" s="81">
        <f t="shared" si="157"/>
        <v>34</v>
      </c>
      <c r="AM194" s="81" t="str">
        <f t="shared" si="122"/>
        <v>='Juli 34'!</v>
      </c>
      <c r="AN194" s="81" t="str">
        <f t="shared" si="115"/>
        <v>='Juli 34'!C27</v>
      </c>
      <c r="AO194" s="81" t="s">
        <v>1194</v>
      </c>
      <c r="AR194" s="81" t="s">
        <v>254</v>
      </c>
      <c r="AS194" s="83" t="str">
        <f t="shared" si="110"/>
        <v>='Juli 34'!C6</v>
      </c>
      <c r="AT194" s="83">
        <f t="shared" si="111"/>
        <v>0</v>
      </c>
      <c r="AV194" s="81" t="s">
        <v>555</v>
      </c>
      <c r="AW194" s="81" t="s">
        <v>3408</v>
      </c>
      <c r="AX194" s="81" t="s">
        <v>3409</v>
      </c>
      <c r="AY194" s="81" t="s">
        <v>3410</v>
      </c>
      <c r="AZ194" s="81" t="s">
        <v>3411</v>
      </c>
      <c r="BA194" s="81" t="s">
        <v>3412</v>
      </c>
      <c r="BB194" s="81" t="s">
        <v>3413</v>
      </c>
      <c r="BC194" s="81" t="s">
        <v>3414</v>
      </c>
      <c r="BD194" s="81" t="s">
        <v>3415</v>
      </c>
      <c r="BE194" s="81" t="s">
        <v>3416</v>
      </c>
      <c r="BF194" s="81" t="s">
        <v>3417</v>
      </c>
      <c r="BG194" s="81" t="s">
        <v>3418</v>
      </c>
      <c r="BH194" s="81" t="s">
        <v>4811</v>
      </c>
      <c r="BI194" s="81" t="s">
        <v>5115</v>
      </c>
      <c r="BJ194" s="81" t="s">
        <v>254</v>
      </c>
      <c r="BL194" s="81" t="s">
        <v>858</v>
      </c>
      <c r="BM194" s="81">
        <v>191</v>
      </c>
      <c r="BN194" s="81" t="str">
        <f t="shared" si="112"/>
        <v>='Juli 34'!C12</v>
      </c>
      <c r="BP194" s="81" t="str">
        <f t="shared" ca="1" si="123"/>
        <v/>
      </c>
      <c r="BR194" s="84">
        <f t="shared" si="116"/>
        <v>0</v>
      </c>
      <c r="BS194" s="84">
        <f t="shared" si="117"/>
        <v>0</v>
      </c>
      <c r="CA194" s="81" t="s">
        <v>2</v>
      </c>
      <c r="CB194" s="81">
        <f t="shared" si="124"/>
        <v>0</v>
      </c>
      <c r="CC194" s="81">
        <f t="shared" si="125"/>
        <v>0</v>
      </c>
      <c r="CD194" s="81" t="s">
        <v>16</v>
      </c>
      <c r="CE194" s="81">
        <f t="shared" si="126"/>
        <v>0</v>
      </c>
      <c r="CF194" s="81">
        <f t="shared" si="127"/>
        <v>0</v>
      </c>
      <c r="CG194" s="81" t="s">
        <v>5</v>
      </c>
      <c r="CH194" s="81">
        <f t="shared" si="128"/>
        <v>0</v>
      </c>
      <c r="CI194" s="81">
        <f t="shared" si="129"/>
        <v>0</v>
      </c>
      <c r="CJ194" s="81" t="s">
        <v>18</v>
      </c>
      <c r="CK194" s="81">
        <f t="shared" si="130"/>
        <v>0</v>
      </c>
      <c r="CL194" s="81">
        <f t="shared" si="131"/>
        <v>0</v>
      </c>
      <c r="CM194" s="81" t="s">
        <v>4</v>
      </c>
      <c r="CN194" s="81">
        <f t="shared" si="132"/>
        <v>0</v>
      </c>
      <c r="CO194" s="81">
        <f t="shared" si="133"/>
        <v>0</v>
      </c>
      <c r="CP194" s="81" t="s">
        <v>22</v>
      </c>
      <c r="CQ194" s="81">
        <f t="shared" si="134"/>
        <v>0</v>
      </c>
      <c r="CR194" s="81">
        <f t="shared" si="135"/>
        <v>0</v>
      </c>
      <c r="CS194" s="81" t="s">
        <v>21</v>
      </c>
      <c r="CT194" s="81">
        <f t="shared" si="136"/>
        <v>0</v>
      </c>
      <c r="CU194" s="81">
        <f t="shared" si="137"/>
        <v>0</v>
      </c>
      <c r="CV194" s="81" t="s">
        <v>998</v>
      </c>
      <c r="CW194" s="81">
        <f t="shared" si="138"/>
        <v>0</v>
      </c>
      <c r="CX194" s="81">
        <f t="shared" si="139"/>
        <v>0</v>
      </c>
      <c r="CY194" s="81" t="s">
        <v>19</v>
      </c>
      <c r="CZ194" s="81">
        <f t="shared" si="140"/>
        <v>0</v>
      </c>
      <c r="DA194" s="81">
        <f t="shared" si="141"/>
        <v>0</v>
      </c>
      <c r="DB194" s="81" t="s">
        <v>20</v>
      </c>
      <c r="DC194" s="81">
        <f t="shared" si="142"/>
        <v>0</v>
      </c>
      <c r="DD194" s="81">
        <f t="shared" si="143"/>
        <v>0</v>
      </c>
      <c r="DE194" s="81" t="s">
        <v>23</v>
      </c>
      <c r="DF194" s="81">
        <f t="shared" si="144"/>
        <v>0</v>
      </c>
      <c r="DG194" s="81">
        <f t="shared" si="145"/>
        <v>0</v>
      </c>
      <c r="DH194" s="81" t="s">
        <v>15</v>
      </c>
      <c r="DI194" s="81">
        <f t="shared" si="146"/>
        <v>0</v>
      </c>
      <c r="DJ194" s="81">
        <f t="shared" si="147"/>
        <v>0</v>
      </c>
      <c r="DK194" s="81" t="s">
        <v>5416</v>
      </c>
      <c r="DL194" s="81">
        <f t="shared" si="148"/>
        <v>0</v>
      </c>
      <c r="DM194" s="81">
        <f t="shared" si="149"/>
        <v>0</v>
      </c>
      <c r="DN194" s="81" t="s">
        <v>7</v>
      </c>
      <c r="DO194" s="81">
        <f t="shared" si="150"/>
        <v>0</v>
      </c>
      <c r="DP194" s="81">
        <f t="shared" si="151"/>
        <v>0</v>
      </c>
      <c r="DQ194" s="81" t="s">
        <v>1</v>
      </c>
      <c r="DR194" s="81">
        <f t="shared" si="152"/>
        <v>0</v>
      </c>
      <c r="DS194" s="81">
        <f t="shared" si="153"/>
        <v>0</v>
      </c>
    </row>
    <row r="195" spans="14:123" x14ac:dyDescent="0.3">
      <c r="N195" s="81">
        <f>IF(Q196=0,IF(Q195=0,,"x"),)</f>
        <v>0</v>
      </c>
      <c r="O195" s="81">
        <f t="shared" si="154"/>
        <v>0</v>
      </c>
      <c r="P195" s="81">
        <f t="shared" si="118"/>
        <v>0</v>
      </c>
      <c r="Q195" s="81">
        <f t="shared" si="155"/>
        <v>0</v>
      </c>
      <c r="R195" s="81">
        <f>IF(W195="",,SUM($W$4:W195))</f>
        <v>0</v>
      </c>
      <c r="S195" s="81">
        <f t="shared" si="119"/>
        <v>0</v>
      </c>
      <c r="T195" s="81">
        <f t="shared" si="156"/>
        <v>0</v>
      </c>
      <c r="U195" s="81">
        <f t="shared" si="120"/>
        <v>0</v>
      </c>
      <c r="AE195" s="81">
        <v>195</v>
      </c>
      <c r="AI195" s="81">
        <v>192</v>
      </c>
      <c r="AJ195" s="81" t="str">
        <f t="shared" ref="AJ195:AJ258" si="161">AK195&amp;" "&amp;AL195</f>
        <v>Augusti 34</v>
      </c>
      <c r="AK195" s="81" t="str">
        <f t="shared" si="158"/>
        <v>Augusti</v>
      </c>
      <c r="AL195" s="81">
        <f t="shared" si="157"/>
        <v>34</v>
      </c>
      <c r="AM195" s="81" t="str">
        <f t="shared" si="122"/>
        <v>='Augusti 34'!</v>
      </c>
      <c r="AN195" s="81" t="str">
        <f t="shared" si="115"/>
        <v>='Augusti 34'!C27</v>
      </c>
      <c r="AO195" s="81" t="s">
        <v>1195</v>
      </c>
      <c r="AR195" s="81" t="s">
        <v>255</v>
      </c>
      <c r="AS195" s="83" t="str">
        <f t="shared" ref="AS195:AS258" si="162">IF(AR195&gt;$B$12*(1+$C$12),AR195,0)</f>
        <v>='Augusti 34'!C6</v>
      </c>
      <c r="AT195" s="83">
        <f t="shared" ref="AT195:AT258" si="163">IF(AR195&lt;$B$12*(1-$C$12),AR195,0)</f>
        <v>0</v>
      </c>
      <c r="AV195" s="81" t="s">
        <v>556</v>
      </c>
      <c r="AW195" s="81" t="s">
        <v>3419</v>
      </c>
      <c r="AX195" s="81" t="s">
        <v>3420</v>
      </c>
      <c r="AY195" s="81" t="s">
        <v>3421</v>
      </c>
      <c r="AZ195" s="81" t="s">
        <v>3422</v>
      </c>
      <c r="BA195" s="81" t="s">
        <v>3423</v>
      </c>
      <c r="BB195" s="81" t="s">
        <v>3424</v>
      </c>
      <c r="BC195" s="81" t="s">
        <v>3425</v>
      </c>
      <c r="BD195" s="81" t="s">
        <v>3426</v>
      </c>
      <c r="BE195" s="81" t="s">
        <v>3427</v>
      </c>
      <c r="BF195" s="81" t="s">
        <v>3428</v>
      </c>
      <c r="BG195" s="81" t="s">
        <v>3429</v>
      </c>
      <c r="BH195" s="81" t="s">
        <v>4812</v>
      </c>
      <c r="BI195" s="81" t="s">
        <v>5116</v>
      </c>
      <c r="BJ195" s="81" t="s">
        <v>255</v>
      </c>
      <c r="BL195" s="81" t="s">
        <v>859</v>
      </c>
      <c r="BM195" s="81">
        <v>192</v>
      </c>
      <c r="BN195" s="81" t="str">
        <f t="shared" ref="BN195:BN258" si="164">IF($A$5=$A$18,AV195,IF($A$5=$A$19,AW195,IF($A$5=$A$20,AX195,IF($A$5=$A$21,AY195,IF($A$5=$A$22,AZ195,IF($A$5=$A$23,BA195,IF($A$5=$A$24,BB195,IF($A$5=$A$25,BC195,IF($A$5=$A$26,BD195,IF($A$5=$A$27,BE195,IF($A$5=$A$28,BF195,IF($A$5=$A$29,BG195,IF($A$5=$A$30,BH195,IF($A$5=$A$12,BJ195,IF($A$5=$A$31,BI195,"")))))))))))))))</f>
        <v>='Augusti 34'!C12</v>
      </c>
      <c r="BP195" s="81" t="str">
        <f t="shared" ca="1" si="123"/>
        <v/>
      </c>
      <c r="BR195" s="84">
        <f t="shared" si="116"/>
        <v>0</v>
      </c>
      <c r="BS195" s="84">
        <f t="shared" si="117"/>
        <v>0</v>
      </c>
      <c r="CA195" s="81" t="s">
        <v>2</v>
      </c>
      <c r="CB195" s="81">
        <f t="shared" si="124"/>
        <v>0</v>
      </c>
      <c r="CC195" s="81">
        <f t="shared" si="125"/>
        <v>0</v>
      </c>
      <c r="CD195" s="81" t="s">
        <v>16</v>
      </c>
      <c r="CE195" s="81">
        <f t="shared" si="126"/>
        <v>0</v>
      </c>
      <c r="CF195" s="81">
        <f t="shared" si="127"/>
        <v>0</v>
      </c>
      <c r="CG195" s="81" t="s">
        <v>5</v>
      </c>
      <c r="CH195" s="81">
        <f t="shared" si="128"/>
        <v>0</v>
      </c>
      <c r="CI195" s="81">
        <f t="shared" si="129"/>
        <v>0</v>
      </c>
      <c r="CJ195" s="81" t="s">
        <v>18</v>
      </c>
      <c r="CK195" s="81">
        <f t="shared" si="130"/>
        <v>0</v>
      </c>
      <c r="CL195" s="81">
        <f t="shared" si="131"/>
        <v>0</v>
      </c>
      <c r="CM195" s="81" t="s">
        <v>4</v>
      </c>
      <c r="CN195" s="81">
        <f t="shared" si="132"/>
        <v>0</v>
      </c>
      <c r="CO195" s="81">
        <f t="shared" si="133"/>
        <v>0</v>
      </c>
      <c r="CP195" s="81" t="s">
        <v>22</v>
      </c>
      <c r="CQ195" s="81">
        <f t="shared" si="134"/>
        <v>0</v>
      </c>
      <c r="CR195" s="81">
        <f t="shared" si="135"/>
        <v>0</v>
      </c>
      <c r="CS195" s="81" t="s">
        <v>21</v>
      </c>
      <c r="CT195" s="81">
        <f t="shared" si="136"/>
        <v>0</v>
      </c>
      <c r="CU195" s="81">
        <f t="shared" si="137"/>
        <v>0</v>
      </c>
      <c r="CV195" s="81" t="s">
        <v>998</v>
      </c>
      <c r="CW195" s="81">
        <f t="shared" si="138"/>
        <v>0</v>
      </c>
      <c r="CX195" s="81">
        <f t="shared" si="139"/>
        <v>0</v>
      </c>
      <c r="CY195" s="81" t="s">
        <v>19</v>
      </c>
      <c r="CZ195" s="81">
        <f t="shared" si="140"/>
        <v>0</v>
      </c>
      <c r="DA195" s="81">
        <f t="shared" si="141"/>
        <v>0</v>
      </c>
      <c r="DB195" s="81" t="s">
        <v>20</v>
      </c>
      <c r="DC195" s="81">
        <f t="shared" si="142"/>
        <v>0</v>
      </c>
      <c r="DD195" s="81">
        <f t="shared" si="143"/>
        <v>0</v>
      </c>
      <c r="DE195" s="81" t="s">
        <v>23</v>
      </c>
      <c r="DF195" s="81">
        <f t="shared" si="144"/>
        <v>0</v>
      </c>
      <c r="DG195" s="81">
        <f t="shared" si="145"/>
        <v>0</v>
      </c>
      <c r="DH195" s="81" t="s">
        <v>15</v>
      </c>
      <c r="DI195" s="81">
        <f t="shared" si="146"/>
        <v>0</v>
      </c>
      <c r="DJ195" s="81">
        <f t="shared" si="147"/>
        <v>0</v>
      </c>
      <c r="DK195" s="81" t="s">
        <v>5417</v>
      </c>
      <c r="DL195" s="81">
        <f t="shared" si="148"/>
        <v>0</v>
      </c>
      <c r="DM195" s="81">
        <f t="shared" si="149"/>
        <v>0</v>
      </c>
      <c r="DN195" s="81" t="s">
        <v>7</v>
      </c>
      <c r="DO195" s="81">
        <f t="shared" si="150"/>
        <v>0</v>
      </c>
      <c r="DP195" s="81">
        <f t="shared" si="151"/>
        <v>0</v>
      </c>
      <c r="DQ195" s="81" t="s">
        <v>1</v>
      </c>
      <c r="DR195" s="81">
        <f t="shared" si="152"/>
        <v>0</v>
      </c>
      <c r="DS195" s="81">
        <f t="shared" si="153"/>
        <v>0</v>
      </c>
    </row>
    <row r="196" spans="14:123" x14ac:dyDescent="0.3">
      <c r="N196" s="81">
        <f>IF(Q197=0,IF(Q196=0,,"x"),)</f>
        <v>0</v>
      </c>
      <c r="O196" s="81">
        <f t="shared" si="154"/>
        <v>0</v>
      </c>
      <c r="P196" s="81">
        <f t="shared" si="118"/>
        <v>0</v>
      </c>
      <c r="Q196" s="81">
        <f t="shared" si="155"/>
        <v>0</v>
      </c>
      <c r="R196" s="81">
        <f>IF(W196="",,SUM($W$4:W196))</f>
        <v>0</v>
      </c>
      <c r="S196" s="81">
        <f t="shared" si="119"/>
        <v>0</v>
      </c>
      <c r="T196" s="81">
        <f t="shared" si="156"/>
        <v>0</v>
      </c>
      <c r="U196" s="81">
        <f t="shared" si="120"/>
        <v>0</v>
      </c>
      <c r="AE196" s="81">
        <v>196</v>
      </c>
      <c r="AI196" s="81">
        <v>193</v>
      </c>
      <c r="AJ196" s="81" t="str">
        <f t="shared" si="161"/>
        <v>September 34</v>
      </c>
      <c r="AK196" s="81" t="str">
        <f t="shared" si="158"/>
        <v>September</v>
      </c>
      <c r="AL196" s="81">
        <f t="shared" si="157"/>
        <v>34</v>
      </c>
      <c r="AM196" s="81" t="str">
        <f t="shared" si="122"/>
        <v>='September 34'!</v>
      </c>
      <c r="AN196" s="81" t="str">
        <f t="shared" ref="AN196:AN259" si="165">AM196&amp;"C27"</f>
        <v>='September 34'!C27</v>
      </c>
      <c r="AO196" s="81" t="s">
        <v>1196</v>
      </c>
      <c r="AR196" s="81" t="s">
        <v>256</v>
      </c>
      <c r="AS196" s="83" t="str">
        <f t="shared" si="162"/>
        <v>='September 34'!C6</v>
      </c>
      <c r="AT196" s="83">
        <f t="shared" si="163"/>
        <v>0</v>
      </c>
      <c r="AV196" s="81" t="s">
        <v>557</v>
      </c>
      <c r="AW196" s="81" t="s">
        <v>3430</v>
      </c>
      <c r="AX196" s="81" t="s">
        <v>3431</v>
      </c>
      <c r="AY196" s="81" t="s">
        <v>3432</v>
      </c>
      <c r="AZ196" s="81" t="s">
        <v>3433</v>
      </c>
      <c r="BA196" s="81" t="s">
        <v>3434</v>
      </c>
      <c r="BB196" s="81" t="s">
        <v>3435</v>
      </c>
      <c r="BC196" s="81" t="s">
        <v>3436</v>
      </c>
      <c r="BD196" s="81" t="s">
        <v>3437</v>
      </c>
      <c r="BE196" s="81" t="s">
        <v>3438</v>
      </c>
      <c r="BF196" s="81" t="s">
        <v>3439</v>
      </c>
      <c r="BG196" s="81" t="s">
        <v>3440</v>
      </c>
      <c r="BH196" s="81" t="s">
        <v>4813</v>
      </c>
      <c r="BI196" s="81" t="s">
        <v>5117</v>
      </c>
      <c r="BJ196" s="81" t="s">
        <v>256</v>
      </c>
      <c r="BL196" s="81" t="s">
        <v>860</v>
      </c>
      <c r="BM196" s="81">
        <v>193</v>
      </c>
      <c r="BN196" s="81" t="str">
        <f t="shared" si="164"/>
        <v>='September 34'!C12</v>
      </c>
      <c r="BP196" s="81" t="str">
        <f t="shared" ca="1" si="123"/>
        <v/>
      </c>
      <c r="BR196" s="84">
        <f t="shared" ref="BR196:BR259" si="166">IF($A$5=$A$18,CB196,IF($A$5=$A$19,CE196,IF($A$5=$A$20,CH196,IF($A$5=$A$21,CK196,IF($A$5=$A$22,CN196,IF($A$5=$A$23,CQ196,IF($A$5=$A$24,CT196,IF($A$5=$A$25,CW196,IF($A$5=$A$26,CZ196,IF($A$5=$A$27,DC196,IF($A$5=$A$28,DF196,IF($A$5=$A$29,DI196,IF($A$5=$A$30,DL196,IF($A$5=$A$30,DO196,IF($A$5=$A$12,DR196,"")))))))))))))))</f>
        <v>0</v>
      </c>
      <c r="BS196" s="84">
        <f t="shared" ref="BS196:BS259" si="167">IF($A$5=$A$18,CC196,IF($A$5=$A$19,CF196,IF($A$5=$A$20,CI196,IF($A$5=$A$21,CL196,IF($A$5=$A$22,CO196,IF($A$5=$A$23,CR196,IF($A$5=$A$24,CU196,IF($A$5=$A$25,CX196,IF($A$5=$A$26,DA196,IF($A$5=$A$27,DD196,IF($A$5=$A$28,DG196,IF($A$5=$A$29,DJ196,IF($A$5=$A$30,DM196,IF($A$5=$A$30,DP196,IF($A$5=$A$12,DS196,"")))))))))))))))</f>
        <v>0</v>
      </c>
      <c r="CA196" s="81" t="s">
        <v>2</v>
      </c>
      <c r="CB196" s="81">
        <f t="shared" si="124"/>
        <v>0</v>
      </c>
      <c r="CC196" s="81">
        <f t="shared" si="125"/>
        <v>0</v>
      </c>
      <c r="CD196" s="81" t="s">
        <v>16</v>
      </c>
      <c r="CE196" s="81">
        <f t="shared" si="126"/>
        <v>0</v>
      </c>
      <c r="CF196" s="81">
        <f t="shared" si="127"/>
        <v>0</v>
      </c>
      <c r="CG196" s="81" t="s">
        <v>5</v>
      </c>
      <c r="CH196" s="81">
        <f t="shared" si="128"/>
        <v>0</v>
      </c>
      <c r="CI196" s="81">
        <f t="shared" si="129"/>
        <v>0</v>
      </c>
      <c r="CJ196" s="81" t="s">
        <v>18</v>
      </c>
      <c r="CK196" s="81">
        <f t="shared" si="130"/>
        <v>0</v>
      </c>
      <c r="CL196" s="81">
        <f t="shared" si="131"/>
        <v>0</v>
      </c>
      <c r="CM196" s="81" t="s">
        <v>4</v>
      </c>
      <c r="CN196" s="81">
        <f t="shared" si="132"/>
        <v>0</v>
      </c>
      <c r="CO196" s="81">
        <f t="shared" si="133"/>
        <v>0</v>
      </c>
      <c r="CP196" s="81" t="s">
        <v>22</v>
      </c>
      <c r="CQ196" s="81">
        <f t="shared" si="134"/>
        <v>0</v>
      </c>
      <c r="CR196" s="81">
        <f t="shared" si="135"/>
        <v>0</v>
      </c>
      <c r="CS196" s="81" t="s">
        <v>21</v>
      </c>
      <c r="CT196" s="81">
        <f t="shared" si="136"/>
        <v>0</v>
      </c>
      <c r="CU196" s="81">
        <f t="shared" si="137"/>
        <v>0</v>
      </c>
      <c r="CV196" s="81" t="s">
        <v>998</v>
      </c>
      <c r="CW196" s="81">
        <f t="shared" si="138"/>
        <v>0</v>
      </c>
      <c r="CX196" s="81">
        <f t="shared" si="139"/>
        <v>0</v>
      </c>
      <c r="CY196" s="81" t="s">
        <v>19</v>
      </c>
      <c r="CZ196" s="81">
        <f t="shared" si="140"/>
        <v>0</v>
      </c>
      <c r="DA196" s="81">
        <f t="shared" si="141"/>
        <v>0</v>
      </c>
      <c r="DB196" s="81" t="s">
        <v>20</v>
      </c>
      <c r="DC196" s="81">
        <f t="shared" si="142"/>
        <v>0</v>
      </c>
      <c r="DD196" s="81">
        <f t="shared" si="143"/>
        <v>0</v>
      </c>
      <c r="DE196" s="81" t="s">
        <v>23</v>
      </c>
      <c r="DF196" s="81">
        <f t="shared" si="144"/>
        <v>0</v>
      </c>
      <c r="DG196" s="81">
        <f t="shared" si="145"/>
        <v>0</v>
      </c>
      <c r="DH196" s="81" t="s">
        <v>15</v>
      </c>
      <c r="DI196" s="81">
        <f t="shared" si="146"/>
        <v>0</v>
      </c>
      <c r="DJ196" s="81">
        <f t="shared" si="147"/>
        <v>0</v>
      </c>
      <c r="DK196" s="81" t="s">
        <v>5418</v>
      </c>
      <c r="DL196" s="81">
        <f t="shared" si="148"/>
        <v>0</v>
      </c>
      <c r="DM196" s="81">
        <f t="shared" si="149"/>
        <v>0</v>
      </c>
      <c r="DN196" s="81" t="s">
        <v>7</v>
      </c>
      <c r="DO196" s="81">
        <f t="shared" si="150"/>
        <v>0</v>
      </c>
      <c r="DP196" s="81">
        <f t="shared" si="151"/>
        <v>0</v>
      </c>
      <c r="DQ196" s="81" t="s">
        <v>1</v>
      </c>
      <c r="DR196" s="81">
        <f t="shared" si="152"/>
        <v>0</v>
      </c>
      <c r="DS196" s="81">
        <f t="shared" si="153"/>
        <v>0</v>
      </c>
    </row>
    <row r="197" spans="14:123" x14ac:dyDescent="0.3">
      <c r="N197" s="81">
        <f>IF(Q198=0,IF(Q197=0,,"x"),)</f>
        <v>0</v>
      </c>
      <c r="O197" s="81">
        <f t="shared" si="154"/>
        <v>0</v>
      </c>
      <c r="P197" s="81">
        <f t="shared" ref="P197:P260" si="168">O197-R197</f>
        <v>0</v>
      </c>
      <c r="Q197" s="81">
        <f t="shared" si="155"/>
        <v>0</v>
      </c>
      <c r="R197" s="81">
        <f>IF(W197="",,SUM($W$4:W197))</f>
        <v>0</v>
      </c>
      <c r="S197" s="81">
        <f t="shared" ref="S197:S260" si="169">Q197-R197</f>
        <v>0</v>
      </c>
      <c r="T197" s="81">
        <f t="shared" si="156"/>
        <v>0</v>
      </c>
      <c r="U197" s="81">
        <f t="shared" ref="U197:U260" si="170">T197-R197</f>
        <v>0</v>
      </c>
      <c r="AE197" s="81">
        <v>197</v>
      </c>
      <c r="AI197" s="81">
        <v>194</v>
      </c>
      <c r="AJ197" s="81" t="str">
        <f t="shared" si="161"/>
        <v>Oktober 34</v>
      </c>
      <c r="AK197" s="81" t="str">
        <f t="shared" si="158"/>
        <v>Oktober</v>
      </c>
      <c r="AL197" s="81">
        <f t="shared" si="157"/>
        <v>34</v>
      </c>
      <c r="AM197" s="81" t="str">
        <f t="shared" ref="AM197:AM260" si="171">"="&amp;"'"&amp;AJ197&amp;"'"&amp;"!"</f>
        <v>='Oktober 34'!</v>
      </c>
      <c r="AN197" s="81" t="str">
        <f t="shared" si="165"/>
        <v>='Oktober 34'!C27</v>
      </c>
      <c r="AO197" s="81" t="s">
        <v>1197</v>
      </c>
      <c r="AR197" s="81" t="s">
        <v>257</v>
      </c>
      <c r="AS197" s="83" t="str">
        <f t="shared" si="162"/>
        <v>='Oktober 34'!C6</v>
      </c>
      <c r="AT197" s="83">
        <f t="shared" si="163"/>
        <v>0</v>
      </c>
      <c r="AV197" s="81" t="s">
        <v>558</v>
      </c>
      <c r="AW197" s="81" t="s">
        <v>3441</v>
      </c>
      <c r="AX197" s="81" t="s">
        <v>3442</v>
      </c>
      <c r="AY197" s="81" t="s">
        <v>3443</v>
      </c>
      <c r="AZ197" s="81" t="s">
        <v>3444</v>
      </c>
      <c r="BA197" s="81" t="s">
        <v>3445</v>
      </c>
      <c r="BB197" s="81" t="s">
        <v>3446</v>
      </c>
      <c r="BC197" s="81" t="s">
        <v>3447</v>
      </c>
      <c r="BD197" s="81" t="s">
        <v>3448</v>
      </c>
      <c r="BE197" s="81" t="s">
        <v>3449</v>
      </c>
      <c r="BF197" s="81" t="s">
        <v>3450</v>
      </c>
      <c r="BG197" s="81" t="s">
        <v>3451</v>
      </c>
      <c r="BH197" s="81" t="s">
        <v>4814</v>
      </c>
      <c r="BI197" s="81" t="s">
        <v>5118</v>
      </c>
      <c r="BJ197" s="81" t="s">
        <v>257</v>
      </c>
      <c r="BL197" s="81" t="s">
        <v>861</v>
      </c>
      <c r="BM197" s="81">
        <v>194</v>
      </c>
      <c r="BN197" s="81" t="str">
        <f t="shared" si="164"/>
        <v>='Oktober 34'!C12</v>
      </c>
      <c r="BP197" s="81" t="str">
        <f t="shared" ref="BP197:BP260" ca="1" si="172">IF($AG$6&gt;=AE194,AJ197,"")</f>
        <v/>
      </c>
      <c r="BR197" s="84">
        <f t="shared" si="166"/>
        <v>0</v>
      </c>
      <c r="BS197" s="84">
        <f t="shared" si="167"/>
        <v>0</v>
      </c>
      <c r="CA197" s="81" t="s">
        <v>2</v>
      </c>
      <c r="CB197" s="81">
        <f t="shared" ref="CB197:CB260" si="173">ROUND(IF(BQ197&lt;$BV$4*(1-$BW$4),BQ197,0),0)</f>
        <v>0</v>
      </c>
      <c r="CC197" s="81">
        <f t="shared" ref="CC197:CC260" si="174">IF(BQ197&gt;$BV$4*(1+$BW$4),BQ197,0)</f>
        <v>0</v>
      </c>
      <c r="CD197" s="81" t="s">
        <v>16</v>
      </c>
      <c r="CE197" s="81">
        <f t="shared" ref="CE197:CE260" si="175">IF(BQ197&lt;$BV$5*(1-$BW$5),BQ197,0)</f>
        <v>0</v>
      </c>
      <c r="CF197" s="81">
        <f t="shared" ref="CF197:CF260" si="176">IF(BQ197&gt;$BV$5*(1+$BW$5),BQ197,0)</f>
        <v>0</v>
      </c>
      <c r="CG197" s="81" t="s">
        <v>5</v>
      </c>
      <c r="CH197" s="81">
        <f t="shared" ref="CH197:CH260" si="177">IF(BQ197&lt;$BV$6*(1-$BW$6),BQ197,0)</f>
        <v>0</v>
      </c>
      <c r="CI197" s="81">
        <f t="shared" ref="CI197:CI260" si="178">IF(BQ197&gt;$BV$6*(1+$BW$6),BQ197,0)</f>
        <v>0</v>
      </c>
      <c r="CJ197" s="81" t="s">
        <v>18</v>
      </c>
      <c r="CK197" s="81">
        <f t="shared" ref="CK197:CK260" si="179">IF(BQ197&lt;$BV$7*(1-$BW$7),BQ197,0)</f>
        <v>0</v>
      </c>
      <c r="CL197" s="81">
        <f t="shared" ref="CL197:CL260" si="180">ROUND(IF(BQ197&gt;$BV$7*(1+$BW$7),BQ197,0),0)</f>
        <v>0</v>
      </c>
      <c r="CM197" s="81" t="s">
        <v>4</v>
      </c>
      <c r="CN197" s="81">
        <f t="shared" ref="CN197:CN260" si="181">IF(BQ197&lt;$BV$8*(1-$BW$8),BQ197,0)</f>
        <v>0</v>
      </c>
      <c r="CO197" s="81">
        <f t="shared" ref="CO197:CO260" si="182">IF(BQ197&gt;$BV$8*(1+$BW$8),BQ197,0)</f>
        <v>0</v>
      </c>
      <c r="CP197" s="81" t="s">
        <v>22</v>
      </c>
      <c r="CQ197" s="81">
        <f t="shared" ref="CQ197:CQ260" si="183">IF(BQ197&lt;$BV$9*(1-$BW$9),BQ197,0)</f>
        <v>0</v>
      </c>
      <c r="CR197" s="81">
        <f t="shared" ref="CR197:CR260" si="184">IF(BQ197&gt;$BV$9*(1+$BW$9),BQ197,0)</f>
        <v>0</v>
      </c>
      <c r="CS197" s="81" t="s">
        <v>21</v>
      </c>
      <c r="CT197" s="81">
        <f t="shared" ref="CT197:CT260" si="185">IF(BQ197&lt;$BV$10*(1-$BW$10),BQ197,0)</f>
        <v>0</v>
      </c>
      <c r="CU197" s="81">
        <f t="shared" ref="CU197:CU260" si="186">IF(BQ197&gt;$BV$10*(1+$BW$10),BQ197,0)</f>
        <v>0</v>
      </c>
      <c r="CV197" s="81" t="s">
        <v>998</v>
      </c>
      <c r="CW197" s="81">
        <f t="shared" ref="CW197:CW260" si="187">IF(BQ197&lt;$BV$11*(1-$BW$11),BQ197,0)</f>
        <v>0</v>
      </c>
      <c r="CX197" s="81">
        <f t="shared" ref="CX197:CX260" si="188">IF(BQ197&gt;$BV$11*(1+$BW$11),BQ197,0)</f>
        <v>0</v>
      </c>
      <c r="CY197" s="81" t="s">
        <v>19</v>
      </c>
      <c r="CZ197" s="81">
        <f t="shared" ref="CZ197:CZ260" si="189">IF(BQ197&lt;$BV$12*(1-$BW$12),BQ197,0)</f>
        <v>0</v>
      </c>
      <c r="DA197" s="81">
        <f t="shared" ref="DA197:DA260" si="190">IF(BQ197&gt;$BV$12*(1+$BW$12),BQ197,0)</f>
        <v>0</v>
      </c>
      <c r="DB197" s="81" t="s">
        <v>20</v>
      </c>
      <c r="DC197" s="81">
        <f t="shared" ref="DC197:DC260" si="191">IF(BQ197&lt;$BV$13*(1-$BW$13),BQ197,0)</f>
        <v>0</v>
      </c>
      <c r="DD197" s="81">
        <f t="shared" ref="DD197:DD260" si="192">IF(BQ197&gt;$BV$13*(1+$BW$13),BQ197,0)</f>
        <v>0</v>
      </c>
      <c r="DE197" s="81" t="s">
        <v>23</v>
      </c>
      <c r="DF197" s="81">
        <f t="shared" ref="DF197:DF260" si="193">IF(BQ197&lt;$BV$14*(1-$BW$14),BQ197,0)</f>
        <v>0</v>
      </c>
      <c r="DG197" s="81">
        <f t="shared" ref="DG197:DG260" si="194">IF(BQ197&gt;$BV$14*(1+$BW$14),BQ197,0)</f>
        <v>0</v>
      </c>
      <c r="DH197" s="81" t="s">
        <v>15</v>
      </c>
      <c r="DI197" s="81">
        <f t="shared" ref="DI197:DI260" si="195">IF(BQ197&lt;$BV$15*(1-$BW$15),BQ197,0)</f>
        <v>0</v>
      </c>
      <c r="DJ197" s="81">
        <f t="shared" ref="DJ197:DJ260" si="196">IF(BQ197&gt;$BV$15*(1+$BW$15),BQ197,0)</f>
        <v>0</v>
      </c>
      <c r="DK197" s="81" t="s">
        <v>5419</v>
      </c>
      <c r="DL197" s="81">
        <f t="shared" ref="DL197:DL260" si="197">IF(BQ197&lt;$BV$16*(1-$BW$16),BQ197,0)</f>
        <v>0</v>
      </c>
      <c r="DM197" s="81">
        <f t="shared" ref="DM197:DM260" si="198">IF(BQ197&gt;$BV$16*(1+$BW$16),BQ197,0)</f>
        <v>0</v>
      </c>
      <c r="DN197" s="81" t="s">
        <v>7</v>
      </c>
      <c r="DO197" s="81">
        <f t="shared" ref="DO197:DO260" si="199">IF(BQ197&lt;$BV$17*(1-$BW$17),BQ197,0)</f>
        <v>0</v>
      </c>
      <c r="DP197" s="81">
        <f t="shared" ref="DP197:DP260" si="200">IF(BQ197&gt;$BV$17*(1+$BW$17),BQ197,0)</f>
        <v>0</v>
      </c>
      <c r="DQ197" s="81" t="s">
        <v>1</v>
      </c>
      <c r="DR197" s="81">
        <f t="shared" ref="DR197:DR260" si="201">IF(BQ197&gt;$BV$18*(1+$BW$18),BQ197,0)</f>
        <v>0</v>
      </c>
      <c r="DS197" s="81">
        <f t="shared" ref="DS197:DS260" si="202">IF(BQ197&lt;$BV$18*(1-$BW$18),BQ197,0)</f>
        <v>0</v>
      </c>
    </row>
    <row r="198" spans="14:123" x14ac:dyDescent="0.3">
      <c r="N198" s="81">
        <f>IF(Q199=0,IF(Q198=0,,"x"),)</f>
        <v>0</v>
      </c>
      <c r="O198" s="81">
        <f t="shared" ref="O198:O261" si="203">IF(W198="",,ROUND(O197*(1+0.045/12)+W198,0))</f>
        <v>0</v>
      </c>
      <c r="P198" s="81">
        <f t="shared" si="168"/>
        <v>0</v>
      </c>
      <c r="Q198" s="81">
        <f t="shared" ref="Q198:Q261" si="204">IF(W198="",,ROUND(Q197*(1+0.06/12)+W198,0))</f>
        <v>0</v>
      </c>
      <c r="R198" s="81">
        <f>IF(W198="",,SUM($W$4:W198))</f>
        <v>0</v>
      </c>
      <c r="S198" s="81">
        <f t="shared" si="169"/>
        <v>0</v>
      </c>
      <c r="T198" s="81">
        <f t="shared" ref="T198:T261" si="205">IF(W198="",,ROUND(T197*(1+0.025/12)+W198,0))</f>
        <v>0</v>
      </c>
      <c r="U198" s="81">
        <f t="shared" si="170"/>
        <v>0</v>
      </c>
      <c r="AE198" s="81">
        <v>198</v>
      </c>
      <c r="AI198" s="81">
        <v>195</v>
      </c>
      <c r="AJ198" s="81" t="str">
        <f t="shared" si="161"/>
        <v>November 34</v>
      </c>
      <c r="AK198" s="81" t="str">
        <f t="shared" si="158"/>
        <v>November</v>
      </c>
      <c r="AL198" s="81">
        <f t="shared" si="157"/>
        <v>34</v>
      </c>
      <c r="AM198" s="81" t="str">
        <f t="shared" si="171"/>
        <v>='November 34'!</v>
      </c>
      <c r="AN198" s="81" t="str">
        <f t="shared" si="165"/>
        <v>='November 34'!C27</v>
      </c>
      <c r="AO198" s="81" t="s">
        <v>1198</v>
      </c>
      <c r="AR198" s="81" t="s">
        <v>258</v>
      </c>
      <c r="AS198" s="83" t="str">
        <f t="shared" si="162"/>
        <v>='November 34'!C6</v>
      </c>
      <c r="AT198" s="83">
        <f t="shared" si="163"/>
        <v>0</v>
      </c>
      <c r="AV198" s="81" t="s">
        <v>559</v>
      </c>
      <c r="AW198" s="81" t="s">
        <v>3452</v>
      </c>
      <c r="AX198" s="81" t="s">
        <v>3453</v>
      </c>
      <c r="AY198" s="81" t="s">
        <v>3454</v>
      </c>
      <c r="AZ198" s="81" t="s">
        <v>3455</v>
      </c>
      <c r="BA198" s="81" t="s">
        <v>3456</v>
      </c>
      <c r="BB198" s="81" t="s">
        <v>3457</v>
      </c>
      <c r="BC198" s="81" t="s">
        <v>3458</v>
      </c>
      <c r="BD198" s="81" t="s">
        <v>3459</v>
      </c>
      <c r="BE198" s="81" t="s">
        <v>3460</v>
      </c>
      <c r="BF198" s="81" t="s">
        <v>3461</v>
      </c>
      <c r="BG198" s="81" t="s">
        <v>3462</v>
      </c>
      <c r="BH198" s="81" t="s">
        <v>4815</v>
      </c>
      <c r="BI198" s="81" t="s">
        <v>5119</v>
      </c>
      <c r="BJ198" s="81" t="s">
        <v>258</v>
      </c>
      <c r="BL198" s="81" t="s">
        <v>862</v>
      </c>
      <c r="BM198" s="81">
        <v>195</v>
      </c>
      <c r="BN198" s="81" t="str">
        <f t="shared" si="164"/>
        <v>='November 34'!C12</v>
      </c>
      <c r="BP198" s="81" t="str">
        <f t="shared" ca="1" si="172"/>
        <v/>
      </c>
      <c r="BR198" s="84">
        <f t="shared" si="166"/>
        <v>0</v>
      </c>
      <c r="BS198" s="84">
        <f t="shared" si="167"/>
        <v>0</v>
      </c>
      <c r="CA198" s="81" t="s">
        <v>2</v>
      </c>
      <c r="CB198" s="81">
        <f t="shared" si="173"/>
        <v>0</v>
      </c>
      <c r="CC198" s="81">
        <f t="shared" si="174"/>
        <v>0</v>
      </c>
      <c r="CD198" s="81" t="s">
        <v>16</v>
      </c>
      <c r="CE198" s="81">
        <f t="shared" si="175"/>
        <v>0</v>
      </c>
      <c r="CF198" s="81">
        <f t="shared" si="176"/>
        <v>0</v>
      </c>
      <c r="CG198" s="81" t="s">
        <v>5</v>
      </c>
      <c r="CH198" s="81">
        <f t="shared" si="177"/>
        <v>0</v>
      </c>
      <c r="CI198" s="81">
        <f t="shared" si="178"/>
        <v>0</v>
      </c>
      <c r="CJ198" s="81" t="s">
        <v>18</v>
      </c>
      <c r="CK198" s="81">
        <f t="shared" si="179"/>
        <v>0</v>
      </c>
      <c r="CL198" s="81">
        <f t="shared" si="180"/>
        <v>0</v>
      </c>
      <c r="CM198" s="81" t="s">
        <v>4</v>
      </c>
      <c r="CN198" s="81">
        <f t="shared" si="181"/>
        <v>0</v>
      </c>
      <c r="CO198" s="81">
        <f t="shared" si="182"/>
        <v>0</v>
      </c>
      <c r="CP198" s="81" t="s">
        <v>22</v>
      </c>
      <c r="CQ198" s="81">
        <f t="shared" si="183"/>
        <v>0</v>
      </c>
      <c r="CR198" s="81">
        <f t="shared" si="184"/>
        <v>0</v>
      </c>
      <c r="CS198" s="81" t="s">
        <v>21</v>
      </c>
      <c r="CT198" s="81">
        <f t="shared" si="185"/>
        <v>0</v>
      </c>
      <c r="CU198" s="81">
        <f t="shared" si="186"/>
        <v>0</v>
      </c>
      <c r="CV198" s="81" t="s">
        <v>998</v>
      </c>
      <c r="CW198" s="81">
        <f t="shared" si="187"/>
        <v>0</v>
      </c>
      <c r="CX198" s="81">
        <f t="shared" si="188"/>
        <v>0</v>
      </c>
      <c r="CY198" s="81" t="s">
        <v>19</v>
      </c>
      <c r="CZ198" s="81">
        <f t="shared" si="189"/>
        <v>0</v>
      </c>
      <c r="DA198" s="81">
        <f t="shared" si="190"/>
        <v>0</v>
      </c>
      <c r="DB198" s="81" t="s">
        <v>20</v>
      </c>
      <c r="DC198" s="81">
        <f t="shared" si="191"/>
        <v>0</v>
      </c>
      <c r="DD198" s="81">
        <f t="shared" si="192"/>
        <v>0</v>
      </c>
      <c r="DE198" s="81" t="s">
        <v>23</v>
      </c>
      <c r="DF198" s="81">
        <f t="shared" si="193"/>
        <v>0</v>
      </c>
      <c r="DG198" s="81">
        <f t="shared" si="194"/>
        <v>0</v>
      </c>
      <c r="DH198" s="81" t="s">
        <v>15</v>
      </c>
      <c r="DI198" s="81">
        <f t="shared" si="195"/>
        <v>0</v>
      </c>
      <c r="DJ198" s="81">
        <f t="shared" si="196"/>
        <v>0</v>
      </c>
      <c r="DK198" s="81" t="s">
        <v>5420</v>
      </c>
      <c r="DL198" s="81">
        <f t="shared" si="197"/>
        <v>0</v>
      </c>
      <c r="DM198" s="81">
        <f t="shared" si="198"/>
        <v>0</v>
      </c>
      <c r="DN198" s="81" t="s">
        <v>7</v>
      </c>
      <c r="DO198" s="81">
        <f t="shared" si="199"/>
        <v>0</v>
      </c>
      <c r="DP198" s="81">
        <f t="shared" si="200"/>
        <v>0</v>
      </c>
      <c r="DQ198" s="81" t="s">
        <v>1</v>
      </c>
      <c r="DR198" s="81">
        <f t="shared" si="201"/>
        <v>0</v>
      </c>
      <c r="DS198" s="81">
        <f t="shared" si="202"/>
        <v>0</v>
      </c>
    </row>
    <row r="199" spans="14:123" x14ac:dyDescent="0.3">
      <c r="N199" s="81">
        <f>IF(Q200=0,IF(Q199=0,,"x"),)</f>
        <v>0</v>
      </c>
      <c r="O199" s="81">
        <f t="shared" si="203"/>
        <v>0</v>
      </c>
      <c r="P199" s="81">
        <f t="shared" si="168"/>
        <v>0</v>
      </c>
      <c r="Q199" s="81">
        <f t="shared" si="204"/>
        <v>0</v>
      </c>
      <c r="R199" s="81">
        <f>IF(W199="",,SUM($W$4:W199))</f>
        <v>0</v>
      </c>
      <c r="S199" s="81">
        <f t="shared" si="169"/>
        <v>0</v>
      </c>
      <c r="T199" s="81">
        <f t="shared" si="205"/>
        <v>0</v>
      </c>
      <c r="U199" s="81">
        <f t="shared" si="170"/>
        <v>0</v>
      </c>
      <c r="AE199" s="81">
        <v>199</v>
      </c>
      <c r="AI199" s="81">
        <v>196</v>
      </c>
      <c r="AJ199" s="81" t="str">
        <f t="shared" si="161"/>
        <v>December 34</v>
      </c>
      <c r="AK199" s="81" t="str">
        <f t="shared" si="158"/>
        <v>December</v>
      </c>
      <c r="AL199" s="81">
        <f t="shared" si="157"/>
        <v>34</v>
      </c>
      <c r="AM199" s="81" t="str">
        <f t="shared" si="171"/>
        <v>='December 34'!</v>
      </c>
      <c r="AN199" s="81" t="str">
        <f t="shared" si="165"/>
        <v>='December 34'!C27</v>
      </c>
      <c r="AO199" s="81" t="s">
        <v>1199</v>
      </c>
      <c r="AR199" s="81" t="s">
        <v>259</v>
      </c>
      <c r="AS199" s="83" t="str">
        <f t="shared" si="162"/>
        <v>='December 34'!C6</v>
      </c>
      <c r="AT199" s="83">
        <f t="shared" si="163"/>
        <v>0</v>
      </c>
      <c r="AV199" s="81" t="s">
        <v>560</v>
      </c>
      <c r="AW199" s="81" t="s">
        <v>3463</v>
      </c>
      <c r="AX199" s="81" t="s">
        <v>3464</v>
      </c>
      <c r="AY199" s="81" t="s">
        <v>3465</v>
      </c>
      <c r="AZ199" s="81" t="s">
        <v>3466</v>
      </c>
      <c r="BA199" s="81" t="s">
        <v>3467</v>
      </c>
      <c r="BB199" s="81" t="s">
        <v>3468</v>
      </c>
      <c r="BC199" s="81" t="s">
        <v>3469</v>
      </c>
      <c r="BD199" s="81" t="s">
        <v>3470</v>
      </c>
      <c r="BE199" s="81" t="s">
        <v>3471</v>
      </c>
      <c r="BF199" s="81" t="s">
        <v>3472</v>
      </c>
      <c r="BG199" s="81" t="s">
        <v>3473</v>
      </c>
      <c r="BH199" s="81" t="s">
        <v>4816</v>
      </c>
      <c r="BI199" s="81" t="s">
        <v>5120</v>
      </c>
      <c r="BJ199" s="81" t="s">
        <v>259</v>
      </c>
      <c r="BL199" s="81" t="s">
        <v>863</v>
      </c>
      <c r="BM199" s="81">
        <v>196</v>
      </c>
      <c r="BN199" s="81" t="str">
        <f t="shared" si="164"/>
        <v>='December 34'!C12</v>
      </c>
      <c r="BP199" s="81" t="str">
        <f t="shared" ca="1" si="172"/>
        <v/>
      </c>
      <c r="BR199" s="84">
        <f t="shared" si="166"/>
        <v>0</v>
      </c>
      <c r="BS199" s="84">
        <f t="shared" si="167"/>
        <v>0</v>
      </c>
      <c r="CA199" s="81" t="s">
        <v>2</v>
      </c>
      <c r="CB199" s="81">
        <f t="shared" si="173"/>
        <v>0</v>
      </c>
      <c r="CC199" s="81">
        <f t="shared" si="174"/>
        <v>0</v>
      </c>
      <c r="CD199" s="81" t="s">
        <v>16</v>
      </c>
      <c r="CE199" s="81">
        <f t="shared" si="175"/>
        <v>0</v>
      </c>
      <c r="CF199" s="81">
        <f t="shared" si="176"/>
        <v>0</v>
      </c>
      <c r="CG199" s="81" t="s">
        <v>5</v>
      </c>
      <c r="CH199" s="81">
        <f t="shared" si="177"/>
        <v>0</v>
      </c>
      <c r="CI199" s="81">
        <f t="shared" si="178"/>
        <v>0</v>
      </c>
      <c r="CJ199" s="81" t="s">
        <v>18</v>
      </c>
      <c r="CK199" s="81">
        <f t="shared" si="179"/>
        <v>0</v>
      </c>
      <c r="CL199" s="81">
        <f t="shared" si="180"/>
        <v>0</v>
      </c>
      <c r="CM199" s="81" t="s">
        <v>4</v>
      </c>
      <c r="CN199" s="81">
        <f t="shared" si="181"/>
        <v>0</v>
      </c>
      <c r="CO199" s="81">
        <f t="shared" si="182"/>
        <v>0</v>
      </c>
      <c r="CP199" s="81" t="s">
        <v>22</v>
      </c>
      <c r="CQ199" s="81">
        <f t="shared" si="183"/>
        <v>0</v>
      </c>
      <c r="CR199" s="81">
        <f t="shared" si="184"/>
        <v>0</v>
      </c>
      <c r="CS199" s="81" t="s">
        <v>21</v>
      </c>
      <c r="CT199" s="81">
        <f t="shared" si="185"/>
        <v>0</v>
      </c>
      <c r="CU199" s="81">
        <f t="shared" si="186"/>
        <v>0</v>
      </c>
      <c r="CV199" s="81" t="s">
        <v>998</v>
      </c>
      <c r="CW199" s="81">
        <f t="shared" si="187"/>
        <v>0</v>
      </c>
      <c r="CX199" s="81">
        <f t="shared" si="188"/>
        <v>0</v>
      </c>
      <c r="CY199" s="81" t="s">
        <v>19</v>
      </c>
      <c r="CZ199" s="81">
        <f t="shared" si="189"/>
        <v>0</v>
      </c>
      <c r="DA199" s="81">
        <f t="shared" si="190"/>
        <v>0</v>
      </c>
      <c r="DB199" s="81" t="s">
        <v>20</v>
      </c>
      <c r="DC199" s="81">
        <f t="shared" si="191"/>
        <v>0</v>
      </c>
      <c r="DD199" s="81">
        <f t="shared" si="192"/>
        <v>0</v>
      </c>
      <c r="DE199" s="81" t="s">
        <v>23</v>
      </c>
      <c r="DF199" s="81">
        <f t="shared" si="193"/>
        <v>0</v>
      </c>
      <c r="DG199" s="81">
        <f t="shared" si="194"/>
        <v>0</v>
      </c>
      <c r="DH199" s="81" t="s">
        <v>15</v>
      </c>
      <c r="DI199" s="81">
        <f t="shared" si="195"/>
        <v>0</v>
      </c>
      <c r="DJ199" s="81">
        <f t="shared" si="196"/>
        <v>0</v>
      </c>
      <c r="DK199" s="81" t="s">
        <v>5421</v>
      </c>
      <c r="DL199" s="81">
        <f t="shared" si="197"/>
        <v>0</v>
      </c>
      <c r="DM199" s="81">
        <f t="shared" si="198"/>
        <v>0</v>
      </c>
      <c r="DN199" s="81" t="s">
        <v>7</v>
      </c>
      <c r="DO199" s="81">
        <f t="shared" si="199"/>
        <v>0</v>
      </c>
      <c r="DP199" s="81">
        <f t="shared" si="200"/>
        <v>0</v>
      </c>
      <c r="DQ199" s="81" t="s">
        <v>1</v>
      </c>
      <c r="DR199" s="81">
        <f t="shared" si="201"/>
        <v>0</v>
      </c>
      <c r="DS199" s="81">
        <f t="shared" si="202"/>
        <v>0</v>
      </c>
    </row>
    <row r="200" spans="14:123" x14ac:dyDescent="0.3">
      <c r="N200" s="81">
        <f>IF(Q201=0,IF(Q200=0,,"x"),)</f>
        <v>0</v>
      </c>
      <c r="O200" s="81">
        <f t="shared" si="203"/>
        <v>0</v>
      </c>
      <c r="P200" s="81">
        <f t="shared" si="168"/>
        <v>0</v>
      </c>
      <c r="Q200" s="81">
        <f t="shared" si="204"/>
        <v>0</v>
      </c>
      <c r="R200" s="81">
        <f>IF(W200="",,SUM($W$4:W200))</f>
        <v>0</v>
      </c>
      <c r="S200" s="81">
        <f t="shared" si="169"/>
        <v>0</v>
      </c>
      <c r="T200" s="81">
        <f t="shared" si="205"/>
        <v>0</v>
      </c>
      <c r="U200" s="81">
        <f t="shared" si="170"/>
        <v>0</v>
      </c>
      <c r="AE200" s="81">
        <v>200</v>
      </c>
      <c r="AI200" s="81">
        <v>197</v>
      </c>
      <c r="AJ200" s="81" t="str">
        <f t="shared" si="161"/>
        <v>Januari 35</v>
      </c>
      <c r="AK200" s="81" t="str">
        <f t="shared" si="158"/>
        <v>Januari</v>
      </c>
      <c r="AL200" s="81">
        <f t="shared" si="157"/>
        <v>35</v>
      </c>
      <c r="AM200" s="81" t="str">
        <f t="shared" si="171"/>
        <v>='Januari 35'!</v>
      </c>
      <c r="AN200" s="81" t="str">
        <f t="shared" si="165"/>
        <v>='Januari 35'!C27</v>
      </c>
      <c r="AO200" s="81" t="s">
        <v>1200</v>
      </c>
      <c r="AR200" s="81" t="s">
        <v>260</v>
      </c>
      <c r="AS200" s="83" t="str">
        <f t="shared" si="162"/>
        <v>='Januari 35'!C6</v>
      </c>
      <c r="AT200" s="83">
        <f t="shared" si="163"/>
        <v>0</v>
      </c>
      <c r="AV200" s="81" t="s">
        <v>561</v>
      </c>
      <c r="AW200" s="81" t="s">
        <v>3474</v>
      </c>
      <c r="AX200" s="81" t="s">
        <v>3475</v>
      </c>
      <c r="AY200" s="81" t="s">
        <v>3476</v>
      </c>
      <c r="AZ200" s="81" t="s">
        <v>3477</v>
      </c>
      <c r="BA200" s="81" t="s">
        <v>3478</v>
      </c>
      <c r="BB200" s="81" t="s">
        <v>3479</v>
      </c>
      <c r="BC200" s="81" t="s">
        <v>3480</v>
      </c>
      <c r="BD200" s="81" t="s">
        <v>3481</v>
      </c>
      <c r="BE200" s="81" t="s">
        <v>3482</v>
      </c>
      <c r="BF200" s="81" t="s">
        <v>3483</v>
      </c>
      <c r="BG200" s="81" t="s">
        <v>3484</v>
      </c>
      <c r="BH200" s="81" t="s">
        <v>4817</v>
      </c>
      <c r="BI200" s="81" t="s">
        <v>5121</v>
      </c>
      <c r="BJ200" s="81" t="s">
        <v>260</v>
      </c>
      <c r="BL200" s="81" t="s">
        <v>864</v>
      </c>
      <c r="BM200" s="81">
        <v>197</v>
      </c>
      <c r="BN200" s="81" t="str">
        <f t="shared" si="164"/>
        <v>='Januari 35'!C12</v>
      </c>
      <c r="BP200" s="81" t="str">
        <f t="shared" ca="1" si="172"/>
        <v/>
      </c>
      <c r="BR200" s="84">
        <f t="shared" si="166"/>
        <v>0</v>
      </c>
      <c r="BS200" s="84">
        <f t="shared" si="167"/>
        <v>0</v>
      </c>
      <c r="CA200" s="81" t="s">
        <v>2</v>
      </c>
      <c r="CB200" s="81">
        <f t="shared" si="173"/>
        <v>0</v>
      </c>
      <c r="CC200" s="81">
        <f t="shared" si="174"/>
        <v>0</v>
      </c>
      <c r="CD200" s="81" t="s">
        <v>16</v>
      </c>
      <c r="CE200" s="81">
        <f t="shared" si="175"/>
        <v>0</v>
      </c>
      <c r="CF200" s="81">
        <f t="shared" si="176"/>
        <v>0</v>
      </c>
      <c r="CG200" s="81" t="s">
        <v>5</v>
      </c>
      <c r="CH200" s="81">
        <f t="shared" si="177"/>
        <v>0</v>
      </c>
      <c r="CI200" s="81">
        <f t="shared" si="178"/>
        <v>0</v>
      </c>
      <c r="CJ200" s="81" t="s">
        <v>18</v>
      </c>
      <c r="CK200" s="81">
        <f t="shared" si="179"/>
        <v>0</v>
      </c>
      <c r="CL200" s="81">
        <f t="shared" si="180"/>
        <v>0</v>
      </c>
      <c r="CM200" s="81" t="s">
        <v>4</v>
      </c>
      <c r="CN200" s="81">
        <f t="shared" si="181"/>
        <v>0</v>
      </c>
      <c r="CO200" s="81">
        <f t="shared" si="182"/>
        <v>0</v>
      </c>
      <c r="CP200" s="81" t="s">
        <v>22</v>
      </c>
      <c r="CQ200" s="81">
        <f t="shared" si="183"/>
        <v>0</v>
      </c>
      <c r="CR200" s="81">
        <f t="shared" si="184"/>
        <v>0</v>
      </c>
      <c r="CS200" s="81" t="s">
        <v>21</v>
      </c>
      <c r="CT200" s="81">
        <f t="shared" si="185"/>
        <v>0</v>
      </c>
      <c r="CU200" s="81">
        <f t="shared" si="186"/>
        <v>0</v>
      </c>
      <c r="CV200" s="81" t="s">
        <v>998</v>
      </c>
      <c r="CW200" s="81">
        <f t="shared" si="187"/>
        <v>0</v>
      </c>
      <c r="CX200" s="81">
        <f t="shared" si="188"/>
        <v>0</v>
      </c>
      <c r="CY200" s="81" t="s">
        <v>19</v>
      </c>
      <c r="CZ200" s="81">
        <f t="shared" si="189"/>
        <v>0</v>
      </c>
      <c r="DA200" s="81">
        <f t="shared" si="190"/>
        <v>0</v>
      </c>
      <c r="DB200" s="81" t="s">
        <v>20</v>
      </c>
      <c r="DC200" s="81">
        <f t="shared" si="191"/>
        <v>0</v>
      </c>
      <c r="DD200" s="81">
        <f t="shared" si="192"/>
        <v>0</v>
      </c>
      <c r="DE200" s="81" t="s">
        <v>23</v>
      </c>
      <c r="DF200" s="81">
        <f t="shared" si="193"/>
        <v>0</v>
      </c>
      <c r="DG200" s="81">
        <f t="shared" si="194"/>
        <v>0</v>
      </c>
      <c r="DH200" s="81" t="s">
        <v>15</v>
      </c>
      <c r="DI200" s="81">
        <f t="shared" si="195"/>
        <v>0</v>
      </c>
      <c r="DJ200" s="81">
        <f t="shared" si="196"/>
        <v>0</v>
      </c>
      <c r="DK200" s="81" t="s">
        <v>5422</v>
      </c>
      <c r="DL200" s="81">
        <f t="shared" si="197"/>
        <v>0</v>
      </c>
      <c r="DM200" s="81">
        <f t="shared" si="198"/>
        <v>0</v>
      </c>
      <c r="DN200" s="81" t="s">
        <v>7</v>
      </c>
      <c r="DO200" s="81">
        <f t="shared" si="199"/>
        <v>0</v>
      </c>
      <c r="DP200" s="81">
        <f t="shared" si="200"/>
        <v>0</v>
      </c>
      <c r="DQ200" s="81" t="s">
        <v>1</v>
      </c>
      <c r="DR200" s="81">
        <f t="shared" si="201"/>
        <v>0</v>
      </c>
      <c r="DS200" s="81">
        <f t="shared" si="202"/>
        <v>0</v>
      </c>
    </row>
    <row r="201" spans="14:123" x14ac:dyDescent="0.3">
      <c r="N201" s="81">
        <f>IF(Q202=0,IF(Q201=0,,"x"),)</f>
        <v>0</v>
      </c>
      <c r="O201" s="81">
        <f t="shared" si="203"/>
        <v>0</v>
      </c>
      <c r="P201" s="81">
        <f t="shared" si="168"/>
        <v>0</v>
      </c>
      <c r="Q201" s="81">
        <f t="shared" si="204"/>
        <v>0</v>
      </c>
      <c r="R201" s="81">
        <f>IF(W201="",,SUM($W$4:W201))</f>
        <v>0</v>
      </c>
      <c r="S201" s="81">
        <f t="shared" si="169"/>
        <v>0</v>
      </c>
      <c r="T201" s="81">
        <f t="shared" si="205"/>
        <v>0</v>
      </c>
      <c r="U201" s="81">
        <f t="shared" si="170"/>
        <v>0</v>
      </c>
      <c r="AE201" s="81">
        <v>201</v>
      </c>
      <c r="AI201" s="81">
        <v>198</v>
      </c>
      <c r="AJ201" s="81" t="str">
        <f t="shared" si="161"/>
        <v>Februari 35</v>
      </c>
      <c r="AK201" s="81" t="str">
        <f t="shared" si="158"/>
        <v>Februari</v>
      </c>
      <c r="AL201" s="81">
        <f t="shared" si="157"/>
        <v>35</v>
      </c>
      <c r="AM201" s="81" t="str">
        <f t="shared" si="171"/>
        <v>='Februari 35'!</v>
      </c>
      <c r="AN201" s="81" t="str">
        <f t="shared" si="165"/>
        <v>='Februari 35'!C27</v>
      </c>
      <c r="AO201" s="81" t="s">
        <v>1201</v>
      </c>
      <c r="AR201" s="81" t="s">
        <v>261</v>
      </c>
      <c r="AS201" s="83" t="str">
        <f t="shared" si="162"/>
        <v>='Februari 35'!C6</v>
      </c>
      <c r="AT201" s="83">
        <f t="shared" si="163"/>
        <v>0</v>
      </c>
      <c r="AV201" s="81" t="s">
        <v>562</v>
      </c>
      <c r="AW201" s="81" t="s">
        <v>3485</v>
      </c>
      <c r="AX201" s="81" t="s">
        <v>3486</v>
      </c>
      <c r="AY201" s="81" t="s">
        <v>3487</v>
      </c>
      <c r="AZ201" s="81" t="s">
        <v>3488</v>
      </c>
      <c r="BA201" s="81" t="s">
        <v>3489</v>
      </c>
      <c r="BB201" s="81" t="s">
        <v>3490</v>
      </c>
      <c r="BC201" s="81" t="s">
        <v>3491</v>
      </c>
      <c r="BD201" s="81" t="s">
        <v>3492</v>
      </c>
      <c r="BE201" s="81" t="s">
        <v>3493</v>
      </c>
      <c r="BF201" s="81" t="s">
        <v>3494</v>
      </c>
      <c r="BG201" s="81" t="s">
        <v>3495</v>
      </c>
      <c r="BH201" s="81" t="s">
        <v>4818</v>
      </c>
      <c r="BI201" s="81" t="s">
        <v>5122</v>
      </c>
      <c r="BJ201" s="81" t="s">
        <v>261</v>
      </c>
      <c r="BL201" s="81" t="s">
        <v>865</v>
      </c>
      <c r="BM201" s="81">
        <v>198</v>
      </c>
      <c r="BN201" s="81" t="str">
        <f t="shared" si="164"/>
        <v>='Februari 35'!C12</v>
      </c>
      <c r="BP201" s="81" t="str">
        <f t="shared" ca="1" si="172"/>
        <v/>
      </c>
      <c r="BR201" s="84">
        <f t="shared" si="166"/>
        <v>0</v>
      </c>
      <c r="BS201" s="84">
        <f t="shared" si="167"/>
        <v>0</v>
      </c>
      <c r="CA201" s="81" t="s">
        <v>2</v>
      </c>
      <c r="CB201" s="81">
        <f t="shared" si="173"/>
        <v>0</v>
      </c>
      <c r="CC201" s="81">
        <f t="shared" si="174"/>
        <v>0</v>
      </c>
      <c r="CD201" s="81" t="s">
        <v>16</v>
      </c>
      <c r="CE201" s="81">
        <f t="shared" si="175"/>
        <v>0</v>
      </c>
      <c r="CF201" s="81">
        <f t="shared" si="176"/>
        <v>0</v>
      </c>
      <c r="CG201" s="81" t="s">
        <v>5</v>
      </c>
      <c r="CH201" s="81">
        <f t="shared" si="177"/>
        <v>0</v>
      </c>
      <c r="CI201" s="81">
        <f t="shared" si="178"/>
        <v>0</v>
      </c>
      <c r="CJ201" s="81" t="s">
        <v>18</v>
      </c>
      <c r="CK201" s="81">
        <f t="shared" si="179"/>
        <v>0</v>
      </c>
      <c r="CL201" s="81">
        <f t="shared" si="180"/>
        <v>0</v>
      </c>
      <c r="CM201" s="81" t="s">
        <v>4</v>
      </c>
      <c r="CN201" s="81">
        <f t="shared" si="181"/>
        <v>0</v>
      </c>
      <c r="CO201" s="81">
        <f t="shared" si="182"/>
        <v>0</v>
      </c>
      <c r="CP201" s="81" t="s">
        <v>22</v>
      </c>
      <c r="CQ201" s="81">
        <f t="shared" si="183"/>
        <v>0</v>
      </c>
      <c r="CR201" s="81">
        <f t="shared" si="184"/>
        <v>0</v>
      </c>
      <c r="CS201" s="81" t="s">
        <v>21</v>
      </c>
      <c r="CT201" s="81">
        <f t="shared" si="185"/>
        <v>0</v>
      </c>
      <c r="CU201" s="81">
        <f t="shared" si="186"/>
        <v>0</v>
      </c>
      <c r="CV201" s="81" t="s">
        <v>998</v>
      </c>
      <c r="CW201" s="81">
        <f t="shared" si="187"/>
        <v>0</v>
      </c>
      <c r="CX201" s="81">
        <f t="shared" si="188"/>
        <v>0</v>
      </c>
      <c r="CY201" s="81" t="s">
        <v>19</v>
      </c>
      <c r="CZ201" s="81">
        <f t="shared" si="189"/>
        <v>0</v>
      </c>
      <c r="DA201" s="81">
        <f t="shared" si="190"/>
        <v>0</v>
      </c>
      <c r="DB201" s="81" t="s">
        <v>20</v>
      </c>
      <c r="DC201" s="81">
        <f t="shared" si="191"/>
        <v>0</v>
      </c>
      <c r="DD201" s="81">
        <f t="shared" si="192"/>
        <v>0</v>
      </c>
      <c r="DE201" s="81" t="s">
        <v>23</v>
      </c>
      <c r="DF201" s="81">
        <f t="shared" si="193"/>
        <v>0</v>
      </c>
      <c r="DG201" s="81">
        <f t="shared" si="194"/>
        <v>0</v>
      </c>
      <c r="DH201" s="81" t="s">
        <v>15</v>
      </c>
      <c r="DI201" s="81">
        <f t="shared" si="195"/>
        <v>0</v>
      </c>
      <c r="DJ201" s="81">
        <f t="shared" si="196"/>
        <v>0</v>
      </c>
      <c r="DK201" s="81" t="s">
        <v>5423</v>
      </c>
      <c r="DL201" s="81">
        <f t="shared" si="197"/>
        <v>0</v>
      </c>
      <c r="DM201" s="81">
        <f t="shared" si="198"/>
        <v>0</v>
      </c>
      <c r="DN201" s="81" t="s">
        <v>7</v>
      </c>
      <c r="DO201" s="81">
        <f t="shared" si="199"/>
        <v>0</v>
      </c>
      <c r="DP201" s="81">
        <f t="shared" si="200"/>
        <v>0</v>
      </c>
      <c r="DQ201" s="81" t="s">
        <v>1</v>
      </c>
      <c r="DR201" s="81">
        <f t="shared" si="201"/>
        <v>0</v>
      </c>
      <c r="DS201" s="81">
        <f t="shared" si="202"/>
        <v>0</v>
      </c>
    </row>
    <row r="202" spans="14:123" x14ac:dyDescent="0.3">
      <c r="N202" s="81">
        <f>IF(Q203=0,IF(Q202=0,,"x"),)</f>
        <v>0</v>
      </c>
      <c r="O202" s="81">
        <f t="shared" si="203"/>
        <v>0</v>
      </c>
      <c r="P202" s="81">
        <f t="shared" si="168"/>
        <v>0</v>
      </c>
      <c r="Q202" s="81">
        <f t="shared" si="204"/>
        <v>0</v>
      </c>
      <c r="R202" s="81">
        <f>IF(W202="",,SUM($W$4:W202))</f>
        <v>0</v>
      </c>
      <c r="S202" s="81">
        <f t="shared" si="169"/>
        <v>0</v>
      </c>
      <c r="T202" s="81">
        <f t="shared" si="205"/>
        <v>0</v>
      </c>
      <c r="U202" s="81">
        <f t="shared" si="170"/>
        <v>0</v>
      </c>
      <c r="AE202" s="81">
        <v>202</v>
      </c>
      <c r="AI202" s="81">
        <v>199</v>
      </c>
      <c r="AJ202" s="81" t="str">
        <f t="shared" si="161"/>
        <v>Mars 35</v>
      </c>
      <c r="AK202" s="81" t="str">
        <f t="shared" si="158"/>
        <v>Mars</v>
      </c>
      <c r="AL202" s="81">
        <f t="shared" si="157"/>
        <v>35</v>
      </c>
      <c r="AM202" s="81" t="str">
        <f t="shared" si="171"/>
        <v>='Mars 35'!</v>
      </c>
      <c r="AN202" s="81" t="str">
        <f t="shared" si="165"/>
        <v>='Mars 35'!C27</v>
      </c>
      <c r="AO202" s="81" t="s">
        <v>1202</v>
      </c>
      <c r="AR202" s="81" t="s">
        <v>262</v>
      </c>
      <c r="AS202" s="83" t="str">
        <f t="shared" si="162"/>
        <v>='Mars 35'!C6</v>
      </c>
      <c r="AT202" s="83">
        <f t="shared" si="163"/>
        <v>0</v>
      </c>
      <c r="AV202" s="81" t="s">
        <v>563</v>
      </c>
      <c r="AW202" s="81" t="s">
        <v>3496</v>
      </c>
      <c r="AX202" s="81" t="s">
        <v>3497</v>
      </c>
      <c r="AY202" s="81" t="s">
        <v>3498</v>
      </c>
      <c r="AZ202" s="81" t="s">
        <v>3499</v>
      </c>
      <c r="BA202" s="81" t="s">
        <v>3500</v>
      </c>
      <c r="BB202" s="81" t="s">
        <v>3501</v>
      </c>
      <c r="BC202" s="81" t="s">
        <v>3502</v>
      </c>
      <c r="BD202" s="81" t="s">
        <v>3503</v>
      </c>
      <c r="BE202" s="81" t="s">
        <v>3504</v>
      </c>
      <c r="BF202" s="81" t="s">
        <v>3505</v>
      </c>
      <c r="BG202" s="81" t="s">
        <v>3506</v>
      </c>
      <c r="BH202" s="81" t="s">
        <v>4819</v>
      </c>
      <c r="BI202" s="81" t="s">
        <v>5123</v>
      </c>
      <c r="BJ202" s="81" t="s">
        <v>262</v>
      </c>
      <c r="BL202" s="81" t="s">
        <v>866</v>
      </c>
      <c r="BM202" s="81">
        <v>199</v>
      </c>
      <c r="BN202" s="81" t="str">
        <f t="shared" si="164"/>
        <v>='Mars 35'!C12</v>
      </c>
      <c r="BP202" s="81" t="str">
        <f t="shared" ca="1" si="172"/>
        <v/>
      </c>
      <c r="BR202" s="84">
        <f t="shared" si="166"/>
        <v>0</v>
      </c>
      <c r="BS202" s="84">
        <f t="shared" si="167"/>
        <v>0</v>
      </c>
      <c r="CA202" s="81" t="s">
        <v>2</v>
      </c>
      <c r="CB202" s="81">
        <f t="shared" si="173"/>
        <v>0</v>
      </c>
      <c r="CC202" s="81">
        <f t="shared" si="174"/>
        <v>0</v>
      </c>
      <c r="CD202" s="81" t="s">
        <v>16</v>
      </c>
      <c r="CE202" s="81">
        <f t="shared" si="175"/>
        <v>0</v>
      </c>
      <c r="CF202" s="81">
        <f t="shared" si="176"/>
        <v>0</v>
      </c>
      <c r="CG202" s="81" t="s">
        <v>5</v>
      </c>
      <c r="CH202" s="81">
        <f t="shared" si="177"/>
        <v>0</v>
      </c>
      <c r="CI202" s="81">
        <f t="shared" si="178"/>
        <v>0</v>
      </c>
      <c r="CJ202" s="81" t="s">
        <v>18</v>
      </c>
      <c r="CK202" s="81">
        <f t="shared" si="179"/>
        <v>0</v>
      </c>
      <c r="CL202" s="81">
        <f t="shared" si="180"/>
        <v>0</v>
      </c>
      <c r="CM202" s="81" t="s">
        <v>4</v>
      </c>
      <c r="CN202" s="81">
        <f t="shared" si="181"/>
        <v>0</v>
      </c>
      <c r="CO202" s="81">
        <f t="shared" si="182"/>
        <v>0</v>
      </c>
      <c r="CP202" s="81" t="s">
        <v>22</v>
      </c>
      <c r="CQ202" s="81">
        <f t="shared" si="183"/>
        <v>0</v>
      </c>
      <c r="CR202" s="81">
        <f t="shared" si="184"/>
        <v>0</v>
      </c>
      <c r="CS202" s="81" t="s">
        <v>21</v>
      </c>
      <c r="CT202" s="81">
        <f t="shared" si="185"/>
        <v>0</v>
      </c>
      <c r="CU202" s="81">
        <f t="shared" si="186"/>
        <v>0</v>
      </c>
      <c r="CV202" s="81" t="s">
        <v>998</v>
      </c>
      <c r="CW202" s="81">
        <f t="shared" si="187"/>
        <v>0</v>
      </c>
      <c r="CX202" s="81">
        <f t="shared" si="188"/>
        <v>0</v>
      </c>
      <c r="CY202" s="81" t="s">
        <v>19</v>
      </c>
      <c r="CZ202" s="81">
        <f t="shared" si="189"/>
        <v>0</v>
      </c>
      <c r="DA202" s="81">
        <f t="shared" si="190"/>
        <v>0</v>
      </c>
      <c r="DB202" s="81" t="s">
        <v>20</v>
      </c>
      <c r="DC202" s="81">
        <f t="shared" si="191"/>
        <v>0</v>
      </c>
      <c r="DD202" s="81">
        <f t="shared" si="192"/>
        <v>0</v>
      </c>
      <c r="DE202" s="81" t="s">
        <v>23</v>
      </c>
      <c r="DF202" s="81">
        <f t="shared" si="193"/>
        <v>0</v>
      </c>
      <c r="DG202" s="81">
        <f t="shared" si="194"/>
        <v>0</v>
      </c>
      <c r="DH202" s="81" t="s">
        <v>15</v>
      </c>
      <c r="DI202" s="81">
        <f t="shared" si="195"/>
        <v>0</v>
      </c>
      <c r="DJ202" s="81">
        <f t="shared" si="196"/>
        <v>0</v>
      </c>
      <c r="DK202" s="81" t="s">
        <v>5424</v>
      </c>
      <c r="DL202" s="81">
        <f t="shared" si="197"/>
        <v>0</v>
      </c>
      <c r="DM202" s="81">
        <f t="shared" si="198"/>
        <v>0</v>
      </c>
      <c r="DN202" s="81" t="s">
        <v>7</v>
      </c>
      <c r="DO202" s="81">
        <f t="shared" si="199"/>
        <v>0</v>
      </c>
      <c r="DP202" s="81">
        <f t="shared" si="200"/>
        <v>0</v>
      </c>
      <c r="DQ202" s="81" t="s">
        <v>1</v>
      </c>
      <c r="DR202" s="81">
        <f t="shared" si="201"/>
        <v>0</v>
      </c>
      <c r="DS202" s="81">
        <f t="shared" si="202"/>
        <v>0</v>
      </c>
    </row>
    <row r="203" spans="14:123" x14ac:dyDescent="0.3">
      <c r="N203" s="81">
        <f>IF(Q204=0,IF(Q203=0,,"x"),)</f>
        <v>0</v>
      </c>
      <c r="O203" s="81">
        <f t="shared" si="203"/>
        <v>0</v>
      </c>
      <c r="P203" s="81">
        <f t="shared" si="168"/>
        <v>0</v>
      </c>
      <c r="Q203" s="81">
        <f t="shared" si="204"/>
        <v>0</v>
      </c>
      <c r="R203" s="81">
        <f>IF(W203="",,SUM($W$4:W203))</f>
        <v>0</v>
      </c>
      <c r="S203" s="81">
        <f t="shared" si="169"/>
        <v>0</v>
      </c>
      <c r="T203" s="81">
        <f t="shared" si="205"/>
        <v>0</v>
      </c>
      <c r="U203" s="81">
        <f t="shared" si="170"/>
        <v>0</v>
      </c>
      <c r="AE203" s="81">
        <v>203</v>
      </c>
      <c r="AI203" s="81">
        <v>200</v>
      </c>
      <c r="AJ203" s="81" t="str">
        <f t="shared" si="161"/>
        <v>April 35</v>
      </c>
      <c r="AK203" s="81" t="str">
        <f t="shared" si="158"/>
        <v>April</v>
      </c>
      <c r="AL203" s="81">
        <f t="shared" si="157"/>
        <v>35</v>
      </c>
      <c r="AM203" s="81" t="str">
        <f t="shared" si="171"/>
        <v>='April 35'!</v>
      </c>
      <c r="AN203" s="81" t="str">
        <f t="shared" si="165"/>
        <v>='April 35'!C27</v>
      </c>
      <c r="AO203" s="81" t="s">
        <v>1203</v>
      </c>
      <c r="AR203" s="81" t="s">
        <v>263</v>
      </c>
      <c r="AS203" s="83" t="str">
        <f t="shared" si="162"/>
        <v>='April 35'!C6</v>
      </c>
      <c r="AT203" s="83">
        <f t="shared" si="163"/>
        <v>0</v>
      </c>
      <c r="AV203" s="81" t="s">
        <v>564</v>
      </c>
      <c r="AW203" s="81" t="s">
        <v>3507</v>
      </c>
      <c r="AX203" s="81" t="s">
        <v>3508</v>
      </c>
      <c r="AY203" s="81" t="s">
        <v>3509</v>
      </c>
      <c r="AZ203" s="81" t="s">
        <v>3510</v>
      </c>
      <c r="BA203" s="81" t="s">
        <v>3511</v>
      </c>
      <c r="BB203" s="81" t="s">
        <v>3512</v>
      </c>
      <c r="BC203" s="81" t="s">
        <v>3513</v>
      </c>
      <c r="BD203" s="81" t="s">
        <v>3514</v>
      </c>
      <c r="BE203" s="81" t="s">
        <v>3515</v>
      </c>
      <c r="BF203" s="81" t="s">
        <v>3516</v>
      </c>
      <c r="BG203" s="81" t="s">
        <v>3517</v>
      </c>
      <c r="BH203" s="81" t="s">
        <v>4820</v>
      </c>
      <c r="BI203" s="81" t="s">
        <v>5124</v>
      </c>
      <c r="BJ203" s="81" t="s">
        <v>263</v>
      </c>
      <c r="BL203" s="81" t="s">
        <v>867</v>
      </c>
      <c r="BM203" s="81">
        <v>200</v>
      </c>
      <c r="BN203" s="81" t="str">
        <f t="shared" si="164"/>
        <v>='April 35'!C12</v>
      </c>
      <c r="BP203" s="81" t="str">
        <f t="shared" ca="1" si="172"/>
        <v/>
      </c>
      <c r="BR203" s="84">
        <f t="shared" si="166"/>
        <v>0</v>
      </c>
      <c r="BS203" s="84">
        <f t="shared" si="167"/>
        <v>0</v>
      </c>
      <c r="CA203" s="81" t="s">
        <v>2</v>
      </c>
      <c r="CB203" s="81">
        <f t="shared" si="173"/>
        <v>0</v>
      </c>
      <c r="CC203" s="81">
        <f t="shared" si="174"/>
        <v>0</v>
      </c>
      <c r="CD203" s="81" t="s">
        <v>16</v>
      </c>
      <c r="CE203" s="81">
        <f t="shared" si="175"/>
        <v>0</v>
      </c>
      <c r="CF203" s="81">
        <f t="shared" si="176"/>
        <v>0</v>
      </c>
      <c r="CG203" s="81" t="s">
        <v>5</v>
      </c>
      <c r="CH203" s="81">
        <f t="shared" si="177"/>
        <v>0</v>
      </c>
      <c r="CI203" s="81">
        <f t="shared" si="178"/>
        <v>0</v>
      </c>
      <c r="CJ203" s="81" t="s">
        <v>18</v>
      </c>
      <c r="CK203" s="81">
        <f t="shared" si="179"/>
        <v>0</v>
      </c>
      <c r="CL203" s="81">
        <f t="shared" si="180"/>
        <v>0</v>
      </c>
      <c r="CM203" s="81" t="s">
        <v>4</v>
      </c>
      <c r="CN203" s="81">
        <f t="shared" si="181"/>
        <v>0</v>
      </c>
      <c r="CO203" s="81">
        <f t="shared" si="182"/>
        <v>0</v>
      </c>
      <c r="CP203" s="81" t="s">
        <v>22</v>
      </c>
      <c r="CQ203" s="81">
        <f t="shared" si="183"/>
        <v>0</v>
      </c>
      <c r="CR203" s="81">
        <f t="shared" si="184"/>
        <v>0</v>
      </c>
      <c r="CS203" s="81" t="s">
        <v>21</v>
      </c>
      <c r="CT203" s="81">
        <f t="shared" si="185"/>
        <v>0</v>
      </c>
      <c r="CU203" s="81">
        <f t="shared" si="186"/>
        <v>0</v>
      </c>
      <c r="CV203" s="81" t="s">
        <v>998</v>
      </c>
      <c r="CW203" s="81">
        <f t="shared" si="187"/>
        <v>0</v>
      </c>
      <c r="CX203" s="81">
        <f t="shared" si="188"/>
        <v>0</v>
      </c>
      <c r="CY203" s="81" t="s">
        <v>19</v>
      </c>
      <c r="CZ203" s="81">
        <f t="shared" si="189"/>
        <v>0</v>
      </c>
      <c r="DA203" s="81">
        <f t="shared" si="190"/>
        <v>0</v>
      </c>
      <c r="DB203" s="81" t="s">
        <v>20</v>
      </c>
      <c r="DC203" s="81">
        <f t="shared" si="191"/>
        <v>0</v>
      </c>
      <c r="DD203" s="81">
        <f t="shared" si="192"/>
        <v>0</v>
      </c>
      <c r="DE203" s="81" t="s">
        <v>23</v>
      </c>
      <c r="DF203" s="81">
        <f t="shared" si="193"/>
        <v>0</v>
      </c>
      <c r="DG203" s="81">
        <f t="shared" si="194"/>
        <v>0</v>
      </c>
      <c r="DH203" s="81" t="s">
        <v>15</v>
      </c>
      <c r="DI203" s="81">
        <f t="shared" si="195"/>
        <v>0</v>
      </c>
      <c r="DJ203" s="81">
        <f t="shared" si="196"/>
        <v>0</v>
      </c>
      <c r="DK203" s="81" t="s">
        <v>5425</v>
      </c>
      <c r="DL203" s="81">
        <f t="shared" si="197"/>
        <v>0</v>
      </c>
      <c r="DM203" s="81">
        <f t="shared" si="198"/>
        <v>0</v>
      </c>
      <c r="DN203" s="81" t="s">
        <v>7</v>
      </c>
      <c r="DO203" s="81">
        <f t="shared" si="199"/>
        <v>0</v>
      </c>
      <c r="DP203" s="81">
        <f t="shared" si="200"/>
        <v>0</v>
      </c>
      <c r="DQ203" s="81" t="s">
        <v>1</v>
      </c>
      <c r="DR203" s="81">
        <f t="shared" si="201"/>
        <v>0</v>
      </c>
      <c r="DS203" s="81">
        <f t="shared" si="202"/>
        <v>0</v>
      </c>
    </row>
    <row r="204" spans="14:123" x14ac:dyDescent="0.3">
      <c r="N204" s="81">
        <f>IF(Q205=0,IF(Q204=0,,"x"),)</f>
        <v>0</v>
      </c>
      <c r="O204" s="81">
        <f t="shared" si="203"/>
        <v>0</v>
      </c>
      <c r="P204" s="81">
        <f t="shared" si="168"/>
        <v>0</v>
      </c>
      <c r="Q204" s="81">
        <f t="shared" si="204"/>
        <v>0</v>
      </c>
      <c r="R204" s="81">
        <f>IF(W204="",,SUM($W$4:W204))</f>
        <v>0</v>
      </c>
      <c r="S204" s="81">
        <f t="shared" si="169"/>
        <v>0</v>
      </c>
      <c r="T204" s="81">
        <f t="shared" si="205"/>
        <v>0</v>
      </c>
      <c r="U204" s="81">
        <f t="shared" si="170"/>
        <v>0</v>
      </c>
      <c r="AE204" s="81">
        <v>204</v>
      </c>
      <c r="AI204" s="81">
        <v>201</v>
      </c>
      <c r="AJ204" s="81" t="str">
        <f t="shared" si="161"/>
        <v>Maj 35</v>
      </c>
      <c r="AK204" s="81" t="str">
        <f t="shared" si="158"/>
        <v>Maj</v>
      </c>
      <c r="AL204" s="81">
        <f t="shared" si="157"/>
        <v>35</v>
      </c>
      <c r="AM204" s="81" t="str">
        <f t="shared" si="171"/>
        <v>='Maj 35'!</v>
      </c>
      <c r="AN204" s="81" t="str">
        <f t="shared" si="165"/>
        <v>='Maj 35'!C27</v>
      </c>
      <c r="AO204" s="81" t="s">
        <v>1204</v>
      </c>
      <c r="AR204" s="81" t="s">
        <v>264</v>
      </c>
      <c r="AS204" s="83" t="str">
        <f t="shared" si="162"/>
        <v>='Maj 35'!C6</v>
      </c>
      <c r="AT204" s="83">
        <f t="shared" si="163"/>
        <v>0</v>
      </c>
      <c r="AV204" s="81" t="s">
        <v>565</v>
      </c>
      <c r="AW204" s="81" t="s">
        <v>3518</v>
      </c>
      <c r="AX204" s="81" t="s">
        <v>3519</v>
      </c>
      <c r="AY204" s="81" t="s">
        <v>3520</v>
      </c>
      <c r="AZ204" s="81" t="s">
        <v>3521</v>
      </c>
      <c r="BA204" s="81" t="s">
        <v>3522</v>
      </c>
      <c r="BB204" s="81" t="s">
        <v>3523</v>
      </c>
      <c r="BC204" s="81" t="s">
        <v>3524</v>
      </c>
      <c r="BD204" s="81" t="s">
        <v>3525</v>
      </c>
      <c r="BE204" s="81" t="s">
        <v>3526</v>
      </c>
      <c r="BF204" s="81" t="s">
        <v>3527</v>
      </c>
      <c r="BG204" s="81" t="s">
        <v>3528</v>
      </c>
      <c r="BH204" s="81" t="s">
        <v>4821</v>
      </c>
      <c r="BI204" s="81" t="s">
        <v>5125</v>
      </c>
      <c r="BJ204" s="81" t="s">
        <v>264</v>
      </c>
      <c r="BL204" s="81" t="s">
        <v>868</v>
      </c>
      <c r="BM204" s="81">
        <v>201</v>
      </c>
      <c r="BN204" s="81" t="str">
        <f t="shared" si="164"/>
        <v>='Maj 35'!C12</v>
      </c>
      <c r="BP204" s="81" t="str">
        <f t="shared" ca="1" si="172"/>
        <v/>
      </c>
      <c r="BR204" s="84">
        <f t="shared" si="166"/>
        <v>0</v>
      </c>
      <c r="BS204" s="84">
        <f t="shared" si="167"/>
        <v>0</v>
      </c>
      <c r="CA204" s="81" t="s">
        <v>2</v>
      </c>
      <c r="CB204" s="81">
        <f t="shared" si="173"/>
        <v>0</v>
      </c>
      <c r="CC204" s="81">
        <f t="shared" si="174"/>
        <v>0</v>
      </c>
      <c r="CD204" s="81" t="s">
        <v>16</v>
      </c>
      <c r="CE204" s="81">
        <f t="shared" si="175"/>
        <v>0</v>
      </c>
      <c r="CF204" s="81">
        <f t="shared" si="176"/>
        <v>0</v>
      </c>
      <c r="CG204" s="81" t="s">
        <v>5</v>
      </c>
      <c r="CH204" s="81">
        <f t="shared" si="177"/>
        <v>0</v>
      </c>
      <c r="CI204" s="81">
        <f t="shared" si="178"/>
        <v>0</v>
      </c>
      <c r="CJ204" s="81" t="s">
        <v>18</v>
      </c>
      <c r="CK204" s="81">
        <f t="shared" si="179"/>
        <v>0</v>
      </c>
      <c r="CL204" s="81">
        <f t="shared" si="180"/>
        <v>0</v>
      </c>
      <c r="CM204" s="81" t="s">
        <v>4</v>
      </c>
      <c r="CN204" s="81">
        <f t="shared" si="181"/>
        <v>0</v>
      </c>
      <c r="CO204" s="81">
        <f t="shared" si="182"/>
        <v>0</v>
      </c>
      <c r="CP204" s="81" t="s">
        <v>22</v>
      </c>
      <c r="CQ204" s="81">
        <f t="shared" si="183"/>
        <v>0</v>
      </c>
      <c r="CR204" s="81">
        <f t="shared" si="184"/>
        <v>0</v>
      </c>
      <c r="CS204" s="81" t="s">
        <v>21</v>
      </c>
      <c r="CT204" s="81">
        <f t="shared" si="185"/>
        <v>0</v>
      </c>
      <c r="CU204" s="81">
        <f t="shared" si="186"/>
        <v>0</v>
      </c>
      <c r="CV204" s="81" t="s">
        <v>998</v>
      </c>
      <c r="CW204" s="81">
        <f t="shared" si="187"/>
        <v>0</v>
      </c>
      <c r="CX204" s="81">
        <f t="shared" si="188"/>
        <v>0</v>
      </c>
      <c r="CY204" s="81" t="s">
        <v>19</v>
      </c>
      <c r="CZ204" s="81">
        <f t="shared" si="189"/>
        <v>0</v>
      </c>
      <c r="DA204" s="81">
        <f t="shared" si="190"/>
        <v>0</v>
      </c>
      <c r="DB204" s="81" t="s">
        <v>20</v>
      </c>
      <c r="DC204" s="81">
        <f t="shared" si="191"/>
        <v>0</v>
      </c>
      <c r="DD204" s="81">
        <f t="shared" si="192"/>
        <v>0</v>
      </c>
      <c r="DE204" s="81" t="s">
        <v>23</v>
      </c>
      <c r="DF204" s="81">
        <f t="shared" si="193"/>
        <v>0</v>
      </c>
      <c r="DG204" s="81">
        <f t="shared" si="194"/>
        <v>0</v>
      </c>
      <c r="DH204" s="81" t="s">
        <v>15</v>
      </c>
      <c r="DI204" s="81">
        <f t="shared" si="195"/>
        <v>0</v>
      </c>
      <c r="DJ204" s="81">
        <f t="shared" si="196"/>
        <v>0</v>
      </c>
      <c r="DK204" s="81" t="s">
        <v>5426</v>
      </c>
      <c r="DL204" s="81">
        <f t="shared" si="197"/>
        <v>0</v>
      </c>
      <c r="DM204" s="81">
        <f t="shared" si="198"/>
        <v>0</v>
      </c>
      <c r="DN204" s="81" t="s">
        <v>7</v>
      </c>
      <c r="DO204" s="81">
        <f t="shared" si="199"/>
        <v>0</v>
      </c>
      <c r="DP204" s="81">
        <f t="shared" si="200"/>
        <v>0</v>
      </c>
      <c r="DQ204" s="81" t="s">
        <v>1</v>
      </c>
      <c r="DR204" s="81">
        <f t="shared" si="201"/>
        <v>0</v>
      </c>
      <c r="DS204" s="81">
        <f t="shared" si="202"/>
        <v>0</v>
      </c>
    </row>
    <row r="205" spans="14:123" x14ac:dyDescent="0.3">
      <c r="N205" s="81">
        <f>IF(Q206=0,IF(Q205=0,,"x"),)</f>
        <v>0</v>
      </c>
      <c r="O205" s="81">
        <f t="shared" si="203"/>
        <v>0</v>
      </c>
      <c r="P205" s="81">
        <f t="shared" si="168"/>
        <v>0</v>
      </c>
      <c r="Q205" s="81">
        <f t="shared" si="204"/>
        <v>0</v>
      </c>
      <c r="R205" s="81">
        <f>IF(W205="",,SUM($W$4:W205))</f>
        <v>0</v>
      </c>
      <c r="S205" s="81">
        <f t="shared" si="169"/>
        <v>0</v>
      </c>
      <c r="T205" s="81">
        <f t="shared" si="205"/>
        <v>0</v>
      </c>
      <c r="U205" s="81">
        <f t="shared" si="170"/>
        <v>0</v>
      </c>
      <c r="AE205" s="81">
        <v>205</v>
      </c>
      <c r="AI205" s="81">
        <v>202</v>
      </c>
      <c r="AJ205" s="81" t="str">
        <f t="shared" si="161"/>
        <v>Juni 35</v>
      </c>
      <c r="AK205" s="81" t="str">
        <f t="shared" si="158"/>
        <v>Juni</v>
      </c>
      <c r="AL205" s="81">
        <f t="shared" si="157"/>
        <v>35</v>
      </c>
      <c r="AM205" s="81" t="str">
        <f t="shared" si="171"/>
        <v>='Juni 35'!</v>
      </c>
      <c r="AN205" s="81" t="str">
        <f t="shared" si="165"/>
        <v>='Juni 35'!C27</v>
      </c>
      <c r="AO205" s="81" t="s">
        <v>1205</v>
      </c>
      <c r="AR205" s="81" t="s">
        <v>265</v>
      </c>
      <c r="AS205" s="83" t="str">
        <f t="shared" si="162"/>
        <v>='Juni 35'!C6</v>
      </c>
      <c r="AT205" s="83">
        <f t="shared" si="163"/>
        <v>0</v>
      </c>
      <c r="AV205" s="81" t="s">
        <v>566</v>
      </c>
      <c r="AW205" s="81" t="s">
        <v>3529</v>
      </c>
      <c r="AX205" s="81" t="s">
        <v>3530</v>
      </c>
      <c r="AY205" s="81" t="s">
        <v>3531</v>
      </c>
      <c r="AZ205" s="81" t="s">
        <v>3532</v>
      </c>
      <c r="BA205" s="81" t="s">
        <v>3533</v>
      </c>
      <c r="BB205" s="81" t="s">
        <v>3534</v>
      </c>
      <c r="BC205" s="81" t="s">
        <v>3535</v>
      </c>
      <c r="BD205" s="81" t="s">
        <v>3536</v>
      </c>
      <c r="BE205" s="81" t="s">
        <v>3537</v>
      </c>
      <c r="BF205" s="81" t="s">
        <v>3538</v>
      </c>
      <c r="BG205" s="81" t="s">
        <v>3539</v>
      </c>
      <c r="BH205" s="81" t="s">
        <v>4822</v>
      </c>
      <c r="BI205" s="81" t="s">
        <v>5126</v>
      </c>
      <c r="BJ205" s="81" t="s">
        <v>265</v>
      </c>
      <c r="BL205" s="81" t="s">
        <v>869</v>
      </c>
      <c r="BM205" s="81">
        <v>202</v>
      </c>
      <c r="BN205" s="81" t="str">
        <f t="shared" si="164"/>
        <v>='Juni 35'!C12</v>
      </c>
      <c r="BP205" s="81" t="str">
        <f t="shared" ca="1" si="172"/>
        <v/>
      </c>
      <c r="BR205" s="84">
        <f t="shared" si="166"/>
        <v>0</v>
      </c>
      <c r="BS205" s="84">
        <f t="shared" si="167"/>
        <v>0</v>
      </c>
      <c r="CA205" s="81" t="s">
        <v>2</v>
      </c>
      <c r="CB205" s="81">
        <f t="shared" si="173"/>
        <v>0</v>
      </c>
      <c r="CC205" s="81">
        <f t="shared" si="174"/>
        <v>0</v>
      </c>
      <c r="CD205" s="81" t="s">
        <v>16</v>
      </c>
      <c r="CE205" s="81">
        <f t="shared" si="175"/>
        <v>0</v>
      </c>
      <c r="CF205" s="81">
        <f t="shared" si="176"/>
        <v>0</v>
      </c>
      <c r="CG205" s="81" t="s">
        <v>5</v>
      </c>
      <c r="CH205" s="81">
        <f t="shared" si="177"/>
        <v>0</v>
      </c>
      <c r="CI205" s="81">
        <f t="shared" si="178"/>
        <v>0</v>
      </c>
      <c r="CJ205" s="81" t="s">
        <v>18</v>
      </c>
      <c r="CK205" s="81">
        <f t="shared" si="179"/>
        <v>0</v>
      </c>
      <c r="CL205" s="81">
        <f t="shared" si="180"/>
        <v>0</v>
      </c>
      <c r="CM205" s="81" t="s">
        <v>4</v>
      </c>
      <c r="CN205" s="81">
        <f t="shared" si="181"/>
        <v>0</v>
      </c>
      <c r="CO205" s="81">
        <f t="shared" si="182"/>
        <v>0</v>
      </c>
      <c r="CP205" s="81" t="s">
        <v>22</v>
      </c>
      <c r="CQ205" s="81">
        <f t="shared" si="183"/>
        <v>0</v>
      </c>
      <c r="CR205" s="81">
        <f t="shared" si="184"/>
        <v>0</v>
      </c>
      <c r="CS205" s="81" t="s">
        <v>21</v>
      </c>
      <c r="CT205" s="81">
        <f t="shared" si="185"/>
        <v>0</v>
      </c>
      <c r="CU205" s="81">
        <f t="shared" si="186"/>
        <v>0</v>
      </c>
      <c r="CV205" s="81" t="s">
        <v>998</v>
      </c>
      <c r="CW205" s="81">
        <f t="shared" si="187"/>
        <v>0</v>
      </c>
      <c r="CX205" s="81">
        <f t="shared" si="188"/>
        <v>0</v>
      </c>
      <c r="CY205" s="81" t="s">
        <v>19</v>
      </c>
      <c r="CZ205" s="81">
        <f t="shared" si="189"/>
        <v>0</v>
      </c>
      <c r="DA205" s="81">
        <f t="shared" si="190"/>
        <v>0</v>
      </c>
      <c r="DB205" s="81" t="s">
        <v>20</v>
      </c>
      <c r="DC205" s="81">
        <f t="shared" si="191"/>
        <v>0</v>
      </c>
      <c r="DD205" s="81">
        <f t="shared" si="192"/>
        <v>0</v>
      </c>
      <c r="DE205" s="81" t="s">
        <v>23</v>
      </c>
      <c r="DF205" s="81">
        <f t="shared" si="193"/>
        <v>0</v>
      </c>
      <c r="DG205" s="81">
        <f t="shared" si="194"/>
        <v>0</v>
      </c>
      <c r="DH205" s="81" t="s">
        <v>15</v>
      </c>
      <c r="DI205" s="81">
        <f t="shared" si="195"/>
        <v>0</v>
      </c>
      <c r="DJ205" s="81">
        <f t="shared" si="196"/>
        <v>0</v>
      </c>
      <c r="DK205" s="81" t="s">
        <v>5427</v>
      </c>
      <c r="DL205" s="81">
        <f t="shared" si="197"/>
        <v>0</v>
      </c>
      <c r="DM205" s="81">
        <f t="shared" si="198"/>
        <v>0</v>
      </c>
      <c r="DN205" s="81" t="s">
        <v>7</v>
      </c>
      <c r="DO205" s="81">
        <f t="shared" si="199"/>
        <v>0</v>
      </c>
      <c r="DP205" s="81">
        <f t="shared" si="200"/>
        <v>0</v>
      </c>
      <c r="DQ205" s="81" t="s">
        <v>1</v>
      </c>
      <c r="DR205" s="81">
        <f t="shared" si="201"/>
        <v>0</v>
      </c>
      <c r="DS205" s="81">
        <f t="shared" si="202"/>
        <v>0</v>
      </c>
    </row>
    <row r="206" spans="14:123" x14ac:dyDescent="0.3">
      <c r="N206" s="81">
        <f>IF(Q207=0,IF(Q206=0,,"x"),)</f>
        <v>0</v>
      </c>
      <c r="O206" s="81">
        <f t="shared" si="203"/>
        <v>0</v>
      </c>
      <c r="P206" s="81">
        <f t="shared" si="168"/>
        <v>0</v>
      </c>
      <c r="Q206" s="81">
        <f t="shared" si="204"/>
        <v>0</v>
      </c>
      <c r="R206" s="81">
        <f>IF(W206="",,SUM($W$4:W206))</f>
        <v>0</v>
      </c>
      <c r="S206" s="81">
        <f t="shared" si="169"/>
        <v>0</v>
      </c>
      <c r="T206" s="81">
        <f t="shared" si="205"/>
        <v>0</v>
      </c>
      <c r="U206" s="81">
        <f t="shared" si="170"/>
        <v>0</v>
      </c>
      <c r="AE206" s="81">
        <v>206</v>
      </c>
      <c r="AI206" s="81">
        <v>203</v>
      </c>
      <c r="AJ206" s="81" t="str">
        <f t="shared" si="161"/>
        <v>Juli 35</v>
      </c>
      <c r="AK206" s="81" t="str">
        <f t="shared" si="158"/>
        <v>Juli</v>
      </c>
      <c r="AL206" s="81">
        <f t="shared" si="157"/>
        <v>35</v>
      </c>
      <c r="AM206" s="81" t="str">
        <f t="shared" si="171"/>
        <v>='Juli 35'!</v>
      </c>
      <c r="AN206" s="81" t="str">
        <f t="shared" si="165"/>
        <v>='Juli 35'!C27</v>
      </c>
      <c r="AO206" s="81" t="s">
        <v>1206</v>
      </c>
      <c r="AR206" s="81" t="s">
        <v>266</v>
      </c>
      <c r="AS206" s="83" t="str">
        <f t="shared" si="162"/>
        <v>='Juli 35'!C6</v>
      </c>
      <c r="AT206" s="83">
        <f t="shared" si="163"/>
        <v>0</v>
      </c>
      <c r="AV206" s="81" t="s">
        <v>567</v>
      </c>
      <c r="AW206" s="81" t="s">
        <v>3540</v>
      </c>
      <c r="AX206" s="81" t="s">
        <v>3541</v>
      </c>
      <c r="AY206" s="81" t="s">
        <v>3542</v>
      </c>
      <c r="AZ206" s="81" t="s">
        <v>3543</v>
      </c>
      <c r="BA206" s="81" t="s">
        <v>3544</v>
      </c>
      <c r="BB206" s="81" t="s">
        <v>3545</v>
      </c>
      <c r="BC206" s="81" t="s">
        <v>3546</v>
      </c>
      <c r="BD206" s="81" t="s">
        <v>3547</v>
      </c>
      <c r="BE206" s="81" t="s">
        <v>3548</v>
      </c>
      <c r="BF206" s="81" t="s">
        <v>3549</v>
      </c>
      <c r="BG206" s="81" t="s">
        <v>3550</v>
      </c>
      <c r="BH206" s="81" t="s">
        <v>4823</v>
      </c>
      <c r="BI206" s="81" t="s">
        <v>5127</v>
      </c>
      <c r="BJ206" s="81" t="s">
        <v>266</v>
      </c>
      <c r="BL206" s="81" t="s">
        <v>870</v>
      </c>
      <c r="BM206" s="81">
        <v>203</v>
      </c>
      <c r="BN206" s="81" t="str">
        <f t="shared" si="164"/>
        <v>='Juli 35'!C12</v>
      </c>
      <c r="BP206" s="81" t="str">
        <f t="shared" ca="1" si="172"/>
        <v/>
      </c>
      <c r="BR206" s="84">
        <f t="shared" si="166"/>
        <v>0</v>
      </c>
      <c r="BS206" s="84">
        <f t="shared" si="167"/>
        <v>0</v>
      </c>
      <c r="CA206" s="81" t="s">
        <v>2</v>
      </c>
      <c r="CB206" s="81">
        <f t="shared" si="173"/>
        <v>0</v>
      </c>
      <c r="CC206" s="81">
        <f t="shared" si="174"/>
        <v>0</v>
      </c>
      <c r="CD206" s="81" t="s">
        <v>16</v>
      </c>
      <c r="CE206" s="81">
        <f t="shared" si="175"/>
        <v>0</v>
      </c>
      <c r="CF206" s="81">
        <f t="shared" si="176"/>
        <v>0</v>
      </c>
      <c r="CG206" s="81" t="s">
        <v>5</v>
      </c>
      <c r="CH206" s="81">
        <f t="shared" si="177"/>
        <v>0</v>
      </c>
      <c r="CI206" s="81">
        <f t="shared" si="178"/>
        <v>0</v>
      </c>
      <c r="CJ206" s="81" t="s">
        <v>18</v>
      </c>
      <c r="CK206" s="81">
        <f t="shared" si="179"/>
        <v>0</v>
      </c>
      <c r="CL206" s="81">
        <f t="shared" si="180"/>
        <v>0</v>
      </c>
      <c r="CM206" s="81" t="s">
        <v>4</v>
      </c>
      <c r="CN206" s="81">
        <f t="shared" si="181"/>
        <v>0</v>
      </c>
      <c r="CO206" s="81">
        <f t="shared" si="182"/>
        <v>0</v>
      </c>
      <c r="CP206" s="81" t="s">
        <v>22</v>
      </c>
      <c r="CQ206" s="81">
        <f t="shared" si="183"/>
        <v>0</v>
      </c>
      <c r="CR206" s="81">
        <f t="shared" si="184"/>
        <v>0</v>
      </c>
      <c r="CS206" s="81" t="s">
        <v>21</v>
      </c>
      <c r="CT206" s="81">
        <f t="shared" si="185"/>
        <v>0</v>
      </c>
      <c r="CU206" s="81">
        <f t="shared" si="186"/>
        <v>0</v>
      </c>
      <c r="CV206" s="81" t="s">
        <v>998</v>
      </c>
      <c r="CW206" s="81">
        <f t="shared" si="187"/>
        <v>0</v>
      </c>
      <c r="CX206" s="81">
        <f t="shared" si="188"/>
        <v>0</v>
      </c>
      <c r="CY206" s="81" t="s">
        <v>19</v>
      </c>
      <c r="CZ206" s="81">
        <f t="shared" si="189"/>
        <v>0</v>
      </c>
      <c r="DA206" s="81">
        <f t="shared" si="190"/>
        <v>0</v>
      </c>
      <c r="DB206" s="81" t="s">
        <v>20</v>
      </c>
      <c r="DC206" s="81">
        <f t="shared" si="191"/>
        <v>0</v>
      </c>
      <c r="DD206" s="81">
        <f t="shared" si="192"/>
        <v>0</v>
      </c>
      <c r="DE206" s="81" t="s">
        <v>23</v>
      </c>
      <c r="DF206" s="81">
        <f t="shared" si="193"/>
        <v>0</v>
      </c>
      <c r="DG206" s="81">
        <f t="shared" si="194"/>
        <v>0</v>
      </c>
      <c r="DH206" s="81" t="s">
        <v>15</v>
      </c>
      <c r="DI206" s="81">
        <f t="shared" si="195"/>
        <v>0</v>
      </c>
      <c r="DJ206" s="81">
        <f t="shared" si="196"/>
        <v>0</v>
      </c>
      <c r="DK206" s="81" t="s">
        <v>5428</v>
      </c>
      <c r="DL206" s="81">
        <f t="shared" si="197"/>
        <v>0</v>
      </c>
      <c r="DM206" s="81">
        <f t="shared" si="198"/>
        <v>0</v>
      </c>
      <c r="DN206" s="81" t="s">
        <v>7</v>
      </c>
      <c r="DO206" s="81">
        <f t="shared" si="199"/>
        <v>0</v>
      </c>
      <c r="DP206" s="81">
        <f t="shared" si="200"/>
        <v>0</v>
      </c>
      <c r="DQ206" s="81" t="s">
        <v>1</v>
      </c>
      <c r="DR206" s="81">
        <f t="shared" si="201"/>
        <v>0</v>
      </c>
      <c r="DS206" s="81">
        <f t="shared" si="202"/>
        <v>0</v>
      </c>
    </row>
    <row r="207" spans="14:123" x14ac:dyDescent="0.3">
      <c r="N207" s="81">
        <f>IF(Q208=0,IF(Q207=0,,"x"),)</f>
        <v>0</v>
      </c>
      <c r="O207" s="81">
        <f t="shared" si="203"/>
        <v>0</v>
      </c>
      <c r="P207" s="81">
        <f t="shared" si="168"/>
        <v>0</v>
      </c>
      <c r="Q207" s="81">
        <f t="shared" si="204"/>
        <v>0</v>
      </c>
      <c r="R207" s="81">
        <f>IF(W207="",,SUM($W$4:W207))</f>
        <v>0</v>
      </c>
      <c r="S207" s="81">
        <f t="shared" si="169"/>
        <v>0</v>
      </c>
      <c r="T207" s="81">
        <f t="shared" si="205"/>
        <v>0</v>
      </c>
      <c r="U207" s="81">
        <f t="shared" si="170"/>
        <v>0</v>
      </c>
      <c r="AE207" s="81">
        <v>207</v>
      </c>
      <c r="AI207" s="81">
        <v>204</v>
      </c>
      <c r="AJ207" s="81" t="str">
        <f t="shared" si="161"/>
        <v>Augusti 35</v>
      </c>
      <c r="AK207" s="81" t="str">
        <f t="shared" si="158"/>
        <v>Augusti</v>
      </c>
      <c r="AL207" s="81">
        <f t="shared" si="157"/>
        <v>35</v>
      </c>
      <c r="AM207" s="81" t="str">
        <f t="shared" si="171"/>
        <v>='Augusti 35'!</v>
      </c>
      <c r="AN207" s="81" t="str">
        <f t="shared" si="165"/>
        <v>='Augusti 35'!C27</v>
      </c>
      <c r="AO207" s="81" t="s">
        <v>1207</v>
      </c>
      <c r="AR207" s="81" t="s">
        <v>267</v>
      </c>
      <c r="AS207" s="83" t="str">
        <f t="shared" si="162"/>
        <v>='Augusti 35'!C6</v>
      </c>
      <c r="AT207" s="83">
        <f t="shared" si="163"/>
        <v>0</v>
      </c>
      <c r="AV207" s="81" t="s">
        <v>568</v>
      </c>
      <c r="AW207" s="81" t="s">
        <v>3551</v>
      </c>
      <c r="AX207" s="81" t="s">
        <v>3552</v>
      </c>
      <c r="AY207" s="81" t="s">
        <v>3553</v>
      </c>
      <c r="AZ207" s="81" t="s">
        <v>3554</v>
      </c>
      <c r="BA207" s="81" t="s">
        <v>3555</v>
      </c>
      <c r="BB207" s="81" t="s">
        <v>3556</v>
      </c>
      <c r="BC207" s="81" t="s">
        <v>3557</v>
      </c>
      <c r="BD207" s="81" t="s">
        <v>3558</v>
      </c>
      <c r="BE207" s="81" t="s">
        <v>3559</v>
      </c>
      <c r="BF207" s="81" t="s">
        <v>3560</v>
      </c>
      <c r="BG207" s="81" t="s">
        <v>3561</v>
      </c>
      <c r="BH207" s="81" t="s">
        <v>4824</v>
      </c>
      <c r="BI207" s="81" t="s">
        <v>5128</v>
      </c>
      <c r="BJ207" s="81" t="s">
        <v>267</v>
      </c>
      <c r="BL207" s="81" t="s">
        <v>871</v>
      </c>
      <c r="BM207" s="81">
        <v>204</v>
      </c>
      <c r="BN207" s="81" t="str">
        <f t="shared" si="164"/>
        <v>='Augusti 35'!C12</v>
      </c>
      <c r="BP207" s="81" t="str">
        <f t="shared" ca="1" si="172"/>
        <v/>
      </c>
      <c r="BR207" s="84">
        <f t="shared" si="166"/>
        <v>0</v>
      </c>
      <c r="BS207" s="84">
        <f t="shared" si="167"/>
        <v>0</v>
      </c>
      <c r="CA207" s="81" t="s">
        <v>2</v>
      </c>
      <c r="CB207" s="81">
        <f t="shared" si="173"/>
        <v>0</v>
      </c>
      <c r="CC207" s="81">
        <f t="shared" si="174"/>
        <v>0</v>
      </c>
      <c r="CD207" s="81" t="s">
        <v>16</v>
      </c>
      <c r="CE207" s="81">
        <f t="shared" si="175"/>
        <v>0</v>
      </c>
      <c r="CF207" s="81">
        <f t="shared" si="176"/>
        <v>0</v>
      </c>
      <c r="CG207" s="81" t="s">
        <v>5</v>
      </c>
      <c r="CH207" s="81">
        <f t="shared" si="177"/>
        <v>0</v>
      </c>
      <c r="CI207" s="81">
        <f t="shared" si="178"/>
        <v>0</v>
      </c>
      <c r="CJ207" s="81" t="s">
        <v>18</v>
      </c>
      <c r="CK207" s="81">
        <f t="shared" si="179"/>
        <v>0</v>
      </c>
      <c r="CL207" s="81">
        <f t="shared" si="180"/>
        <v>0</v>
      </c>
      <c r="CM207" s="81" t="s">
        <v>4</v>
      </c>
      <c r="CN207" s="81">
        <f t="shared" si="181"/>
        <v>0</v>
      </c>
      <c r="CO207" s="81">
        <f t="shared" si="182"/>
        <v>0</v>
      </c>
      <c r="CP207" s="81" t="s">
        <v>22</v>
      </c>
      <c r="CQ207" s="81">
        <f t="shared" si="183"/>
        <v>0</v>
      </c>
      <c r="CR207" s="81">
        <f t="shared" si="184"/>
        <v>0</v>
      </c>
      <c r="CS207" s="81" t="s">
        <v>21</v>
      </c>
      <c r="CT207" s="81">
        <f t="shared" si="185"/>
        <v>0</v>
      </c>
      <c r="CU207" s="81">
        <f t="shared" si="186"/>
        <v>0</v>
      </c>
      <c r="CV207" s="81" t="s">
        <v>998</v>
      </c>
      <c r="CW207" s="81">
        <f t="shared" si="187"/>
        <v>0</v>
      </c>
      <c r="CX207" s="81">
        <f t="shared" si="188"/>
        <v>0</v>
      </c>
      <c r="CY207" s="81" t="s">
        <v>19</v>
      </c>
      <c r="CZ207" s="81">
        <f t="shared" si="189"/>
        <v>0</v>
      </c>
      <c r="DA207" s="81">
        <f t="shared" si="190"/>
        <v>0</v>
      </c>
      <c r="DB207" s="81" t="s">
        <v>20</v>
      </c>
      <c r="DC207" s="81">
        <f t="shared" si="191"/>
        <v>0</v>
      </c>
      <c r="DD207" s="81">
        <f t="shared" si="192"/>
        <v>0</v>
      </c>
      <c r="DE207" s="81" t="s">
        <v>23</v>
      </c>
      <c r="DF207" s="81">
        <f t="shared" si="193"/>
        <v>0</v>
      </c>
      <c r="DG207" s="81">
        <f t="shared" si="194"/>
        <v>0</v>
      </c>
      <c r="DH207" s="81" t="s">
        <v>15</v>
      </c>
      <c r="DI207" s="81">
        <f t="shared" si="195"/>
        <v>0</v>
      </c>
      <c r="DJ207" s="81">
        <f t="shared" si="196"/>
        <v>0</v>
      </c>
      <c r="DK207" s="81" t="s">
        <v>5429</v>
      </c>
      <c r="DL207" s="81">
        <f t="shared" si="197"/>
        <v>0</v>
      </c>
      <c r="DM207" s="81">
        <f t="shared" si="198"/>
        <v>0</v>
      </c>
      <c r="DN207" s="81" t="s">
        <v>7</v>
      </c>
      <c r="DO207" s="81">
        <f t="shared" si="199"/>
        <v>0</v>
      </c>
      <c r="DP207" s="81">
        <f t="shared" si="200"/>
        <v>0</v>
      </c>
      <c r="DQ207" s="81" t="s">
        <v>1</v>
      </c>
      <c r="DR207" s="81">
        <f t="shared" si="201"/>
        <v>0</v>
      </c>
      <c r="DS207" s="81">
        <f t="shared" si="202"/>
        <v>0</v>
      </c>
    </row>
    <row r="208" spans="14:123" x14ac:dyDescent="0.3">
      <c r="N208" s="81">
        <f>IF(Q209=0,IF(Q208=0,,"x"),)</f>
        <v>0</v>
      </c>
      <c r="O208" s="81">
        <f t="shared" si="203"/>
        <v>0</v>
      </c>
      <c r="P208" s="81">
        <f t="shared" si="168"/>
        <v>0</v>
      </c>
      <c r="Q208" s="81">
        <f t="shared" si="204"/>
        <v>0</v>
      </c>
      <c r="R208" s="81">
        <f>IF(W208="",,SUM($W$4:W208))</f>
        <v>0</v>
      </c>
      <c r="S208" s="81">
        <f t="shared" si="169"/>
        <v>0</v>
      </c>
      <c r="T208" s="81">
        <f t="shared" si="205"/>
        <v>0</v>
      </c>
      <c r="U208" s="81">
        <f t="shared" si="170"/>
        <v>0</v>
      </c>
      <c r="AE208" s="81">
        <v>208</v>
      </c>
      <c r="AI208" s="81">
        <v>205</v>
      </c>
      <c r="AJ208" s="81" t="str">
        <f t="shared" si="161"/>
        <v>September 35</v>
      </c>
      <c r="AK208" s="81" t="str">
        <f t="shared" si="158"/>
        <v>September</v>
      </c>
      <c r="AL208" s="81">
        <f t="shared" ref="AL208:AL271" si="206">IFERROR(IF(AI208=AI207+1,IF(SUM(AL196:AL207)/12=AL207,AL207+1,AL207)," ")," ")</f>
        <v>35</v>
      </c>
      <c r="AM208" s="81" t="str">
        <f t="shared" si="171"/>
        <v>='September 35'!</v>
      </c>
      <c r="AN208" s="81" t="str">
        <f t="shared" si="165"/>
        <v>='September 35'!C27</v>
      </c>
      <c r="AO208" s="81" t="s">
        <v>1208</v>
      </c>
      <c r="AR208" s="81" t="s">
        <v>268</v>
      </c>
      <c r="AS208" s="83" t="str">
        <f t="shared" si="162"/>
        <v>='September 35'!C6</v>
      </c>
      <c r="AT208" s="83">
        <f t="shared" si="163"/>
        <v>0</v>
      </c>
      <c r="AV208" s="81" t="s">
        <v>569</v>
      </c>
      <c r="AW208" s="81" t="s">
        <v>3562</v>
      </c>
      <c r="AX208" s="81" t="s">
        <v>3563</v>
      </c>
      <c r="AY208" s="81" t="s">
        <v>3564</v>
      </c>
      <c r="AZ208" s="81" t="s">
        <v>3565</v>
      </c>
      <c r="BA208" s="81" t="s">
        <v>3566</v>
      </c>
      <c r="BB208" s="81" t="s">
        <v>3567</v>
      </c>
      <c r="BC208" s="81" t="s">
        <v>3568</v>
      </c>
      <c r="BD208" s="81" t="s">
        <v>3569</v>
      </c>
      <c r="BE208" s="81" t="s">
        <v>3570</v>
      </c>
      <c r="BF208" s="81" t="s">
        <v>3571</v>
      </c>
      <c r="BG208" s="81" t="s">
        <v>3572</v>
      </c>
      <c r="BH208" s="81" t="s">
        <v>4825</v>
      </c>
      <c r="BI208" s="81" t="s">
        <v>5129</v>
      </c>
      <c r="BJ208" s="81" t="s">
        <v>268</v>
      </c>
      <c r="BL208" s="81" t="s">
        <v>872</v>
      </c>
      <c r="BM208" s="81">
        <v>205</v>
      </c>
      <c r="BN208" s="81" t="str">
        <f t="shared" si="164"/>
        <v>='September 35'!C12</v>
      </c>
      <c r="BP208" s="81" t="str">
        <f t="shared" ca="1" si="172"/>
        <v/>
      </c>
      <c r="BR208" s="84">
        <f t="shared" si="166"/>
        <v>0</v>
      </c>
      <c r="BS208" s="84">
        <f t="shared" si="167"/>
        <v>0</v>
      </c>
      <c r="CA208" s="81" t="s">
        <v>2</v>
      </c>
      <c r="CB208" s="81">
        <f t="shared" si="173"/>
        <v>0</v>
      </c>
      <c r="CC208" s="81">
        <f t="shared" si="174"/>
        <v>0</v>
      </c>
      <c r="CD208" s="81" t="s">
        <v>16</v>
      </c>
      <c r="CE208" s="81">
        <f t="shared" si="175"/>
        <v>0</v>
      </c>
      <c r="CF208" s="81">
        <f t="shared" si="176"/>
        <v>0</v>
      </c>
      <c r="CG208" s="81" t="s">
        <v>5</v>
      </c>
      <c r="CH208" s="81">
        <f t="shared" si="177"/>
        <v>0</v>
      </c>
      <c r="CI208" s="81">
        <f t="shared" si="178"/>
        <v>0</v>
      </c>
      <c r="CJ208" s="81" t="s">
        <v>18</v>
      </c>
      <c r="CK208" s="81">
        <f t="shared" si="179"/>
        <v>0</v>
      </c>
      <c r="CL208" s="81">
        <f t="shared" si="180"/>
        <v>0</v>
      </c>
      <c r="CM208" s="81" t="s">
        <v>4</v>
      </c>
      <c r="CN208" s="81">
        <f t="shared" si="181"/>
        <v>0</v>
      </c>
      <c r="CO208" s="81">
        <f t="shared" si="182"/>
        <v>0</v>
      </c>
      <c r="CP208" s="81" t="s">
        <v>22</v>
      </c>
      <c r="CQ208" s="81">
        <f t="shared" si="183"/>
        <v>0</v>
      </c>
      <c r="CR208" s="81">
        <f t="shared" si="184"/>
        <v>0</v>
      </c>
      <c r="CS208" s="81" t="s">
        <v>21</v>
      </c>
      <c r="CT208" s="81">
        <f t="shared" si="185"/>
        <v>0</v>
      </c>
      <c r="CU208" s="81">
        <f t="shared" si="186"/>
        <v>0</v>
      </c>
      <c r="CV208" s="81" t="s">
        <v>998</v>
      </c>
      <c r="CW208" s="81">
        <f t="shared" si="187"/>
        <v>0</v>
      </c>
      <c r="CX208" s="81">
        <f t="shared" si="188"/>
        <v>0</v>
      </c>
      <c r="CY208" s="81" t="s">
        <v>19</v>
      </c>
      <c r="CZ208" s="81">
        <f t="shared" si="189"/>
        <v>0</v>
      </c>
      <c r="DA208" s="81">
        <f t="shared" si="190"/>
        <v>0</v>
      </c>
      <c r="DB208" s="81" t="s">
        <v>20</v>
      </c>
      <c r="DC208" s="81">
        <f t="shared" si="191"/>
        <v>0</v>
      </c>
      <c r="DD208" s="81">
        <f t="shared" si="192"/>
        <v>0</v>
      </c>
      <c r="DE208" s="81" t="s">
        <v>23</v>
      </c>
      <c r="DF208" s="81">
        <f t="shared" si="193"/>
        <v>0</v>
      </c>
      <c r="DG208" s="81">
        <f t="shared" si="194"/>
        <v>0</v>
      </c>
      <c r="DH208" s="81" t="s">
        <v>15</v>
      </c>
      <c r="DI208" s="81">
        <f t="shared" si="195"/>
        <v>0</v>
      </c>
      <c r="DJ208" s="81">
        <f t="shared" si="196"/>
        <v>0</v>
      </c>
      <c r="DK208" s="81" t="s">
        <v>5430</v>
      </c>
      <c r="DL208" s="81">
        <f t="shared" si="197"/>
        <v>0</v>
      </c>
      <c r="DM208" s="81">
        <f t="shared" si="198"/>
        <v>0</v>
      </c>
      <c r="DN208" s="81" t="s">
        <v>7</v>
      </c>
      <c r="DO208" s="81">
        <f t="shared" si="199"/>
        <v>0</v>
      </c>
      <c r="DP208" s="81">
        <f t="shared" si="200"/>
        <v>0</v>
      </c>
      <c r="DQ208" s="81" t="s">
        <v>1</v>
      </c>
      <c r="DR208" s="81">
        <f t="shared" si="201"/>
        <v>0</v>
      </c>
      <c r="DS208" s="81">
        <f t="shared" si="202"/>
        <v>0</v>
      </c>
    </row>
    <row r="209" spans="14:123" x14ac:dyDescent="0.3">
      <c r="N209" s="81">
        <f>IF(Q210=0,IF(Q209=0,,"x"),)</f>
        <v>0</v>
      </c>
      <c r="O209" s="81">
        <f t="shared" si="203"/>
        <v>0</v>
      </c>
      <c r="P209" s="81">
        <f t="shared" si="168"/>
        <v>0</v>
      </c>
      <c r="Q209" s="81">
        <f t="shared" si="204"/>
        <v>0</v>
      </c>
      <c r="R209" s="81">
        <f>IF(W209="",,SUM($W$4:W209))</f>
        <v>0</v>
      </c>
      <c r="S209" s="81">
        <f t="shared" si="169"/>
        <v>0</v>
      </c>
      <c r="T209" s="81">
        <f t="shared" si="205"/>
        <v>0</v>
      </c>
      <c r="U209" s="81">
        <f t="shared" si="170"/>
        <v>0</v>
      </c>
      <c r="AE209" s="81">
        <v>209</v>
      </c>
      <c r="AI209" s="81">
        <v>206</v>
      </c>
      <c r="AJ209" s="81" t="str">
        <f t="shared" si="161"/>
        <v>Oktober 35</v>
      </c>
      <c r="AK209" s="81" t="str">
        <f t="shared" ref="AK209:AK272" si="207">AK197</f>
        <v>Oktober</v>
      </c>
      <c r="AL209" s="81">
        <f t="shared" si="206"/>
        <v>35</v>
      </c>
      <c r="AM209" s="81" t="str">
        <f t="shared" si="171"/>
        <v>='Oktober 35'!</v>
      </c>
      <c r="AN209" s="81" t="str">
        <f t="shared" si="165"/>
        <v>='Oktober 35'!C27</v>
      </c>
      <c r="AO209" s="81" t="s">
        <v>1209</v>
      </c>
      <c r="AR209" s="81" t="s">
        <v>269</v>
      </c>
      <c r="AS209" s="83" t="str">
        <f t="shared" si="162"/>
        <v>='Oktober 35'!C6</v>
      </c>
      <c r="AT209" s="83">
        <f t="shared" si="163"/>
        <v>0</v>
      </c>
      <c r="AV209" s="81" t="s">
        <v>570</v>
      </c>
      <c r="AW209" s="81" t="s">
        <v>3573</v>
      </c>
      <c r="AX209" s="81" t="s">
        <v>3574</v>
      </c>
      <c r="AY209" s="81" t="s">
        <v>3575</v>
      </c>
      <c r="AZ209" s="81" t="s">
        <v>3576</v>
      </c>
      <c r="BA209" s="81" t="s">
        <v>3577</v>
      </c>
      <c r="BB209" s="81" t="s">
        <v>3578</v>
      </c>
      <c r="BC209" s="81" t="s">
        <v>3579</v>
      </c>
      <c r="BD209" s="81" t="s">
        <v>3580</v>
      </c>
      <c r="BE209" s="81" t="s">
        <v>3581</v>
      </c>
      <c r="BF209" s="81" t="s">
        <v>3582</v>
      </c>
      <c r="BG209" s="81" t="s">
        <v>3583</v>
      </c>
      <c r="BH209" s="81" t="s">
        <v>4826</v>
      </c>
      <c r="BI209" s="81" t="s">
        <v>5130</v>
      </c>
      <c r="BJ209" s="81" t="s">
        <v>269</v>
      </c>
      <c r="BL209" s="81" t="s">
        <v>873</v>
      </c>
      <c r="BM209" s="81">
        <v>206</v>
      </c>
      <c r="BN209" s="81" t="str">
        <f t="shared" si="164"/>
        <v>='Oktober 35'!C12</v>
      </c>
      <c r="BP209" s="81" t="str">
        <f t="shared" ca="1" si="172"/>
        <v/>
      </c>
      <c r="BR209" s="84">
        <f t="shared" si="166"/>
        <v>0</v>
      </c>
      <c r="BS209" s="84">
        <f t="shared" si="167"/>
        <v>0</v>
      </c>
      <c r="CA209" s="81" t="s">
        <v>2</v>
      </c>
      <c r="CB209" s="81">
        <f t="shared" si="173"/>
        <v>0</v>
      </c>
      <c r="CC209" s="81">
        <f t="shared" si="174"/>
        <v>0</v>
      </c>
      <c r="CD209" s="81" t="s">
        <v>16</v>
      </c>
      <c r="CE209" s="81">
        <f t="shared" si="175"/>
        <v>0</v>
      </c>
      <c r="CF209" s="81">
        <f t="shared" si="176"/>
        <v>0</v>
      </c>
      <c r="CG209" s="81" t="s">
        <v>5</v>
      </c>
      <c r="CH209" s="81">
        <f t="shared" si="177"/>
        <v>0</v>
      </c>
      <c r="CI209" s="81">
        <f t="shared" si="178"/>
        <v>0</v>
      </c>
      <c r="CJ209" s="81" t="s">
        <v>18</v>
      </c>
      <c r="CK209" s="81">
        <f t="shared" si="179"/>
        <v>0</v>
      </c>
      <c r="CL209" s="81">
        <f t="shared" si="180"/>
        <v>0</v>
      </c>
      <c r="CM209" s="81" t="s">
        <v>4</v>
      </c>
      <c r="CN209" s="81">
        <f t="shared" si="181"/>
        <v>0</v>
      </c>
      <c r="CO209" s="81">
        <f t="shared" si="182"/>
        <v>0</v>
      </c>
      <c r="CP209" s="81" t="s">
        <v>22</v>
      </c>
      <c r="CQ209" s="81">
        <f t="shared" si="183"/>
        <v>0</v>
      </c>
      <c r="CR209" s="81">
        <f t="shared" si="184"/>
        <v>0</v>
      </c>
      <c r="CS209" s="81" t="s">
        <v>21</v>
      </c>
      <c r="CT209" s="81">
        <f t="shared" si="185"/>
        <v>0</v>
      </c>
      <c r="CU209" s="81">
        <f t="shared" si="186"/>
        <v>0</v>
      </c>
      <c r="CV209" s="81" t="s">
        <v>998</v>
      </c>
      <c r="CW209" s="81">
        <f t="shared" si="187"/>
        <v>0</v>
      </c>
      <c r="CX209" s="81">
        <f t="shared" si="188"/>
        <v>0</v>
      </c>
      <c r="CY209" s="81" t="s">
        <v>19</v>
      </c>
      <c r="CZ209" s="81">
        <f t="shared" si="189"/>
        <v>0</v>
      </c>
      <c r="DA209" s="81">
        <f t="shared" si="190"/>
        <v>0</v>
      </c>
      <c r="DB209" s="81" t="s">
        <v>20</v>
      </c>
      <c r="DC209" s="81">
        <f t="shared" si="191"/>
        <v>0</v>
      </c>
      <c r="DD209" s="81">
        <f t="shared" si="192"/>
        <v>0</v>
      </c>
      <c r="DE209" s="81" t="s">
        <v>23</v>
      </c>
      <c r="DF209" s="81">
        <f t="shared" si="193"/>
        <v>0</v>
      </c>
      <c r="DG209" s="81">
        <f t="shared" si="194"/>
        <v>0</v>
      </c>
      <c r="DH209" s="81" t="s">
        <v>15</v>
      </c>
      <c r="DI209" s="81">
        <f t="shared" si="195"/>
        <v>0</v>
      </c>
      <c r="DJ209" s="81">
        <f t="shared" si="196"/>
        <v>0</v>
      </c>
      <c r="DK209" s="81" t="s">
        <v>5431</v>
      </c>
      <c r="DL209" s="81">
        <f t="shared" si="197"/>
        <v>0</v>
      </c>
      <c r="DM209" s="81">
        <f t="shared" si="198"/>
        <v>0</v>
      </c>
      <c r="DN209" s="81" t="s">
        <v>7</v>
      </c>
      <c r="DO209" s="81">
        <f t="shared" si="199"/>
        <v>0</v>
      </c>
      <c r="DP209" s="81">
        <f t="shared" si="200"/>
        <v>0</v>
      </c>
      <c r="DQ209" s="81" t="s">
        <v>1</v>
      </c>
      <c r="DR209" s="81">
        <f t="shared" si="201"/>
        <v>0</v>
      </c>
      <c r="DS209" s="81">
        <f t="shared" si="202"/>
        <v>0</v>
      </c>
    </row>
    <row r="210" spans="14:123" x14ac:dyDescent="0.3">
      <c r="N210" s="81">
        <f>IF(Q211=0,IF(Q210=0,,"x"),)</f>
        <v>0</v>
      </c>
      <c r="O210" s="81">
        <f t="shared" si="203"/>
        <v>0</v>
      </c>
      <c r="P210" s="81">
        <f t="shared" si="168"/>
        <v>0</v>
      </c>
      <c r="Q210" s="81">
        <f t="shared" si="204"/>
        <v>0</v>
      </c>
      <c r="R210" s="81">
        <f>IF(W210="",,SUM($W$4:W210))</f>
        <v>0</v>
      </c>
      <c r="S210" s="81">
        <f t="shared" si="169"/>
        <v>0</v>
      </c>
      <c r="T210" s="81">
        <f t="shared" si="205"/>
        <v>0</v>
      </c>
      <c r="U210" s="81">
        <f t="shared" si="170"/>
        <v>0</v>
      </c>
      <c r="AE210" s="81">
        <v>210</v>
      </c>
      <c r="AI210" s="81">
        <v>207</v>
      </c>
      <c r="AJ210" s="81" t="str">
        <f t="shared" si="161"/>
        <v>November 35</v>
      </c>
      <c r="AK210" s="81" t="str">
        <f t="shared" si="207"/>
        <v>November</v>
      </c>
      <c r="AL210" s="81">
        <f t="shared" si="206"/>
        <v>35</v>
      </c>
      <c r="AM210" s="81" t="str">
        <f t="shared" si="171"/>
        <v>='November 35'!</v>
      </c>
      <c r="AN210" s="81" t="str">
        <f t="shared" si="165"/>
        <v>='November 35'!C27</v>
      </c>
      <c r="AO210" s="81" t="s">
        <v>1210</v>
      </c>
      <c r="AR210" s="81" t="s">
        <v>270</v>
      </c>
      <c r="AS210" s="83" t="str">
        <f t="shared" si="162"/>
        <v>='November 35'!C6</v>
      </c>
      <c r="AT210" s="83">
        <f t="shared" si="163"/>
        <v>0</v>
      </c>
      <c r="AV210" s="81" t="s">
        <v>571</v>
      </c>
      <c r="AW210" s="81" t="s">
        <v>3584</v>
      </c>
      <c r="AX210" s="81" t="s">
        <v>3585</v>
      </c>
      <c r="AY210" s="81" t="s">
        <v>3586</v>
      </c>
      <c r="AZ210" s="81" t="s">
        <v>3587</v>
      </c>
      <c r="BA210" s="81" t="s">
        <v>3588</v>
      </c>
      <c r="BB210" s="81" t="s">
        <v>3589</v>
      </c>
      <c r="BC210" s="81" t="s">
        <v>3590</v>
      </c>
      <c r="BD210" s="81" t="s">
        <v>3591</v>
      </c>
      <c r="BE210" s="81" t="s">
        <v>3592</v>
      </c>
      <c r="BF210" s="81" t="s">
        <v>3593</v>
      </c>
      <c r="BG210" s="81" t="s">
        <v>3594</v>
      </c>
      <c r="BH210" s="81" t="s">
        <v>4827</v>
      </c>
      <c r="BI210" s="81" t="s">
        <v>5131</v>
      </c>
      <c r="BJ210" s="81" t="s">
        <v>270</v>
      </c>
      <c r="BL210" s="81" t="s">
        <v>874</v>
      </c>
      <c r="BM210" s="81">
        <v>207</v>
      </c>
      <c r="BN210" s="81" t="str">
        <f t="shared" si="164"/>
        <v>='November 35'!C12</v>
      </c>
      <c r="BP210" s="81" t="str">
        <f t="shared" ca="1" si="172"/>
        <v/>
      </c>
      <c r="BR210" s="84">
        <f t="shared" si="166"/>
        <v>0</v>
      </c>
      <c r="BS210" s="84">
        <f t="shared" si="167"/>
        <v>0</v>
      </c>
      <c r="CA210" s="81" t="s">
        <v>2</v>
      </c>
      <c r="CB210" s="81">
        <f t="shared" si="173"/>
        <v>0</v>
      </c>
      <c r="CC210" s="81">
        <f t="shared" si="174"/>
        <v>0</v>
      </c>
      <c r="CD210" s="81" t="s">
        <v>16</v>
      </c>
      <c r="CE210" s="81">
        <f t="shared" si="175"/>
        <v>0</v>
      </c>
      <c r="CF210" s="81">
        <f t="shared" si="176"/>
        <v>0</v>
      </c>
      <c r="CG210" s="81" t="s">
        <v>5</v>
      </c>
      <c r="CH210" s="81">
        <f t="shared" si="177"/>
        <v>0</v>
      </c>
      <c r="CI210" s="81">
        <f t="shared" si="178"/>
        <v>0</v>
      </c>
      <c r="CJ210" s="81" t="s">
        <v>18</v>
      </c>
      <c r="CK210" s="81">
        <f t="shared" si="179"/>
        <v>0</v>
      </c>
      <c r="CL210" s="81">
        <f t="shared" si="180"/>
        <v>0</v>
      </c>
      <c r="CM210" s="81" t="s">
        <v>4</v>
      </c>
      <c r="CN210" s="81">
        <f t="shared" si="181"/>
        <v>0</v>
      </c>
      <c r="CO210" s="81">
        <f t="shared" si="182"/>
        <v>0</v>
      </c>
      <c r="CP210" s="81" t="s">
        <v>22</v>
      </c>
      <c r="CQ210" s="81">
        <f t="shared" si="183"/>
        <v>0</v>
      </c>
      <c r="CR210" s="81">
        <f t="shared" si="184"/>
        <v>0</v>
      </c>
      <c r="CS210" s="81" t="s">
        <v>21</v>
      </c>
      <c r="CT210" s="81">
        <f t="shared" si="185"/>
        <v>0</v>
      </c>
      <c r="CU210" s="81">
        <f t="shared" si="186"/>
        <v>0</v>
      </c>
      <c r="CV210" s="81" t="s">
        <v>998</v>
      </c>
      <c r="CW210" s="81">
        <f t="shared" si="187"/>
        <v>0</v>
      </c>
      <c r="CX210" s="81">
        <f t="shared" si="188"/>
        <v>0</v>
      </c>
      <c r="CY210" s="81" t="s">
        <v>19</v>
      </c>
      <c r="CZ210" s="81">
        <f t="shared" si="189"/>
        <v>0</v>
      </c>
      <c r="DA210" s="81">
        <f t="shared" si="190"/>
        <v>0</v>
      </c>
      <c r="DB210" s="81" t="s">
        <v>20</v>
      </c>
      <c r="DC210" s="81">
        <f t="shared" si="191"/>
        <v>0</v>
      </c>
      <c r="DD210" s="81">
        <f t="shared" si="192"/>
        <v>0</v>
      </c>
      <c r="DE210" s="81" t="s">
        <v>23</v>
      </c>
      <c r="DF210" s="81">
        <f t="shared" si="193"/>
        <v>0</v>
      </c>
      <c r="DG210" s="81">
        <f t="shared" si="194"/>
        <v>0</v>
      </c>
      <c r="DH210" s="81" t="s">
        <v>15</v>
      </c>
      <c r="DI210" s="81">
        <f t="shared" si="195"/>
        <v>0</v>
      </c>
      <c r="DJ210" s="81">
        <f t="shared" si="196"/>
        <v>0</v>
      </c>
      <c r="DK210" s="81" t="s">
        <v>5432</v>
      </c>
      <c r="DL210" s="81">
        <f t="shared" si="197"/>
        <v>0</v>
      </c>
      <c r="DM210" s="81">
        <f t="shared" si="198"/>
        <v>0</v>
      </c>
      <c r="DN210" s="81" t="s">
        <v>7</v>
      </c>
      <c r="DO210" s="81">
        <f t="shared" si="199"/>
        <v>0</v>
      </c>
      <c r="DP210" s="81">
        <f t="shared" si="200"/>
        <v>0</v>
      </c>
      <c r="DQ210" s="81" t="s">
        <v>1</v>
      </c>
      <c r="DR210" s="81">
        <f t="shared" si="201"/>
        <v>0</v>
      </c>
      <c r="DS210" s="81">
        <f t="shared" si="202"/>
        <v>0</v>
      </c>
    </row>
    <row r="211" spans="14:123" x14ac:dyDescent="0.3">
      <c r="N211" s="81">
        <f>IF(Q212=0,IF(Q211=0,,"x"),)</f>
        <v>0</v>
      </c>
      <c r="O211" s="81">
        <f t="shared" si="203"/>
        <v>0</v>
      </c>
      <c r="P211" s="81">
        <f t="shared" si="168"/>
        <v>0</v>
      </c>
      <c r="Q211" s="81">
        <f t="shared" si="204"/>
        <v>0</v>
      </c>
      <c r="R211" s="81">
        <f>IF(W211="",,SUM($W$4:W211))</f>
        <v>0</v>
      </c>
      <c r="S211" s="81">
        <f t="shared" si="169"/>
        <v>0</v>
      </c>
      <c r="T211" s="81">
        <f t="shared" si="205"/>
        <v>0</v>
      </c>
      <c r="U211" s="81">
        <f t="shared" si="170"/>
        <v>0</v>
      </c>
      <c r="AE211" s="81">
        <v>211</v>
      </c>
      <c r="AI211" s="81">
        <v>208</v>
      </c>
      <c r="AJ211" s="81" t="str">
        <f t="shared" si="161"/>
        <v>December 35</v>
      </c>
      <c r="AK211" s="81" t="str">
        <f t="shared" si="207"/>
        <v>December</v>
      </c>
      <c r="AL211" s="81">
        <f t="shared" si="206"/>
        <v>35</v>
      </c>
      <c r="AM211" s="81" t="str">
        <f t="shared" si="171"/>
        <v>='December 35'!</v>
      </c>
      <c r="AN211" s="81" t="str">
        <f t="shared" si="165"/>
        <v>='December 35'!C27</v>
      </c>
      <c r="AO211" s="81" t="s">
        <v>1211</v>
      </c>
      <c r="AR211" s="81" t="s">
        <v>271</v>
      </c>
      <c r="AS211" s="83" t="str">
        <f t="shared" si="162"/>
        <v>='December 35'!C6</v>
      </c>
      <c r="AT211" s="83">
        <f t="shared" si="163"/>
        <v>0</v>
      </c>
      <c r="AV211" s="81" t="s">
        <v>572</v>
      </c>
      <c r="AW211" s="81" t="s">
        <v>3595</v>
      </c>
      <c r="AX211" s="81" t="s">
        <v>3596</v>
      </c>
      <c r="AY211" s="81" t="s">
        <v>3597</v>
      </c>
      <c r="AZ211" s="81" t="s">
        <v>3598</v>
      </c>
      <c r="BA211" s="81" t="s">
        <v>3599</v>
      </c>
      <c r="BB211" s="81" t="s">
        <v>3600</v>
      </c>
      <c r="BC211" s="81" t="s">
        <v>3601</v>
      </c>
      <c r="BD211" s="81" t="s">
        <v>3602</v>
      </c>
      <c r="BE211" s="81" t="s">
        <v>3603</v>
      </c>
      <c r="BF211" s="81" t="s">
        <v>3604</v>
      </c>
      <c r="BG211" s="81" t="s">
        <v>3605</v>
      </c>
      <c r="BH211" s="81" t="s">
        <v>4828</v>
      </c>
      <c r="BI211" s="81" t="s">
        <v>5132</v>
      </c>
      <c r="BJ211" s="81" t="s">
        <v>271</v>
      </c>
      <c r="BL211" s="81" t="s">
        <v>875</v>
      </c>
      <c r="BM211" s="81">
        <v>208</v>
      </c>
      <c r="BN211" s="81" t="str">
        <f t="shared" si="164"/>
        <v>='December 35'!C12</v>
      </c>
      <c r="BP211" s="81" t="str">
        <f t="shared" ca="1" si="172"/>
        <v/>
      </c>
      <c r="BR211" s="84">
        <f t="shared" si="166"/>
        <v>0</v>
      </c>
      <c r="BS211" s="84">
        <f t="shared" si="167"/>
        <v>0</v>
      </c>
      <c r="CA211" s="81" t="s">
        <v>2</v>
      </c>
      <c r="CB211" s="81">
        <f t="shared" si="173"/>
        <v>0</v>
      </c>
      <c r="CC211" s="81">
        <f t="shared" si="174"/>
        <v>0</v>
      </c>
      <c r="CD211" s="81" t="s">
        <v>16</v>
      </c>
      <c r="CE211" s="81">
        <f t="shared" si="175"/>
        <v>0</v>
      </c>
      <c r="CF211" s="81">
        <f t="shared" si="176"/>
        <v>0</v>
      </c>
      <c r="CG211" s="81" t="s">
        <v>5</v>
      </c>
      <c r="CH211" s="81">
        <f t="shared" si="177"/>
        <v>0</v>
      </c>
      <c r="CI211" s="81">
        <f t="shared" si="178"/>
        <v>0</v>
      </c>
      <c r="CJ211" s="81" t="s">
        <v>18</v>
      </c>
      <c r="CK211" s="81">
        <f t="shared" si="179"/>
        <v>0</v>
      </c>
      <c r="CL211" s="81">
        <f t="shared" si="180"/>
        <v>0</v>
      </c>
      <c r="CM211" s="81" t="s">
        <v>4</v>
      </c>
      <c r="CN211" s="81">
        <f t="shared" si="181"/>
        <v>0</v>
      </c>
      <c r="CO211" s="81">
        <f t="shared" si="182"/>
        <v>0</v>
      </c>
      <c r="CP211" s="81" t="s">
        <v>22</v>
      </c>
      <c r="CQ211" s="81">
        <f t="shared" si="183"/>
        <v>0</v>
      </c>
      <c r="CR211" s="81">
        <f t="shared" si="184"/>
        <v>0</v>
      </c>
      <c r="CS211" s="81" t="s">
        <v>21</v>
      </c>
      <c r="CT211" s="81">
        <f t="shared" si="185"/>
        <v>0</v>
      </c>
      <c r="CU211" s="81">
        <f t="shared" si="186"/>
        <v>0</v>
      </c>
      <c r="CV211" s="81" t="s">
        <v>998</v>
      </c>
      <c r="CW211" s="81">
        <f t="shared" si="187"/>
        <v>0</v>
      </c>
      <c r="CX211" s="81">
        <f t="shared" si="188"/>
        <v>0</v>
      </c>
      <c r="CY211" s="81" t="s">
        <v>19</v>
      </c>
      <c r="CZ211" s="81">
        <f t="shared" si="189"/>
        <v>0</v>
      </c>
      <c r="DA211" s="81">
        <f t="shared" si="190"/>
        <v>0</v>
      </c>
      <c r="DB211" s="81" t="s">
        <v>20</v>
      </c>
      <c r="DC211" s="81">
        <f t="shared" si="191"/>
        <v>0</v>
      </c>
      <c r="DD211" s="81">
        <f t="shared" si="192"/>
        <v>0</v>
      </c>
      <c r="DE211" s="81" t="s">
        <v>23</v>
      </c>
      <c r="DF211" s="81">
        <f t="shared" si="193"/>
        <v>0</v>
      </c>
      <c r="DG211" s="81">
        <f t="shared" si="194"/>
        <v>0</v>
      </c>
      <c r="DH211" s="81" t="s">
        <v>15</v>
      </c>
      <c r="DI211" s="81">
        <f t="shared" si="195"/>
        <v>0</v>
      </c>
      <c r="DJ211" s="81">
        <f t="shared" si="196"/>
        <v>0</v>
      </c>
      <c r="DK211" s="81" t="s">
        <v>5433</v>
      </c>
      <c r="DL211" s="81">
        <f t="shared" si="197"/>
        <v>0</v>
      </c>
      <c r="DM211" s="81">
        <f t="shared" si="198"/>
        <v>0</v>
      </c>
      <c r="DN211" s="81" t="s">
        <v>7</v>
      </c>
      <c r="DO211" s="81">
        <f t="shared" si="199"/>
        <v>0</v>
      </c>
      <c r="DP211" s="81">
        <f t="shared" si="200"/>
        <v>0</v>
      </c>
      <c r="DQ211" s="81" t="s">
        <v>1</v>
      </c>
      <c r="DR211" s="81">
        <f t="shared" si="201"/>
        <v>0</v>
      </c>
      <c r="DS211" s="81">
        <f t="shared" si="202"/>
        <v>0</v>
      </c>
    </row>
    <row r="212" spans="14:123" x14ac:dyDescent="0.3">
      <c r="N212" s="81">
        <f>IF(Q213=0,IF(Q212=0,,"x"),)</f>
        <v>0</v>
      </c>
      <c r="O212" s="81">
        <f t="shared" si="203"/>
        <v>0</v>
      </c>
      <c r="P212" s="81">
        <f t="shared" si="168"/>
        <v>0</v>
      </c>
      <c r="Q212" s="81">
        <f t="shared" si="204"/>
        <v>0</v>
      </c>
      <c r="R212" s="81">
        <f>IF(W212="",,SUM($W$4:W212))</f>
        <v>0</v>
      </c>
      <c r="S212" s="81">
        <f t="shared" si="169"/>
        <v>0</v>
      </c>
      <c r="T212" s="81">
        <f t="shared" si="205"/>
        <v>0</v>
      </c>
      <c r="U212" s="81">
        <f t="shared" si="170"/>
        <v>0</v>
      </c>
      <c r="AE212" s="81">
        <v>212</v>
      </c>
      <c r="AI212" s="81">
        <v>209</v>
      </c>
      <c r="AJ212" s="81" t="str">
        <f t="shared" si="161"/>
        <v>Januari 36</v>
      </c>
      <c r="AK212" s="81" t="str">
        <f t="shared" si="207"/>
        <v>Januari</v>
      </c>
      <c r="AL212" s="81">
        <f t="shared" si="206"/>
        <v>36</v>
      </c>
      <c r="AM212" s="81" t="str">
        <f t="shared" si="171"/>
        <v>='Januari 36'!</v>
      </c>
      <c r="AN212" s="81" t="str">
        <f t="shared" si="165"/>
        <v>='Januari 36'!C27</v>
      </c>
      <c r="AO212" s="81" t="s">
        <v>1212</v>
      </c>
      <c r="AR212" s="81" t="s">
        <v>272</v>
      </c>
      <c r="AS212" s="83" t="str">
        <f t="shared" si="162"/>
        <v>='Januari 36'!C6</v>
      </c>
      <c r="AT212" s="83">
        <f t="shared" si="163"/>
        <v>0</v>
      </c>
      <c r="AV212" s="81" t="s">
        <v>573</v>
      </c>
      <c r="AW212" s="81" t="s">
        <v>3606</v>
      </c>
      <c r="AX212" s="81" t="s">
        <v>3607</v>
      </c>
      <c r="AY212" s="81" t="s">
        <v>3608</v>
      </c>
      <c r="AZ212" s="81" t="s">
        <v>3609</v>
      </c>
      <c r="BA212" s="81" t="s">
        <v>3610</v>
      </c>
      <c r="BB212" s="81" t="s">
        <v>3611</v>
      </c>
      <c r="BC212" s="81" t="s">
        <v>3612</v>
      </c>
      <c r="BD212" s="81" t="s">
        <v>3613</v>
      </c>
      <c r="BE212" s="81" t="s">
        <v>3614</v>
      </c>
      <c r="BF212" s="81" t="s">
        <v>3615</v>
      </c>
      <c r="BG212" s="81" t="s">
        <v>3616</v>
      </c>
      <c r="BH212" s="81" t="s">
        <v>4829</v>
      </c>
      <c r="BI212" s="81" t="s">
        <v>5133</v>
      </c>
      <c r="BJ212" s="81" t="s">
        <v>272</v>
      </c>
      <c r="BL212" s="81" t="s">
        <v>876</v>
      </c>
      <c r="BM212" s="81">
        <v>209</v>
      </c>
      <c r="BN212" s="81" t="str">
        <f t="shared" si="164"/>
        <v>='Januari 36'!C12</v>
      </c>
      <c r="BP212" s="81" t="str">
        <f t="shared" ca="1" si="172"/>
        <v/>
      </c>
      <c r="BR212" s="84">
        <f t="shared" si="166"/>
        <v>0</v>
      </c>
      <c r="BS212" s="84">
        <f t="shared" si="167"/>
        <v>0</v>
      </c>
      <c r="CA212" s="81" t="s">
        <v>2</v>
      </c>
      <c r="CB212" s="81">
        <f t="shared" si="173"/>
        <v>0</v>
      </c>
      <c r="CC212" s="81">
        <f t="shared" si="174"/>
        <v>0</v>
      </c>
      <c r="CD212" s="81" t="s">
        <v>16</v>
      </c>
      <c r="CE212" s="81">
        <f t="shared" si="175"/>
        <v>0</v>
      </c>
      <c r="CF212" s="81">
        <f t="shared" si="176"/>
        <v>0</v>
      </c>
      <c r="CG212" s="81" t="s">
        <v>5</v>
      </c>
      <c r="CH212" s="81">
        <f t="shared" si="177"/>
        <v>0</v>
      </c>
      <c r="CI212" s="81">
        <f t="shared" si="178"/>
        <v>0</v>
      </c>
      <c r="CJ212" s="81" t="s">
        <v>18</v>
      </c>
      <c r="CK212" s="81">
        <f t="shared" si="179"/>
        <v>0</v>
      </c>
      <c r="CL212" s="81">
        <f t="shared" si="180"/>
        <v>0</v>
      </c>
      <c r="CM212" s="81" t="s">
        <v>4</v>
      </c>
      <c r="CN212" s="81">
        <f t="shared" si="181"/>
        <v>0</v>
      </c>
      <c r="CO212" s="81">
        <f t="shared" si="182"/>
        <v>0</v>
      </c>
      <c r="CP212" s="81" t="s">
        <v>22</v>
      </c>
      <c r="CQ212" s="81">
        <f t="shared" si="183"/>
        <v>0</v>
      </c>
      <c r="CR212" s="81">
        <f t="shared" si="184"/>
        <v>0</v>
      </c>
      <c r="CS212" s="81" t="s">
        <v>21</v>
      </c>
      <c r="CT212" s="81">
        <f t="shared" si="185"/>
        <v>0</v>
      </c>
      <c r="CU212" s="81">
        <f t="shared" si="186"/>
        <v>0</v>
      </c>
      <c r="CV212" s="81" t="s">
        <v>998</v>
      </c>
      <c r="CW212" s="81">
        <f t="shared" si="187"/>
        <v>0</v>
      </c>
      <c r="CX212" s="81">
        <f t="shared" si="188"/>
        <v>0</v>
      </c>
      <c r="CY212" s="81" t="s">
        <v>19</v>
      </c>
      <c r="CZ212" s="81">
        <f t="shared" si="189"/>
        <v>0</v>
      </c>
      <c r="DA212" s="81">
        <f t="shared" si="190"/>
        <v>0</v>
      </c>
      <c r="DB212" s="81" t="s">
        <v>20</v>
      </c>
      <c r="DC212" s="81">
        <f t="shared" si="191"/>
        <v>0</v>
      </c>
      <c r="DD212" s="81">
        <f t="shared" si="192"/>
        <v>0</v>
      </c>
      <c r="DE212" s="81" t="s">
        <v>23</v>
      </c>
      <c r="DF212" s="81">
        <f t="shared" si="193"/>
        <v>0</v>
      </c>
      <c r="DG212" s="81">
        <f t="shared" si="194"/>
        <v>0</v>
      </c>
      <c r="DH212" s="81" t="s">
        <v>15</v>
      </c>
      <c r="DI212" s="81">
        <f t="shared" si="195"/>
        <v>0</v>
      </c>
      <c r="DJ212" s="81">
        <f t="shared" si="196"/>
        <v>0</v>
      </c>
      <c r="DK212" s="81" t="s">
        <v>5434</v>
      </c>
      <c r="DL212" s="81">
        <f t="shared" si="197"/>
        <v>0</v>
      </c>
      <c r="DM212" s="81">
        <f t="shared" si="198"/>
        <v>0</v>
      </c>
      <c r="DN212" s="81" t="s">
        <v>7</v>
      </c>
      <c r="DO212" s="81">
        <f t="shared" si="199"/>
        <v>0</v>
      </c>
      <c r="DP212" s="81">
        <f t="shared" si="200"/>
        <v>0</v>
      </c>
      <c r="DQ212" s="81" t="s">
        <v>1</v>
      </c>
      <c r="DR212" s="81">
        <f t="shared" si="201"/>
        <v>0</v>
      </c>
      <c r="DS212" s="81">
        <f t="shared" si="202"/>
        <v>0</v>
      </c>
    </row>
    <row r="213" spans="14:123" x14ac:dyDescent="0.3">
      <c r="N213" s="81">
        <f>IF(Q214=0,IF(Q213=0,,"x"),)</f>
        <v>0</v>
      </c>
      <c r="O213" s="81">
        <f t="shared" si="203"/>
        <v>0</v>
      </c>
      <c r="P213" s="81">
        <f t="shared" si="168"/>
        <v>0</v>
      </c>
      <c r="Q213" s="81">
        <f t="shared" si="204"/>
        <v>0</v>
      </c>
      <c r="R213" s="81">
        <f>IF(W213="",,SUM($W$4:W213))</f>
        <v>0</v>
      </c>
      <c r="S213" s="81">
        <f t="shared" si="169"/>
        <v>0</v>
      </c>
      <c r="T213" s="81">
        <f t="shared" si="205"/>
        <v>0</v>
      </c>
      <c r="U213" s="81">
        <f t="shared" si="170"/>
        <v>0</v>
      </c>
      <c r="AE213" s="81">
        <v>213</v>
      </c>
      <c r="AI213" s="81">
        <v>210</v>
      </c>
      <c r="AJ213" s="81" t="str">
        <f t="shared" si="161"/>
        <v>Februari 36</v>
      </c>
      <c r="AK213" s="81" t="str">
        <f t="shared" si="207"/>
        <v>Februari</v>
      </c>
      <c r="AL213" s="81">
        <f t="shared" si="206"/>
        <v>36</v>
      </c>
      <c r="AM213" s="81" t="str">
        <f t="shared" si="171"/>
        <v>='Februari 36'!</v>
      </c>
      <c r="AN213" s="81" t="str">
        <f t="shared" si="165"/>
        <v>='Februari 36'!C27</v>
      </c>
      <c r="AO213" s="81" t="s">
        <v>1213</v>
      </c>
      <c r="AR213" s="81" t="s">
        <v>273</v>
      </c>
      <c r="AS213" s="83" t="str">
        <f t="shared" si="162"/>
        <v>='Februari 36'!C6</v>
      </c>
      <c r="AT213" s="83">
        <f t="shared" si="163"/>
        <v>0</v>
      </c>
      <c r="AV213" s="81" t="s">
        <v>574</v>
      </c>
      <c r="AW213" s="81" t="s">
        <v>3617</v>
      </c>
      <c r="AX213" s="81" t="s">
        <v>3618</v>
      </c>
      <c r="AY213" s="81" t="s">
        <v>3619</v>
      </c>
      <c r="AZ213" s="81" t="s">
        <v>3620</v>
      </c>
      <c r="BA213" s="81" t="s">
        <v>3621</v>
      </c>
      <c r="BB213" s="81" t="s">
        <v>3622</v>
      </c>
      <c r="BC213" s="81" t="s">
        <v>3623</v>
      </c>
      <c r="BD213" s="81" t="s">
        <v>3624</v>
      </c>
      <c r="BE213" s="81" t="s">
        <v>3625</v>
      </c>
      <c r="BF213" s="81" t="s">
        <v>3626</v>
      </c>
      <c r="BG213" s="81" t="s">
        <v>3627</v>
      </c>
      <c r="BH213" s="81" t="s">
        <v>4830</v>
      </c>
      <c r="BI213" s="81" t="s">
        <v>5134</v>
      </c>
      <c r="BJ213" s="81" t="s">
        <v>273</v>
      </c>
      <c r="BL213" s="81" t="s">
        <v>877</v>
      </c>
      <c r="BM213" s="81">
        <v>210</v>
      </c>
      <c r="BN213" s="81" t="str">
        <f t="shared" si="164"/>
        <v>='Februari 36'!C12</v>
      </c>
      <c r="BP213" s="81" t="str">
        <f t="shared" ca="1" si="172"/>
        <v/>
      </c>
      <c r="BR213" s="84">
        <f t="shared" si="166"/>
        <v>0</v>
      </c>
      <c r="BS213" s="84">
        <f t="shared" si="167"/>
        <v>0</v>
      </c>
      <c r="CA213" s="81" t="s">
        <v>2</v>
      </c>
      <c r="CB213" s="81">
        <f t="shared" si="173"/>
        <v>0</v>
      </c>
      <c r="CC213" s="81">
        <f t="shared" si="174"/>
        <v>0</v>
      </c>
      <c r="CD213" s="81" t="s">
        <v>16</v>
      </c>
      <c r="CE213" s="81">
        <f t="shared" si="175"/>
        <v>0</v>
      </c>
      <c r="CF213" s="81">
        <f t="shared" si="176"/>
        <v>0</v>
      </c>
      <c r="CG213" s="81" t="s">
        <v>5</v>
      </c>
      <c r="CH213" s="81">
        <f t="shared" si="177"/>
        <v>0</v>
      </c>
      <c r="CI213" s="81">
        <f t="shared" si="178"/>
        <v>0</v>
      </c>
      <c r="CJ213" s="81" t="s">
        <v>18</v>
      </c>
      <c r="CK213" s="81">
        <f t="shared" si="179"/>
        <v>0</v>
      </c>
      <c r="CL213" s="81">
        <f t="shared" si="180"/>
        <v>0</v>
      </c>
      <c r="CM213" s="81" t="s">
        <v>4</v>
      </c>
      <c r="CN213" s="81">
        <f t="shared" si="181"/>
        <v>0</v>
      </c>
      <c r="CO213" s="81">
        <f t="shared" si="182"/>
        <v>0</v>
      </c>
      <c r="CP213" s="81" t="s">
        <v>22</v>
      </c>
      <c r="CQ213" s="81">
        <f t="shared" si="183"/>
        <v>0</v>
      </c>
      <c r="CR213" s="81">
        <f t="shared" si="184"/>
        <v>0</v>
      </c>
      <c r="CS213" s="81" t="s">
        <v>21</v>
      </c>
      <c r="CT213" s="81">
        <f t="shared" si="185"/>
        <v>0</v>
      </c>
      <c r="CU213" s="81">
        <f t="shared" si="186"/>
        <v>0</v>
      </c>
      <c r="CV213" s="81" t="s">
        <v>998</v>
      </c>
      <c r="CW213" s="81">
        <f t="shared" si="187"/>
        <v>0</v>
      </c>
      <c r="CX213" s="81">
        <f t="shared" si="188"/>
        <v>0</v>
      </c>
      <c r="CY213" s="81" t="s">
        <v>19</v>
      </c>
      <c r="CZ213" s="81">
        <f t="shared" si="189"/>
        <v>0</v>
      </c>
      <c r="DA213" s="81">
        <f t="shared" si="190"/>
        <v>0</v>
      </c>
      <c r="DB213" s="81" t="s">
        <v>20</v>
      </c>
      <c r="DC213" s="81">
        <f t="shared" si="191"/>
        <v>0</v>
      </c>
      <c r="DD213" s="81">
        <f t="shared" si="192"/>
        <v>0</v>
      </c>
      <c r="DE213" s="81" t="s">
        <v>23</v>
      </c>
      <c r="DF213" s="81">
        <f t="shared" si="193"/>
        <v>0</v>
      </c>
      <c r="DG213" s="81">
        <f t="shared" si="194"/>
        <v>0</v>
      </c>
      <c r="DH213" s="81" t="s">
        <v>15</v>
      </c>
      <c r="DI213" s="81">
        <f t="shared" si="195"/>
        <v>0</v>
      </c>
      <c r="DJ213" s="81">
        <f t="shared" si="196"/>
        <v>0</v>
      </c>
      <c r="DK213" s="81" t="s">
        <v>5435</v>
      </c>
      <c r="DL213" s="81">
        <f t="shared" si="197"/>
        <v>0</v>
      </c>
      <c r="DM213" s="81">
        <f t="shared" si="198"/>
        <v>0</v>
      </c>
      <c r="DN213" s="81" t="s">
        <v>7</v>
      </c>
      <c r="DO213" s="81">
        <f t="shared" si="199"/>
        <v>0</v>
      </c>
      <c r="DP213" s="81">
        <f t="shared" si="200"/>
        <v>0</v>
      </c>
      <c r="DQ213" s="81" t="s">
        <v>1</v>
      </c>
      <c r="DR213" s="81">
        <f t="shared" si="201"/>
        <v>0</v>
      </c>
      <c r="DS213" s="81">
        <f t="shared" si="202"/>
        <v>0</v>
      </c>
    </row>
    <row r="214" spans="14:123" x14ac:dyDescent="0.3">
      <c r="N214" s="81">
        <f>IF(Q215=0,IF(Q214=0,,"x"),)</f>
        <v>0</v>
      </c>
      <c r="O214" s="81">
        <f t="shared" si="203"/>
        <v>0</v>
      </c>
      <c r="P214" s="81">
        <f t="shared" si="168"/>
        <v>0</v>
      </c>
      <c r="Q214" s="81">
        <f t="shared" si="204"/>
        <v>0</v>
      </c>
      <c r="R214" s="81">
        <f>IF(W214="",,SUM($W$4:W214))</f>
        <v>0</v>
      </c>
      <c r="S214" s="81">
        <f t="shared" si="169"/>
        <v>0</v>
      </c>
      <c r="T214" s="81">
        <f t="shared" si="205"/>
        <v>0</v>
      </c>
      <c r="U214" s="81">
        <f t="shared" si="170"/>
        <v>0</v>
      </c>
      <c r="AE214" s="81">
        <v>214</v>
      </c>
      <c r="AI214" s="81">
        <v>211</v>
      </c>
      <c r="AJ214" s="81" t="str">
        <f t="shared" si="161"/>
        <v>Mars 36</v>
      </c>
      <c r="AK214" s="81" t="str">
        <f t="shared" si="207"/>
        <v>Mars</v>
      </c>
      <c r="AL214" s="81">
        <f t="shared" si="206"/>
        <v>36</v>
      </c>
      <c r="AM214" s="81" t="str">
        <f t="shared" si="171"/>
        <v>='Mars 36'!</v>
      </c>
      <c r="AN214" s="81" t="str">
        <f t="shared" si="165"/>
        <v>='Mars 36'!C27</v>
      </c>
      <c r="AO214" s="81" t="s">
        <v>1214</v>
      </c>
      <c r="AR214" s="81" t="s">
        <v>274</v>
      </c>
      <c r="AS214" s="83" t="str">
        <f t="shared" si="162"/>
        <v>='Mars 36'!C6</v>
      </c>
      <c r="AT214" s="83">
        <f t="shared" si="163"/>
        <v>0</v>
      </c>
      <c r="AV214" s="81" t="s">
        <v>575</v>
      </c>
      <c r="AW214" s="81" t="s">
        <v>3628</v>
      </c>
      <c r="AX214" s="81" t="s">
        <v>3629</v>
      </c>
      <c r="AY214" s="81" t="s">
        <v>3630</v>
      </c>
      <c r="AZ214" s="81" t="s">
        <v>3631</v>
      </c>
      <c r="BA214" s="81" t="s">
        <v>3632</v>
      </c>
      <c r="BB214" s="81" t="s">
        <v>3633</v>
      </c>
      <c r="BC214" s="81" t="s">
        <v>3634</v>
      </c>
      <c r="BD214" s="81" t="s">
        <v>3635</v>
      </c>
      <c r="BE214" s="81" t="s">
        <v>3636</v>
      </c>
      <c r="BF214" s="81" t="s">
        <v>3637</v>
      </c>
      <c r="BG214" s="81" t="s">
        <v>3638</v>
      </c>
      <c r="BH214" s="81" t="s">
        <v>4831</v>
      </c>
      <c r="BI214" s="81" t="s">
        <v>5135</v>
      </c>
      <c r="BJ214" s="81" t="s">
        <v>274</v>
      </c>
      <c r="BL214" s="81" t="s">
        <v>878</v>
      </c>
      <c r="BM214" s="81">
        <v>211</v>
      </c>
      <c r="BN214" s="81" t="str">
        <f t="shared" si="164"/>
        <v>='Mars 36'!C12</v>
      </c>
      <c r="BP214" s="81" t="str">
        <f t="shared" ca="1" si="172"/>
        <v/>
      </c>
      <c r="BR214" s="84">
        <f t="shared" si="166"/>
        <v>0</v>
      </c>
      <c r="BS214" s="84">
        <f t="shared" si="167"/>
        <v>0</v>
      </c>
      <c r="CA214" s="81" t="s">
        <v>2</v>
      </c>
      <c r="CB214" s="81">
        <f t="shared" si="173"/>
        <v>0</v>
      </c>
      <c r="CC214" s="81">
        <f t="shared" si="174"/>
        <v>0</v>
      </c>
      <c r="CD214" s="81" t="s">
        <v>16</v>
      </c>
      <c r="CE214" s="81">
        <f t="shared" si="175"/>
        <v>0</v>
      </c>
      <c r="CF214" s="81">
        <f t="shared" si="176"/>
        <v>0</v>
      </c>
      <c r="CG214" s="81" t="s">
        <v>5</v>
      </c>
      <c r="CH214" s="81">
        <f t="shared" si="177"/>
        <v>0</v>
      </c>
      <c r="CI214" s="81">
        <f t="shared" si="178"/>
        <v>0</v>
      </c>
      <c r="CJ214" s="81" t="s">
        <v>18</v>
      </c>
      <c r="CK214" s="81">
        <f t="shared" si="179"/>
        <v>0</v>
      </c>
      <c r="CL214" s="81">
        <f t="shared" si="180"/>
        <v>0</v>
      </c>
      <c r="CM214" s="81" t="s">
        <v>4</v>
      </c>
      <c r="CN214" s="81">
        <f t="shared" si="181"/>
        <v>0</v>
      </c>
      <c r="CO214" s="81">
        <f t="shared" si="182"/>
        <v>0</v>
      </c>
      <c r="CP214" s="81" t="s">
        <v>22</v>
      </c>
      <c r="CQ214" s="81">
        <f t="shared" si="183"/>
        <v>0</v>
      </c>
      <c r="CR214" s="81">
        <f t="shared" si="184"/>
        <v>0</v>
      </c>
      <c r="CS214" s="81" t="s">
        <v>21</v>
      </c>
      <c r="CT214" s="81">
        <f t="shared" si="185"/>
        <v>0</v>
      </c>
      <c r="CU214" s="81">
        <f t="shared" si="186"/>
        <v>0</v>
      </c>
      <c r="CV214" s="81" t="s">
        <v>998</v>
      </c>
      <c r="CW214" s="81">
        <f t="shared" si="187"/>
        <v>0</v>
      </c>
      <c r="CX214" s="81">
        <f t="shared" si="188"/>
        <v>0</v>
      </c>
      <c r="CY214" s="81" t="s">
        <v>19</v>
      </c>
      <c r="CZ214" s="81">
        <f t="shared" si="189"/>
        <v>0</v>
      </c>
      <c r="DA214" s="81">
        <f t="shared" si="190"/>
        <v>0</v>
      </c>
      <c r="DB214" s="81" t="s">
        <v>20</v>
      </c>
      <c r="DC214" s="81">
        <f t="shared" si="191"/>
        <v>0</v>
      </c>
      <c r="DD214" s="81">
        <f t="shared" si="192"/>
        <v>0</v>
      </c>
      <c r="DE214" s="81" t="s">
        <v>23</v>
      </c>
      <c r="DF214" s="81">
        <f t="shared" si="193"/>
        <v>0</v>
      </c>
      <c r="DG214" s="81">
        <f t="shared" si="194"/>
        <v>0</v>
      </c>
      <c r="DH214" s="81" t="s">
        <v>15</v>
      </c>
      <c r="DI214" s="81">
        <f t="shared" si="195"/>
        <v>0</v>
      </c>
      <c r="DJ214" s="81">
        <f t="shared" si="196"/>
        <v>0</v>
      </c>
      <c r="DK214" s="81" t="s">
        <v>5436</v>
      </c>
      <c r="DL214" s="81">
        <f t="shared" si="197"/>
        <v>0</v>
      </c>
      <c r="DM214" s="81">
        <f t="shared" si="198"/>
        <v>0</v>
      </c>
      <c r="DN214" s="81" t="s">
        <v>7</v>
      </c>
      <c r="DO214" s="81">
        <f t="shared" si="199"/>
        <v>0</v>
      </c>
      <c r="DP214" s="81">
        <f t="shared" si="200"/>
        <v>0</v>
      </c>
      <c r="DQ214" s="81" t="s">
        <v>1</v>
      </c>
      <c r="DR214" s="81">
        <f t="shared" si="201"/>
        <v>0</v>
      </c>
      <c r="DS214" s="81">
        <f t="shared" si="202"/>
        <v>0</v>
      </c>
    </row>
    <row r="215" spans="14:123" x14ac:dyDescent="0.3">
      <c r="N215" s="81">
        <f>IF(Q216=0,IF(Q215=0,,"x"),)</f>
        <v>0</v>
      </c>
      <c r="O215" s="81">
        <f t="shared" si="203"/>
        <v>0</v>
      </c>
      <c r="P215" s="81">
        <f t="shared" si="168"/>
        <v>0</v>
      </c>
      <c r="Q215" s="81">
        <f t="shared" si="204"/>
        <v>0</v>
      </c>
      <c r="R215" s="81">
        <f>IF(W215="",,SUM($W$4:W215))</f>
        <v>0</v>
      </c>
      <c r="S215" s="81">
        <f t="shared" si="169"/>
        <v>0</v>
      </c>
      <c r="T215" s="81">
        <f t="shared" si="205"/>
        <v>0</v>
      </c>
      <c r="U215" s="81">
        <f t="shared" si="170"/>
        <v>0</v>
      </c>
      <c r="AE215" s="81">
        <v>215</v>
      </c>
      <c r="AI215" s="81">
        <v>212</v>
      </c>
      <c r="AJ215" s="81" t="str">
        <f t="shared" si="161"/>
        <v>April 36</v>
      </c>
      <c r="AK215" s="81" t="str">
        <f t="shared" si="207"/>
        <v>April</v>
      </c>
      <c r="AL215" s="81">
        <f t="shared" si="206"/>
        <v>36</v>
      </c>
      <c r="AM215" s="81" t="str">
        <f t="shared" si="171"/>
        <v>='April 36'!</v>
      </c>
      <c r="AN215" s="81" t="str">
        <f t="shared" si="165"/>
        <v>='April 36'!C27</v>
      </c>
      <c r="AO215" s="81" t="s">
        <v>1215</v>
      </c>
      <c r="AR215" s="81" t="s">
        <v>275</v>
      </c>
      <c r="AS215" s="83" t="str">
        <f t="shared" si="162"/>
        <v>='April 36'!C6</v>
      </c>
      <c r="AT215" s="83">
        <f t="shared" si="163"/>
        <v>0</v>
      </c>
      <c r="AV215" s="81" t="s">
        <v>576</v>
      </c>
      <c r="AW215" s="81" t="s">
        <v>3639</v>
      </c>
      <c r="AX215" s="81" t="s">
        <v>3640</v>
      </c>
      <c r="AY215" s="81" t="s">
        <v>3641</v>
      </c>
      <c r="AZ215" s="81" t="s">
        <v>3642</v>
      </c>
      <c r="BA215" s="81" t="s">
        <v>3643</v>
      </c>
      <c r="BB215" s="81" t="s">
        <v>3644</v>
      </c>
      <c r="BC215" s="81" t="s">
        <v>3645</v>
      </c>
      <c r="BD215" s="81" t="s">
        <v>3646</v>
      </c>
      <c r="BE215" s="81" t="s">
        <v>3647</v>
      </c>
      <c r="BF215" s="81" t="s">
        <v>3648</v>
      </c>
      <c r="BG215" s="81" t="s">
        <v>3649</v>
      </c>
      <c r="BH215" s="81" t="s">
        <v>4832</v>
      </c>
      <c r="BI215" s="81" t="s">
        <v>5136</v>
      </c>
      <c r="BJ215" s="81" t="s">
        <v>275</v>
      </c>
      <c r="BL215" s="81" t="s">
        <v>879</v>
      </c>
      <c r="BM215" s="81">
        <v>212</v>
      </c>
      <c r="BN215" s="81" t="str">
        <f t="shared" si="164"/>
        <v>='April 36'!C12</v>
      </c>
      <c r="BP215" s="81" t="str">
        <f t="shared" ca="1" si="172"/>
        <v/>
      </c>
      <c r="BR215" s="84">
        <f t="shared" si="166"/>
        <v>0</v>
      </c>
      <c r="BS215" s="84">
        <f t="shared" si="167"/>
        <v>0</v>
      </c>
      <c r="CA215" s="81" t="s">
        <v>2</v>
      </c>
      <c r="CB215" s="81">
        <f t="shared" si="173"/>
        <v>0</v>
      </c>
      <c r="CC215" s="81">
        <f t="shared" si="174"/>
        <v>0</v>
      </c>
      <c r="CD215" s="81" t="s">
        <v>16</v>
      </c>
      <c r="CE215" s="81">
        <f t="shared" si="175"/>
        <v>0</v>
      </c>
      <c r="CF215" s="81">
        <f t="shared" si="176"/>
        <v>0</v>
      </c>
      <c r="CG215" s="81" t="s">
        <v>5</v>
      </c>
      <c r="CH215" s="81">
        <f t="shared" si="177"/>
        <v>0</v>
      </c>
      <c r="CI215" s="81">
        <f t="shared" si="178"/>
        <v>0</v>
      </c>
      <c r="CJ215" s="81" t="s">
        <v>18</v>
      </c>
      <c r="CK215" s="81">
        <f t="shared" si="179"/>
        <v>0</v>
      </c>
      <c r="CL215" s="81">
        <f t="shared" si="180"/>
        <v>0</v>
      </c>
      <c r="CM215" s="81" t="s">
        <v>4</v>
      </c>
      <c r="CN215" s="81">
        <f t="shared" si="181"/>
        <v>0</v>
      </c>
      <c r="CO215" s="81">
        <f t="shared" si="182"/>
        <v>0</v>
      </c>
      <c r="CP215" s="81" t="s">
        <v>22</v>
      </c>
      <c r="CQ215" s="81">
        <f t="shared" si="183"/>
        <v>0</v>
      </c>
      <c r="CR215" s="81">
        <f t="shared" si="184"/>
        <v>0</v>
      </c>
      <c r="CS215" s="81" t="s">
        <v>21</v>
      </c>
      <c r="CT215" s="81">
        <f t="shared" si="185"/>
        <v>0</v>
      </c>
      <c r="CU215" s="81">
        <f t="shared" si="186"/>
        <v>0</v>
      </c>
      <c r="CV215" s="81" t="s">
        <v>998</v>
      </c>
      <c r="CW215" s="81">
        <f t="shared" si="187"/>
        <v>0</v>
      </c>
      <c r="CX215" s="81">
        <f t="shared" si="188"/>
        <v>0</v>
      </c>
      <c r="CY215" s="81" t="s">
        <v>19</v>
      </c>
      <c r="CZ215" s="81">
        <f t="shared" si="189"/>
        <v>0</v>
      </c>
      <c r="DA215" s="81">
        <f t="shared" si="190"/>
        <v>0</v>
      </c>
      <c r="DB215" s="81" t="s">
        <v>20</v>
      </c>
      <c r="DC215" s="81">
        <f t="shared" si="191"/>
        <v>0</v>
      </c>
      <c r="DD215" s="81">
        <f t="shared" si="192"/>
        <v>0</v>
      </c>
      <c r="DE215" s="81" t="s">
        <v>23</v>
      </c>
      <c r="DF215" s="81">
        <f t="shared" si="193"/>
        <v>0</v>
      </c>
      <c r="DG215" s="81">
        <f t="shared" si="194"/>
        <v>0</v>
      </c>
      <c r="DH215" s="81" t="s">
        <v>15</v>
      </c>
      <c r="DI215" s="81">
        <f t="shared" si="195"/>
        <v>0</v>
      </c>
      <c r="DJ215" s="81">
        <f t="shared" si="196"/>
        <v>0</v>
      </c>
      <c r="DK215" s="81" t="s">
        <v>5437</v>
      </c>
      <c r="DL215" s="81">
        <f t="shared" si="197"/>
        <v>0</v>
      </c>
      <c r="DM215" s="81">
        <f t="shared" si="198"/>
        <v>0</v>
      </c>
      <c r="DN215" s="81" t="s">
        <v>7</v>
      </c>
      <c r="DO215" s="81">
        <f t="shared" si="199"/>
        <v>0</v>
      </c>
      <c r="DP215" s="81">
        <f t="shared" si="200"/>
        <v>0</v>
      </c>
      <c r="DQ215" s="81" t="s">
        <v>1</v>
      </c>
      <c r="DR215" s="81">
        <f t="shared" si="201"/>
        <v>0</v>
      </c>
      <c r="DS215" s="81">
        <f t="shared" si="202"/>
        <v>0</v>
      </c>
    </row>
    <row r="216" spans="14:123" x14ac:dyDescent="0.3">
      <c r="N216" s="81">
        <f>IF(Q217=0,IF(Q216=0,,"x"),)</f>
        <v>0</v>
      </c>
      <c r="O216" s="81">
        <f t="shared" si="203"/>
        <v>0</v>
      </c>
      <c r="P216" s="81">
        <f t="shared" si="168"/>
        <v>0</v>
      </c>
      <c r="Q216" s="81">
        <f t="shared" si="204"/>
        <v>0</v>
      </c>
      <c r="R216" s="81">
        <f>IF(W216="",,SUM($W$4:W216))</f>
        <v>0</v>
      </c>
      <c r="S216" s="81">
        <f t="shared" si="169"/>
        <v>0</v>
      </c>
      <c r="T216" s="81">
        <f t="shared" si="205"/>
        <v>0</v>
      </c>
      <c r="U216" s="81">
        <f t="shared" si="170"/>
        <v>0</v>
      </c>
      <c r="AE216" s="81">
        <v>216</v>
      </c>
      <c r="AI216" s="81">
        <v>213</v>
      </c>
      <c r="AJ216" s="81" t="str">
        <f t="shared" si="161"/>
        <v>Maj 36</v>
      </c>
      <c r="AK216" s="81" t="str">
        <f t="shared" si="207"/>
        <v>Maj</v>
      </c>
      <c r="AL216" s="81">
        <f t="shared" si="206"/>
        <v>36</v>
      </c>
      <c r="AM216" s="81" t="str">
        <f t="shared" si="171"/>
        <v>='Maj 36'!</v>
      </c>
      <c r="AN216" s="81" t="str">
        <f t="shared" si="165"/>
        <v>='Maj 36'!C27</v>
      </c>
      <c r="AO216" s="81" t="s">
        <v>1216</v>
      </c>
      <c r="AR216" s="81" t="s">
        <v>276</v>
      </c>
      <c r="AS216" s="83" t="str">
        <f t="shared" si="162"/>
        <v>='Maj 36'!C6</v>
      </c>
      <c r="AT216" s="83">
        <f t="shared" si="163"/>
        <v>0</v>
      </c>
      <c r="AV216" s="81" t="s">
        <v>577</v>
      </c>
      <c r="AW216" s="81" t="s">
        <v>3650</v>
      </c>
      <c r="AX216" s="81" t="s">
        <v>3651</v>
      </c>
      <c r="AY216" s="81" t="s">
        <v>3652</v>
      </c>
      <c r="AZ216" s="81" t="s">
        <v>3653</v>
      </c>
      <c r="BA216" s="81" t="s">
        <v>3654</v>
      </c>
      <c r="BB216" s="81" t="s">
        <v>3655</v>
      </c>
      <c r="BC216" s="81" t="s">
        <v>3656</v>
      </c>
      <c r="BD216" s="81" t="s">
        <v>3657</v>
      </c>
      <c r="BE216" s="81" t="s">
        <v>3658</v>
      </c>
      <c r="BF216" s="81" t="s">
        <v>3659</v>
      </c>
      <c r="BG216" s="81" t="s">
        <v>3660</v>
      </c>
      <c r="BH216" s="81" t="s">
        <v>4833</v>
      </c>
      <c r="BI216" s="81" t="s">
        <v>5137</v>
      </c>
      <c r="BJ216" s="81" t="s">
        <v>276</v>
      </c>
      <c r="BL216" s="81" t="s">
        <v>880</v>
      </c>
      <c r="BM216" s="81">
        <v>213</v>
      </c>
      <c r="BN216" s="81" t="str">
        <f t="shared" si="164"/>
        <v>='Maj 36'!C12</v>
      </c>
      <c r="BP216" s="81" t="str">
        <f t="shared" ca="1" si="172"/>
        <v/>
      </c>
      <c r="BR216" s="84">
        <f t="shared" si="166"/>
        <v>0</v>
      </c>
      <c r="BS216" s="84">
        <f t="shared" si="167"/>
        <v>0</v>
      </c>
      <c r="CA216" s="81" t="s">
        <v>2</v>
      </c>
      <c r="CB216" s="81">
        <f t="shared" si="173"/>
        <v>0</v>
      </c>
      <c r="CC216" s="81">
        <f t="shared" si="174"/>
        <v>0</v>
      </c>
      <c r="CD216" s="81" t="s">
        <v>16</v>
      </c>
      <c r="CE216" s="81">
        <f t="shared" si="175"/>
        <v>0</v>
      </c>
      <c r="CF216" s="81">
        <f t="shared" si="176"/>
        <v>0</v>
      </c>
      <c r="CG216" s="81" t="s">
        <v>5</v>
      </c>
      <c r="CH216" s="81">
        <f t="shared" si="177"/>
        <v>0</v>
      </c>
      <c r="CI216" s="81">
        <f t="shared" si="178"/>
        <v>0</v>
      </c>
      <c r="CJ216" s="81" t="s">
        <v>18</v>
      </c>
      <c r="CK216" s="81">
        <f t="shared" si="179"/>
        <v>0</v>
      </c>
      <c r="CL216" s="81">
        <f t="shared" si="180"/>
        <v>0</v>
      </c>
      <c r="CM216" s="81" t="s">
        <v>4</v>
      </c>
      <c r="CN216" s="81">
        <f t="shared" si="181"/>
        <v>0</v>
      </c>
      <c r="CO216" s="81">
        <f t="shared" si="182"/>
        <v>0</v>
      </c>
      <c r="CP216" s="81" t="s">
        <v>22</v>
      </c>
      <c r="CQ216" s="81">
        <f t="shared" si="183"/>
        <v>0</v>
      </c>
      <c r="CR216" s="81">
        <f t="shared" si="184"/>
        <v>0</v>
      </c>
      <c r="CS216" s="81" t="s">
        <v>21</v>
      </c>
      <c r="CT216" s="81">
        <f t="shared" si="185"/>
        <v>0</v>
      </c>
      <c r="CU216" s="81">
        <f t="shared" si="186"/>
        <v>0</v>
      </c>
      <c r="CV216" s="81" t="s">
        <v>998</v>
      </c>
      <c r="CW216" s="81">
        <f t="shared" si="187"/>
        <v>0</v>
      </c>
      <c r="CX216" s="81">
        <f t="shared" si="188"/>
        <v>0</v>
      </c>
      <c r="CY216" s="81" t="s">
        <v>19</v>
      </c>
      <c r="CZ216" s="81">
        <f t="shared" si="189"/>
        <v>0</v>
      </c>
      <c r="DA216" s="81">
        <f t="shared" si="190"/>
        <v>0</v>
      </c>
      <c r="DB216" s="81" t="s">
        <v>20</v>
      </c>
      <c r="DC216" s="81">
        <f t="shared" si="191"/>
        <v>0</v>
      </c>
      <c r="DD216" s="81">
        <f t="shared" si="192"/>
        <v>0</v>
      </c>
      <c r="DE216" s="81" t="s">
        <v>23</v>
      </c>
      <c r="DF216" s="81">
        <f t="shared" si="193"/>
        <v>0</v>
      </c>
      <c r="DG216" s="81">
        <f t="shared" si="194"/>
        <v>0</v>
      </c>
      <c r="DH216" s="81" t="s">
        <v>15</v>
      </c>
      <c r="DI216" s="81">
        <f t="shared" si="195"/>
        <v>0</v>
      </c>
      <c r="DJ216" s="81">
        <f t="shared" si="196"/>
        <v>0</v>
      </c>
      <c r="DK216" s="81" t="s">
        <v>5438</v>
      </c>
      <c r="DL216" s="81">
        <f t="shared" si="197"/>
        <v>0</v>
      </c>
      <c r="DM216" s="81">
        <f t="shared" si="198"/>
        <v>0</v>
      </c>
      <c r="DN216" s="81" t="s">
        <v>7</v>
      </c>
      <c r="DO216" s="81">
        <f t="shared" si="199"/>
        <v>0</v>
      </c>
      <c r="DP216" s="81">
        <f t="shared" si="200"/>
        <v>0</v>
      </c>
      <c r="DQ216" s="81" t="s">
        <v>1</v>
      </c>
      <c r="DR216" s="81">
        <f t="shared" si="201"/>
        <v>0</v>
      </c>
      <c r="DS216" s="81">
        <f t="shared" si="202"/>
        <v>0</v>
      </c>
    </row>
    <row r="217" spans="14:123" x14ac:dyDescent="0.3">
      <c r="N217" s="81">
        <f>IF(Q218=0,IF(Q217=0,,"x"),)</f>
        <v>0</v>
      </c>
      <c r="O217" s="81">
        <f t="shared" si="203"/>
        <v>0</v>
      </c>
      <c r="P217" s="81">
        <f t="shared" si="168"/>
        <v>0</v>
      </c>
      <c r="Q217" s="81">
        <f t="shared" si="204"/>
        <v>0</v>
      </c>
      <c r="R217" s="81">
        <f>IF(W217="",,SUM($W$4:W217))</f>
        <v>0</v>
      </c>
      <c r="S217" s="81">
        <f t="shared" si="169"/>
        <v>0</v>
      </c>
      <c r="T217" s="81">
        <f t="shared" si="205"/>
        <v>0</v>
      </c>
      <c r="U217" s="81">
        <f t="shared" si="170"/>
        <v>0</v>
      </c>
      <c r="AE217" s="81">
        <v>217</v>
      </c>
      <c r="AI217" s="81">
        <v>214</v>
      </c>
      <c r="AJ217" s="81" t="str">
        <f t="shared" si="161"/>
        <v>Juni 36</v>
      </c>
      <c r="AK217" s="81" t="str">
        <f t="shared" si="207"/>
        <v>Juni</v>
      </c>
      <c r="AL217" s="81">
        <f t="shared" si="206"/>
        <v>36</v>
      </c>
      <c r="AM217" s="81" t="str">
        <f t="shared" si="171"/>
        <v>='Juni 36'!</v>
      </c>
      <c r="AN217" s="81" t="str">
        <f t="shared" si="165"/>
        <v>='Juni 36'!C27</v>
      </c>
      <c r="AO217" s="81" t="s">
        <v>1217</v>
      </c>
      <c r="AR217" s="81" t="s">
        <v>277</v>
      </c>
      <c r="AS217" s="83" t="str">
        <f t="shared" si="162"/>
        <v>='Juni 36'!C6</v>
      </c>
      <c r="AT217" s="83">
        <f t="shared" si="163"/>
        <v>0</v>
      </c>
      <c r="AV217" s="81" t="s">
        <v>578</v>
      </c>
      <c r="AW217" s="81" t="s">
        <v>3661</v>
      </c>
      <c r="AX217" s="81" t="s">
        <v>3662</v>
      </c>
      <c r="AY217" s="81" t="s">
        <v>3663</v>
      </c>
      <c r="AZ217" s="81" t="s">
        <v>3664</v>
      </c>
      <c r="BA217" s="81" t="s">
        <v>3665</v>
      </c>
      <c r="BB217" s="81" t="s">
        <v>3666</v>
      </c>
      <c r="BC217" s="81" t="s">
        <v>3667</v>
      </c>
      <c r="BD217" s="81" t="s">
        <v>3668</v>
      </c>
      <c r="BE217" s="81" t="s">
        <v>3669</v>
      </c>
      <c r="BF217" s="81" t="s">
        <v>3670</v>
      </c>
      <c r="BG217" s="81" t="s">
        <v>3671</v>
      </c>
      <c r="BH217" s="81" t="s">
        <v>4834</v>
      </c>
      <c r="BI217" s="81" t="s">
        <v>5138</v>
      </c>
      <c r="BJ217" s="81" t="s">
        <v>277</v>
      </c>
      <c r="BL217" s="81" t="s">
        <v>881</v>
      </c>
      <c r="BM217" s="81">
        <v>214</v>
      </c>
      <c r="BN217" s="81" t="str">
        <f t="shared" si="164"/>
        <v>='Juni 36'!C12</v>
      </c>
      <c r="BP217" s="81" t="str">
        <f t="shared" ca="1" si="172"/>
        <v/>
      </c>
      <c r="BR217" s="84">
        <f t="shared" si="166"/>
        <v>0</v>
      </c>
      <c r="BS217" s="84">
        <f t="shared" si="167"/>
        <v>0</v>
      </c>
      <c r="CA217" s="81" t="s">
        <v>2</v>
      </c>
      <c r="CB217" s="81">
        <f t="shared" si="173"/>
        <v>0</v>
      </c>
      <c r="CC217" s="81">
        <f t="shared" si="174"/>
        <v>0</v>
      </c>
      <c r="CD217" s="81" t="s">
        <v>16</v>
      </c>
      <c r="CE217" s="81">
        <f t="shared" si="175"/>
        <v>0</v>
      </c>
      <c r="CF217" s="81">
        <f t="shared" si="176"/>
        <v>0</v>
      </c>
      <c r="CG217" s="81" t="s">
        <v>5</v>
      </c>
      <c r="CH217" s="81">
        <f t="shared" si="177"/>
        <v>0</v>
      </c>
      <c r="CI217" s="81">
        <f t="shared" si="178"/>
        <v>0</v>
      </c>
      <c r="CJ217" s="81" t="s">
        <v>18</v>
      </c>
      <c r="CK217" s="81">
        <f t="shared" si="179"/>
        <v>0</v>
      </c>
      <c r="CL217" s="81">
        <f t="shared" si="180"/>
        <v>0</v>
      </c>
      <c r="CM217" s="81" t="s">
        <v>4</v>
      </c>
      <c r="CN217" s="81">
        <f t="shared" si="181"/>
        <v>0</v>
      </c>
      <c r="CO217" s="81">
        <f t="shared" si="182"/>
        <v>0</v>
      </c>
      <c r="CP217" s="81" t="s">
        <v>22</v>
      </c>
      <c r="CQ217" s="81">
        <f t="shared" si="183"/>
        <v>0</v>
      </c>
      <c r="CR217" s="81">
        <f t="shared" si="184"/>
        <v>0</v>
      </c>
      <c r="CS217" s="81" t="s">
        <v>21</v>
      </c>
      <c r="CT217" s="81">
        <f t="shared" si="185"/>
        <v>0</v>
      </c>
      <c r="CU217" s="81">
        <f t="shared" si="186"/>
        <v>0</v>
      </c>
      <c r="CV217" s="81" t="s">
        <v>998</v>
      </c>
      <c r="CW217" s="81">
        <f t="shared" si="187"/>
        <v>0</v>
      </c>
      <c r="CX217" s="81">
        <f t="shared" si="188"/>
        <v>0</v>
      </c>
      <c r="CY217" s="81" t="s">
        <v>19</v>
      </c>
      <c r="CZ217" s="81">
        <f t="shared" si="189"/>
        <v>0</v>
      </c>
      <c r="DA217" s="81">
        <f t="shared" si="190"/>
        <v>0</v>
      </c>
      <c r="DB217" s="81" t="s">
        <v>20</v>
      </c>
      <c r="DC217" s="81">
        <f t="shared" si="191"/>
        <v>0</v>
      </c>
      <c r="DD217" s="81">
        <f t="shared" si="192"/>
        <v>0</v>
      </c>
      <c r="DE217" s="81" t="s">
        <v>23</v>
      </c>
      <c r="DF217" s="81">
        <f t="shared" si="193"/>
        <v>0</v>
      </c>
      <c r="DG217" s="81">
        <f t="shared" si="194"/>
        <v>0</v>
      </c>
      <c r="DH217" s="81" t="s">
        <v>15</v>
      </c>
      <c r="DI217" s="81">
        <f t="shared" si="195"/>
        <v>0</v>
      </c>
      <c r="DJ217" s="81">
        <f t="shared" si="196"/>
        <v>0</v>
      </c>
      <c r="DK217" s="81" t="s">
        <v>5439</v>
      </c>
      <c r="DL217" s="81">
        <f t="shared" si="197"/>
        <v>0</v>
      </c>
      <c r="DM217" s="81">
        <f t="shared" si="198"/>
        <v>0</v>
      </c>
      <c r="DN217" s="81" t="s">
        <v>7</v>
      </c>
      <c r="DO217" s="81">
        <f t="shared" si="199"/>
        <v>0</v>
      </c>
      <c r="DP217" s="81">
        <f t="shared" si="200"/>
        <v>0</v>
      </c>
      <c r="DQ217" s="81" t="s">
        <v>1</v>
      </c>
      <c r="DR217" s="81">
        <f t="shared" si="201"/>
        <v>0</v>
      </c>
      <c r="DS217" s="81">
        <f t="shared" si="202"/>
        <v>0</v>
      </c>
    </row>
    <row r="218" spans="14:123" x14ac:dyDescent="0.3">
      <c r="N218" s="81">
        <f>IF(Q219=0,IF(Q218=0,,"x"),)</f>
        <v>0</v>
      </c>
      <c r="O218" s="81">
        <f t="shared" si="203"/>
        <v>0</v>
      </c>
      <c r="P218" s="81">
        <f t="shared" si="168"/>
        <v>0</v>
      </c>
      <c r="Q218" s="81">
        <f t="shared" si="204"/>
        <v>0</v>
      </c>
      <c r="R218" s="81">
        <f>IF(W218="",,SUM($W$4:W218))</f>
        <v>0</v>
      </c>
      <c r="S218" s="81">
        <f t="shared" si="169"/>
        <v>0</v>
      </c>
      <c r="T218" s="81">
        <f t="shared" si="205"/>
        <v>0</v>
      </c>
      <c r="U218" s="81">
        <f t="shared" si="170"/>
        <v>0</v>
      </c>
      <c r="AE218" s="81">
        <v>218</v>
      </c>
      <c r="AI218" s="81">
        <v>215</v>
      </c>
      <c r="AJ218" s="81" t="str">
        <f t="shared" si="161"/>
        <v>Juli 36</v>
      </c>
      <c r="AK218" s="81" t="str">
        <f t="shared" si="207"/>
        <v>Juli</v>
      </c>
      <c r="AL218" s="81">
        <f t="shared" si="206"/>
        <v>36</v>
      </c>
      <c r="AM218" s="81" t="str">
        <f t="shared" si="171"/>
        <v>='Juli 36'!</v>
      </c>
      <c r="AN218" s="81" t="str">
        <f t="shared" si="165"/>
        <v>='Juli 36'!C27</v>
      </c>
      <c r="AO218" s="81" t="s">
        <v>1218</v>
      </c>
      <c r="AR218" s="81" t="s">
        <v>278</v>
      </c>
      <c r="AS218" s="83" t="str">
        <f t="shared" si="162"/>
        <v>='Juli 36'!C6</v>
      </c>
      <c r="AT218" s="83">
        <f t="shared" si="163"/>
        <v>0</v>
      </c>
      <c r="AV218" s="81" t="s">
        <v>579</v>
      </c>
      <c r="AW218" s="81" t="s">
        <v>3672</v>
      </c>
      <c r="AX218" s="81" t="s">
        <v>3673</v>
      </c>
      <c r="AY218" s="81" t="s">
        <v>3674</v>
      </c>
      <c r="AZ218" s="81" t="s">
        <v>3675</v>
      </c>
      <c r="BA218" s="81" t="s">
        <v>3676</v>
      </c>
      <c r="BB218" s="81" t="s">
        <v>3677</v>
      </c>
      <c r="BC218" s="81" t="s">
        <v>3678</v>
      </c>
      <c r="BD218" s="81" t="s">
        <v>3679</v>
      </c>
      <c r="BE218" s="81" t="s">
        <v>3680</v>
      </c>
      <c r="BF218" s="81" t="s">
        <v>3681</v>
      </c>
      <c r="BG218" s="81" t="s">
        <v>3682</v>
      </c>
      <c r="BH218" s="81" t="s">
        <v>4835</v>
      </c>
      <c r="BI218" s="81" t="s">
        <v>5139</v>
      </c>
      <c r="BJ218" s="81" t="s">
        <v>278</v>
      </c>
      <c r="BL218" s="81" t="s">
        <v>882</v>
      </c>
      <c r="BM218" s="81">
        <v>215</v>
      </c>
      <c r="BN218" s="81" t="str">
        <f t="shared" si="164"/>
        <v>='Juli 36'!C12</v>
      </c>
      <c r="BP218" s="81" t="str">
        <f t="shared" ca="1" si="172"/>
        <v/>
      </c>
      <c r="BR218" s="84">
        <f t="shared" si="166"/>
        <v>0</v>
      </c>
      <c r="BS218" s="84">
        <f t="shared" si="167"/>
        <v>0</v>
      </c>
      <c r="CA218" s="81" t="s">
        <v>2</v>
      </c>
      <c r="CB218" s="81">
        <f t="shared" si="173"/>
        <v>0</v>
      </c>
      <c r="CC218" s="81">
        <f t="shared" si="174"/>
        <v>0</v>
      </c>
      <c r="CD218" s="81" t="s">
        <v>16</v>
      </c>
      <c r="CE218" s="81">
        <f t="shared" si="175"/>
        <v>0</v>
      </c>
      <c r="CF218" s="81">
        <f t="shared" si="176"/>
        <v>0</v>
      </c>
      <c r="CG218" s="81" t="s">
        <v>5</v>
      </c>
      <c r="CH218" s="81">
        <f t="shared" si="177"/>
        <v>0</v>
      </c>
      <c r="CI218" s="81">
        <f t="shared" si="178"/>
        <v>0</v>
      </c>
      <c r="CJ218" s="81" t="s">
        <v>18</v>
      </c>
      <c r="CK218" s="81">
        <f t="shared" si="179"/>
        <v>0</v>
      </c>
      <c r="CL218" s="81">
        <f t="shared" si="180"/>
        <v>0</v>
      </c>
      <c r="CM218" s="81" t="s">
        <v>4</v>
      </c>
      <c r="CN218" s="81">
        <f t="shared" si="181"/>
        <v>0</v>
      </c>
      <c r="CO218" s="81">
        <f t="shared" si="182"/>
        <v>0</v>
      </c>
      <c r="CP218" s="81" t="s">
        <v>22</v>
      </c>
      <c r="CQ218" s="81">
        <f t="shared" si="183"/>
        <v>0</v>
      </c>
      <c r="CR218" s="81">
        <f t="shared" si="184"/>
        <v>0</v>
      </c>
      <c r="CS218" s="81" t="s">
        <v>21</v>
      </c>
      <c r="CT218" s="81">
        <f t="shared" si="185"/>
        <v>0</v>
      </c>
      <c r="CU218" s="81">
        <f t="shared" si="186"/>
        <v>0</v>
      </c>
      <c r="CV218" s="81" t="s">
        <v>998</v>
      </c>
      <c r="CW218" s="81">
        <f t="shared" si="187"/>
        <v>0</v>
      </c>
      <c r="CX218" s="81">
        <f t="shared" si="188"/>
        <v>0</v>
      </c>
      <c r="CY218" s="81" t="s">
        <v>19</v>
      </c>
      <c r="CZ218" s="81">
        <f t="shared" si="189"/>
        <v>0</v>
      </c>
      <c r="DA218" s="81">
        <f t="shared" si="190"/>
        <v>0</v>
      </c>
      <c r="DB218" s="81" t="s">
        <v>20</v>
      </c>
      <c r="DC218" s="81">
        <f t="shared" si="191"/>
        <v>0</v>
      </c>
      <c r="DD218" s="81">
        <f t="shared" si="192"/>
        <v>0</v>
      </c>
      <c r="DE218" s="81" t="s">
        <v>23</v>
      </c>
      <c r="DF218" s="81">
        <f t="shared" si="193"/>
        <v>0</v>
      </c>
      <c r="DG218" s="81">
        <f t="shared" si="194"/>
        <v>0</v>
      </c>
      <c r="DH218" s="81" t="s">
        <v>15</v>
      </c>
      <c r="DI218" s="81">
        <f t="shared" si="195"/>
        <v>0</v>
      </c>
      <c r="DJ218" s="81">
        <f t="shared" si="196"/>
        <v>0</v>
      </c>
      <c r="DK218" s="81" t="s">
        <v>5440</v>
      </c>
      <c r="DL218" s="81">
        <f t="shared" si="197"/>
        <v>0</v>
      </c>
      <c r="DM218" s="81">
        <f t="shared" si="198"/>
        <v>0</v>
      </c>
      <c r="DN218" s="81" t="s">
        <v>7</v>
      </c>
      <c r="DO218" s="81">
        <f t="shared" si="199"/>
        <v>0</v>
      </c>
      <c r="DP218" s="81">
        <f t="shared" si="200"/>
        <v>0</v>
      </c>
      <c r="DQ218" s="81" t="s">
        <v>1</v>
      </c>
      <c r="DR218" s="81">
        <f t="shared" si="201"/>
        <v>0</v>
      </c>
      <c r="DS218" s="81">
        <f t="shared" si="202"/>
        <v>0</v>
      </c>
    </row>
    <row r="219" spans="14:123" x14ac:dyDescent="0.3">
      <c r="N219" s="81">
        <f>IF(Q220=0,IF(Q219=0,,"x"),)</f>
        <v>0</v>
      </c>
      <c r="O219" s="81">
        <f t="shared" si="203"/>
        <v>0</v>
      </c>
      <c r="P219" s="81">
        <f t="shared" si="168"/>
        <v>0</v>
      </c>
      <c r="Q219" s="81">
        <f t="shared" si="204"/>
        <v>0</v>
      </c>
      <c r="R219" s="81">
        <f>IF(W219="",,SUM($W$4:W219))</f>
        <v>0</v>
      </c>
      <c r="S219" s="81">
        <f t="shared" si="169"/>
        <v>0</v>
      </c>
      <c r="T219" s="81">
        <f t="shared" si="205"/>
        <v>0</v>
      </c>
      <c r="U219" s="81">
        <f t="shared" si="170"/>
        <v>0</v>
      </c>
      <c r="AE219" s="81">
        <v>219</v>
      </c>
      <c r="AI219" s="81">
        <v>216</v>
      </c>
      <c r="AJ219" s="81" t="str">
        <f t="shared" si="161"/>
        <v>Augusti 36</v>
      </c>
      <c r="AK219" s="81" t="str">
        <f t="shared" si="207"/>
        <v>Augusti</v>
      </c>
      <c r="AL219" s="81">
        <f t="shared" si="206"/>
        <v>36</v>
      </c>
      <c r="AM219" s="81" t="str">
        <f t="shared" si="171"/>
        <v>='Augusti 36'!</v>
      </c>
      <c r="AN219" s="81" t="str">
        <f t="shared" si="165"/>
        <v>='Augusti 36'!C27</v>
      </c>
      <c r="AO219" s="81" t="s">
        <v>1219</v>
      </c>
      <c r="AR219" s="81" t="s">
        <v>279</v>
      </c>
      <c r="AS219" s="83" t="str">
        <f t="shared" si="162"/>
        <v>='Augusti 36'!C6</v>
      </c>
      <c r="AT219" s="83">
        <f t="shared" si="163"/>
        <v>0</v>
      </c>
      <c r="AV219" s="81" t="s">
        <v>580</v>
      </c>
      <c r="AW219" s="81" t="s">
        <v>3683</v>
      </c>
      <c r="AX219" s="81" t="s">
        <v>3684</v>
      </c>
      <c r="AY219" s="81" t="s">
        <v>3685</v>
      </c>
      <c r="AZ219" s="81" t="s">
        <v>3686</v>
      </c>
      <c r="BA219" s="81" t="s">
        <v>3687</v>
      </c>
      <c r="BB219" s="81" t="s">
        <v>3688</v>
      </c>
      <c r="BC219" s="81" t="s">
        <v>3689</v>
      </c>
      <c r="BD219" s="81" t="s">
        <v>3690</v>
      </c>
      <c r="BE219" s="81" t="s">
        <v>3691</v>
      </c>
      <c r="BF219" s="81" t="s">
        <v>3692</v>
      </c>
      <c r="BG219" s="81" t="s">
        <v>3693</v>
      </c>
      <c r="BH219" s="81" t="s">
        <v>4836</v>
      </c>
      <c r="BI219" s="81" t="s">
        <v>5140</v>
      </c>
      <c r="BJ219" s="81" t="s">
        <v>279</v>
      </c>
      <c r="BL219" s="81" t="s">
        <v>883</v>
      </c>
      <c r="BM219" s="81">
        <v>216</v>
      </c>
      <c r="BN219" s="81" t="str">
        <f t="shared" si="164"/>
        <v>='Augusti 36'!C12</v>
      </c>
      <c r="BP219" s="81" t="str">
        <f t="shared" ca="1" si="172"/>
        <v/>
      </c>
      <c r="BR219" s="84">
        <f t="shared" si="166"/>
        <v>0</v>
      </c>
      <c r="BS219" s="84">
        <f t="shared" si="167"/>
        <v>0</v>
      </c>
      <c r="CA219" s="81" t="s">
        <v>2</v>
      </c>
      <c r="CB219" s="81">
        <f t="shared" si="173"/>
        <v>0</v>
      </c>
      <c r="CC219" s="81">
        <f t="shared" si="174"/>
        <v>0</v>
      </c>
      <c r="CD219" s="81" t="s">
        <v>16</v>
      </c>
      <c r="CE219" s="81">
        <f t="shared" si="175"/>
        <v>0</v>
      </c>
      <c r="CF219" s="81">
        <f t="shared" si="176"/>
        <v>0</v>
      </c>
      <c r="CG219" s="81" t="s">
        <v>5</v>
      </c>
      <c r="CH219" s="81">
        <f t="shared" si="177"/>
        <v>0</v>
      </c>
      <c r="CI219" s="81">
        <f t="shared" si="178"/>
        <v>0</v>
      </c>
      <c r="CJ219" s="81" t="s">
        <v>18</v>
      </c>
      <c r="CK219" s="81">
        <f t="shared" si="179"/>
        <v>0</v>
      </c>
      <c r="CL219" s="81">
        <f t="shared" si="180"/>
        <v>0</v>
      </c>
      <c r="CM219" s="81" t="s">
        <v>4</v>
      </c>
      <c r="CN219" s="81">
        <f t="shared" si="181"/>
        <v>0</v>
      </c>
      <c r="CO219" s="81">
        <f t="shared" si="182"/>
        <v>0</v>
      </c>
      <c r="CP219" s="81" t="s">
        <v>22</v>
      </c>
      <c r="CQ219" s="81">
        <f t="shared" si="183"/>
        <v>0</v>
      </c>
      <c r="CR219" s="81">
        <f t="shared" si="184"/>
        <v>0</v>
      </c>
      <c r="CS219" s="81" t="s">
        <v>21</v>
      </c>
      <c r="CT219" s="81">
        <f t="shared" si="185"/>
        <v>0</v>
      </c>
      <c r="CU219" s="81">
        <f t="shared" si="186"/>
        <v>0</v>
      </c>
      <c r="CV219" s="81" t="s">
        <v>998</v>
      </c>
      <c r="CW219" s="81">
        <f t="shared" si="187"/>
        <v>0</v>
      </c>
      <c r="CX219" s="81">
        <f t="shared" si="188"/>
        <v>0</v>
      </c>
      <c r="CY219" s="81" t="s">
        <v>19</v>
      </c>
      <c r="CZ219" s="81">
        <f t="shared" si="189"/>
        <v>0</v>
      </c>
      <c r="DA219" s="81">
        <f t="shared" si="190"/>
        <v>0</v>
      </c>
      <c r="DB219" s="81" t="s">
        <v>20</v>
      </c>
      <c r="DC219" s="81">
        <f t="shared" si="191"/>
        <v>0</v>
      </c>
      <c r="DD219" s="81">
        <f t="shared" si="192"/>
        <v>0</v>
      </c>
      <c r="DE219" s="81" t="s">
        <v>23</v>
      </c>
      <c r="DF219" s="81">
        <f t="shared" si="193"/>
        <v>0</v>
      </c>
      <c r="DG219" s="81">
        <f t="shared" si="194"/>
        <v>0</v>
      </c>
      <c r="DH219" s="81" t="s">
        <v>15</v>
      </c>
      <c r="DI219" s="81">
        <f t="shared" si="195"/>
        <v>0</v>
      </c>
      <c r="DJ219" s="81">
        <f t="shared" si="196"/>
        <v>0</v>
      </c>
      <c r="DK219" s="81" t="s">
        <v>5441</v>
      </c>
      <c r="DL219" s="81">
        <f t="shared" si="197"/>
        <v>0</v>
      </c>
      <c r="DM219" s="81">
        <f t="shared" si="198"/>
        <v>0</v>
      </c>
      <c r="DN219" s="81" t="s">
        <v>7</v>
      </c>
      <c r="DO219" s="81">
        <f t="shared" si="199"/>
        <v>0</v>
      </c>
      <c r="DP219" s="81">
        <f t="shared" si="200"/>
        <v>0</v>
      </c>
      <c r="DQ219" s="81" t="s">
        <v>1</v>
      </c>
      <c r="DR219" s="81">
        <f t="shared" si="201"/>
        <v>0</v>
      </c>
      <c r="DS219" s="81">
        <f t="shared" si="202"/>
        <v>0</v>
      </c>
    </row>
    <row r="220" spans="14:123" x14ac:dyDescent="0.3">
      <c r="N220" s="81">
        <f>IF(Q221=0,IF(Q220=0,,"x"),)</f>
        <v>0</v>
      </c>
      <c r="O220" s="81">
        <f t="shared" si="203"/>
        <v>0</v>
      </c>
      <c r="P220" s="81">
        <f t="shared" si="168"/>
        <v>0</v>
      </c>
      <c r="Q220" s="81">
        <f t="shared" si="204"/>
        <v>0</v>
      </c>
      <c r="R220" s="81">
        <f>IF(W220="",,SUM($W$4:W220))</f>
        <v>0</v>
      </c>
      <c r="S220" s="81">
        <f t="shared" si="169"/>
        <v>0</v>
      </c>
      <c r="T220" s="81">
        <f t="shared" si="205"/>
        <v>0</v>
      </c>
      <c r="U220" s="81">
        <f t="shared" si="170"/>
        <v>0</v>
      </c>
      <c r="AE220" s="81">
        <v>220</v>
      </c>
      <c r="AI220" s="81">
        <v>217</v>
      </c>
      <c r="AJ220" s="81" t="str">
        <f t="shared" si="161"/>
        <v>September 36</v>
      </c>
      <c r="AK220" s="81" t="str">
        <f t="shared" si="207"/>
        <v>September</v>
      </c>
      <c r="AL220" s="81">
        <f t="shared" si="206"/>
        <v>36</v>
      </c>
      <c r="AM220" s="81" t="str">
        <f t="shared" si="171"/>
        <v>='September 36'!</v>
      </c>
      <c r="AN220" s="81" t="str">
        <f t="shared" si="165"/>
        <v>='September 36'!C27</v>
      </c>
      <c r="AO220" s="81" t="s">
        <v>1220</v>
      </c>
      <c r="AR220" s="81" t="s">
        <v>280</v>
      </c>
      <c r="AS220" s="83" t="str">
        <f t="shared" si="162"/>
        <v>='September 36'!C6</v>
      </c>
      <c r="AT220" s="83">
        <f t="shared" si="163"/>
        <v>0</v>
      </c>
      <c r="AV220" s="81" t="s">
        <v>581</v>
      </c>
      <c r="AW220" s="81" t="s">
        <v>3694</v>
      </c>
      <c r="AX220" s="81" t="s">
        <v>3695</v>
      </c>
      <c r="AY220" s="81" t="s">
        <v>3696</v>
      </c>
      <c r="AZ220" s="81" t="s">
        <v>3697</v>
      </c>
      <c r="BA220" s="81" t="s">
        <v>3698</v>
      </c>
      <c r="BB220" s="81" t="s">
        <v>3699</v>
      </c>
      <c r="BC220" s="81" t="s">
        <v>3700</v>
      </c>
      <c r="BD220" s="81" t="s">
        <v>3701</v>
      </c>
      <c r="BE220" s="81" t="s">
        <v>3702</v>
      </c>
      <c r="BF220" s="81" t="s">
        <v>3703</v>
      </c>
      <c r="BG220" s="81" t="s">
        <v>3704</v>
      </c>
      <c r="BH220" s="81" t="s">
        <v>4837</v>
      </c>
      <c r="BI220" s="81" t="s">
        <v>5141</v>
      </c>
      <c r="BJ220" s="81" t="s">
        <v>280</v>
      </c>
      <c r="BL220" s="81" t="s">
        <v>884</v>
      </c>
      <c r="BM220" s="81">
        <v>217</v>
      </c>
      <c r="BN220" s="81" t="str">
        <f t="shared" si="164"/>
        <v>='September 36'!C12</v>
      </c>
      <c r="BP220" s="81" t="str">
        <f t="shared" ca="1" si="172"/>
        <v/>
      </c>
      <c r="BR220" s="84">
        <f t="shared" si="166"/>
        <v>0</v>
      </c>
      <c r="BS220" s="84">
        <f t="shared" si="167"/>
        <v>0</v>
      </c>
      <c r="CA220" s="81" t="s">
        <v>2</v>
      </c>
      <c r="CB220" s="81">
        <f t="shared" si="173"/>
        <v>0</v>
      </c>
      <c r="CC220" s="81">
        <f t="shared" si="174"/>
        <v>0</v>
      </c>
      <c r="CD220" s="81" t="s">
        <v>16</v>
      </c>
      <c r="CE220" s="81">
        <f t="shared" si="175"/>
        <v>0</v>
      </c>
      <c r="CF220" s="81">
        <f t="shared" si="176"/>
        <v>0</v>
      </c>
      <c r="CG220" s="81" t="s">
        <v>5</v>
      </c>
      <c r="CH220" s="81">
        <f t="shared" si="177"/>
        <v>0</v>
      </c>
      <c r="CI220" s="81">
        <f t="shared" si="178"/>
        <v>0</v>
      </c>
      <c r="CJ220" s="81" t="s">
        <v>18</v>
      </c>
      <c r="CK220" s="81">
        <f t="shared" si="179"/>
        <v>0</v>
      </c>
      <c r="CL220" s="81">
        <f t="shared" si="180"/>
        <v>0</v>
      </c>
      <c r="CM220" s="81" t="s">
        <v>4</v>
      </c>
      <c r="CN220" s="81">
        <f t="shared" si="181"/>
        <v>0</v>
      </c>
      <c r="CO220" s="81">
        <f t="shared" si="182"/>
        <v>0</v>
      </c>
      <c r="CP220" s="81" t="s">
        <v>22</v>
      </c>
      <c r="CQ220" s="81">
        <f t="shared" si="183"/>
        <v>0</v>
      </c>
      <c r="CR220" s="81">
        <f t="shared" si="184"/>
        <v>0</v>
      </c>
      <c r="CS220" s="81" t="s">
        <v>21</v>
      </c>
      <c r="CT220" s="81">
        <f t="shared" si="185"/>
        <v>0</v>
      </c>
      <c r="CU220" s="81">
        <f t="shared" si="186"/>
        <v>0</v>
      </c>
      <c r="CV220" s="81" t="s">
        <v>998</v>
      </c>
      <c r="CW220" s="81">
        <f t="shared" si="187"/>
        <v>0</v>
      </c>
      <c r="CX220" s="81">
        <f t="shared" si="188"/>
        <v>0</v>
      </c>
      <c r="CY220" s="81" t="s">
        <v>19</v>
      </c>
      <c r="CZ220" s="81">
        <f t="shared" si="189"/>
        <v>0</v>
      </c>
      <c r="DA220" s="81">
        <f t="shared" si="190"/>
        <v>0</v>
      </c>
      <c r="DB220" s="81" t="s">
        <v>20</v>
      </c>
      <c r="DC220" s="81">
        <f t="shared" si="191"/>
        <v>0</v>
      </c>
      <c r="DD220" s="81">
        <f t="shared" si="192"/>
        <v>0</v>
      </c>
      <c r="DE220" s="81" t="s">
        <v>23</v>
      </c>
      <c r="DF220" s="81">
        <f t="shared" si="193"/>
        <v>0</v>
      </c>
      <c r="DG220" s="81">
        <f t="shared" si="194"/>
        <v>0</v>
      </c>
      <c r="DH220" s="81" t="s">
        <v>15</v>
      </c>
      <c r="DI220" s="81">
        <f t="shared" si="195"/>
        <v>0</v>
      </c>
      <c r="DJ220" s="81">
        <f t="shared" si="196"/>
        <v>0</v>
      </c>
      <c r="DK220" s="81" t="s">
        <v>5442</v>
      </c>
      <c r="DL220" s="81">
        <f t="shared" si="197"/>
        <v>0</v>
      </c>
      <c r="DM220" s="81">
        <f t="shared" si="198"/>
        <v>0</v>
      </c>
      <c r="DN220" s="81" t="s">
        <v>7</v>
      </c>
      <c r="DO220" s="81">
        <f t="shared" si="199"/>
        <v>0</v>
      </c>
      <c r="DP220" s="81">
        <f t="shared" si="200"/>
        <v>0</v>
      </c>
      <c r="DQ220" s="81" t="s">
        <v>1</v>
      </c>
      <c r="DR220" s="81">
        <f t="shared" si="201"/>
        <v>0</v>
      </c>
      <c r="DS220" s="81">
        <f t="shared" si="202"/>
        <v>0</v>
      </c>
    </row>
    <row r="221" spans="14:123" x14ac:dyDescent="0.3">
      <c r="N221" s="81">
        <f>IF(Q222=0,IF(Q221=0,,"x"),)</f>
        <v>0</v>
      </c>
      <c r="O221" s="81">
        <f t="shared" si="203"/>
        <v>0</v>
      </c>
      <c r="P221" s="81">
        <f t="shared" si="168"/>
        <v>0</v>
      </c>
      <c r="Q221" s="81">
        <f t="shared" si="204"/>
        <v>0</v>
      </c>
      <c r="R221" s="81">
        <f>IF(W221="",,SUM($W$4:W221))</f>
        <v>0</v>
      </c>
      <c r="S221" s="81">
        <f t="shared" si="169"/>
        <v>0</v>
      </c>
      <c r="T221" s="81">
        <f t="shared" si="205"/>
        <v>0</v>
      </c>
      <c r="U221" s="81">
        <f t="shared" si="170"/>
        <v>0</v>
      </c>
      <c r="AE221" s="81">
        <v>221</v>
      </c>
      <c r="AI221" s="81">
        <v>218</v>
      </c>
      <c r="AJ221" s="81" t="str">
        <f t="shared" si="161"/>
        <v>Oktober 36</v>
      </c>
      <c r="AK221" s="81" t="str">
        <f t="shared" si="207"/>
        <v>Oktober</v>
      </c>
      <c r="AL221" s="81">
        <f t="shared" si="206"/>
        <v>36</v>
      </c>
      <c r="AM221" s="81" t="str">
        <f t="shared" si="171"/>
        <v>='Oktober 36'!</v>
      </c>
      <c r="AN221" s="81" t="str">
        <f t="shared" si="165"/>
        <v>='Oktober 36'!C27</v>
      </c>
      <c r="AO221" s="81" t="s">
        <v>1221</v>
      </c>
      <c r="AR221" s="81" t="s">
        <v>281</v>
      </c>
      <c r="AS221" s="83" t="str">
        <f t="shared" si="162"/>
        <v>='Oktober 36'!C6</v>
      </c>
      <c r="AT221" s="83">
        <f t="shared" si="163"/>
        <v>0</v>
      </c>
      <c r="AV221" s="81" t="s">
        <v>582</v>
      </c>
      <c r="AW221" s="81" t="s">
        <v>3705</v>
      </c>
      <c r="AX221" s="81" t="s">
        <v>3706</v>
      </c>
      <c r="AY221" s="81" t="s">
        <v>3707</v>
      </c>
      <c r="AZ221" s="81" t="s">
        <v>3708</v>
      </c>
      <c r="BA221" s="81" t="s">
        <v>3709</v>
      </c>
      <c r="BB221" s="81" t="s">
        <v>3710</v>
      </c>
      <c r="BC221" s="81" t="s">
        <v>3711</v>
      </c>
      <c r="BD221" s="81" t="s">
        <v>3712</v>
      </c>
      <c r="BE221" s="81" t="s">
        <v>3713</v>
      </c>
      <c r="BF221" s="81" t="s">
        <v>3714</v>
      </c>
      <c r="BG221" s="81" t="s">
        <v>3715</v>
      </c>
      <c r="BH221" s="81" t="s">
        <v>4838</v>
      </c>
      <c r="BI221" s="81" t="s">
        <v>5142</v>
      </c>
      <c r="BJ221" s="81" t="s">
        <v>281</v>
      </c>
      <c r="BL221" s="81" t="s">
        <v>885</v>
      </c>
      <c r="BM221" s="81">
        <v>218</v>
      </c>
      <c r="BN221" s="81" t="str">
        <f t="shared" si="164"/>
        <v>='Oktober 36'!C12</v>
      </c>
      <c r="BP221" s="81" t="str">
        <f t="shared" ca="1" si="172"/>
        <v/>
      </c>
      <c r="BR221" s="84">
        <f t="shared" si="166"/>
        <v>0</v>
      </c>
      <c r="BS221" s="84">
        <f t="shared" si="167"/>
        <v>0</v>
      </c>
      <c r="CA221" s="81" t="s">
        <v>2</v>
      </c>
      <c r="CB221" s="81">
        <f t="shared" si="173"/>
        <v>0</v>
      </c>
      <c r="CC221" s="81">
        <f t="shared" si="174"/>
        <v>0</v>
      </c>
      <c r="CD221" s="81" t="s">
        <v>16</v>
      </c>
      <c r="CE221" s="81">
        <f t="shared" si="175"/>
        <v>0</v>
      </c>
      <c r="CF221" s="81">
        <f t="shared" si="176"/>
        <v>0</v>
      </c>
      <c r="CG221" s="81" t="s">
        <v>5</v>
      </c>
      <c r="CH221" s="81">
        <f t="shared" si="177"/>
        <v>0</v>
      </c>
      <c r="CI221" s="81">
        <f t="shared" si="178"/>
        <v>0</v>
      </c>
      <c r="CJ221" s="81" t="s">
        <v>18</v>
      </c>
      <c r="CK221" s="81">
        <f t="shared" si="179"/>
        <v>0</v>
      </c>
      <c r="CL221" s="81">
        <f t="shared" si="180"/>
        <v>0</v>
      </c>
      <c r="CM221" s="81" t="s">
        <v>4</v>
      </c>
      <c r="CN221" s="81">
        <f t="shared" si="181"/>
        <v>0</v>
      </c>
      <c r="CO221" s="81">
        <f t="shared" si="182"/>
        <v>0</v>
      </c>
      <c r="CP221" s="81" t="s">
        <v>22</v>
      </c>
      <c r="CQ221" s="81">
        <f t="shared" si="183"/>
        <v>0</v>
      </c>
      <c r="CR221" s="81">
        <f t="shared" si="184"/>
        <v>0</v>
      </c>
      <c r="CS221" s="81" t="s">
        <v>21</v>
      </c>
      <c r="CT221" s="81">
        <f t="shared" si="185"/>
        <v>0</v>
      </c>
      <c r="CU221" s="81">
        <f t="shared" si="186"/>
        <v>0</v>
      </c>
      <c r="CV221" s="81" t="s">
        <v>998</v>
      </c>
      <c r="CW221" s="81">
        <f t="shared" si="187"/>
        <v>0</v>
      </c>
      <c r="CX221" s="81">
        <f t="shared" si="188"/>
        <v>0</v>
      </c>
      <c r="CY221" s="81" t="s">
        <v>19</v>
      </c>
      <c r="CZ221" s="81">
        <f t="shared" si="189"/>
        <v>0</v>
      </c>
      <c r="DA221" s="81">
        <f t="shared" si="190"/>
        <v>0</v>
      </c>
      <c r="DB221" s="81" t="s">
        <v>20</v>
      </c>
      <c r="DC221" s="81">
        <f t="shared" si="191"/>
        <v>0</v>
      </c>
      <c r="DD221" s="81">
        <f t="shared" si="192"/>
        <v>0</v>
      </c>
      <c r="DE221" s="81" t="s">
        <v>23</v>
      </c>
      <c r="DF221" s="81">
        <f t="shared" si="193"/>
        <v>0</v>
      </c>
      <c r="DG221" s="81">
        <f t="shared" si="194"/>
        <v>0</v>
      </c>
      <c r="DH221" s="81" t="s">
        <v>15</v>
      </c>
      <c r="DI221" s="81">
        <f t="shared" si="195"/>
        <v>0</v>
      </c>
      <c r="DJ221" s="81">
        <f t="shared" si="196"/>
        <v>0</v>
      </c>
      <c r="DK221" s="81" t="s">
        <v>5443</v>
      </c>
      <c r="DL221" s="81">
        <f t="shared" si="197"/>
        <v>0</v>
      </c>
      <c r="DM221" s="81">
        <f t="shared" si="198"/>
        <v>0</v>
      </c>
      <c r="DN221" s="81" t="s">
        <v>7</v>
      </c>
      <c r="DO221" s="81">
        <f t="shared" si="199"/>
        <v>0</v>
      </c>
      <c r="DP221" s="81">
        <f t="shared" si="200"/>
        <v>0</v>
      </c>
      <c r="DQ221" s="81" t="s">
        <v>1</v>
      </c>
      <c r="DR221" s="81">
        <f t="shared" si="201"/>
        <v>0</v>
      </c>
      <c r="DS221" s="81">
        <f t="shared" si="202"/>
        <v>0</v>
      </c>
    </row>
    <row r="222" spans="14:123" x14ac:dyDescent="0.3">
      <c r="N222" s="81">
        <f>IF(Q223=0,IF(Q222=0,,"x"),)</f>
        <v>0</v>
      </c>
      <c r="O222" s="81">
        <f t="shared" si="203"/>
        <v>0</v>
      </c>
      <c r="P222" s="81">
        <f t="shared" si="168"/>
        <v>0</v>
      </c>
      <c r="Q222" s="81">
        <f t="shared" si="204"/>
        <v>0</v>
      </c>
      <c r="R222" s="81">
        <f>IF(W222="",,SUM($W$4:W222))</f>
        <v>0</v>
      </c>
      <c r="S222" s="81">
        <f t="shared" si="169"/>
        <v>0</v>
      </c>
      <c r="T222" s="81">
        <f t="shared" si="205"/>
        <v>0</v>
      </c>
      <c r="U222" s="81">
        <f t="shared" si="170"/>
        <v>0</v>
      </c>
      <c r="AE222" s="81">
        <v>222</v>
      </c>
      <c r="AI222" s="81">
        <v>219</v>
      </c>
      <c r="AJ222" s="81" t="str">
        <f t="shared" si="161"/>
        <v>November 36</v>
      </c>
      <c r="AK222" s="81" t="str">
        <f t="shared" si="207"/>
        <v>November</v>
      </c>
      <c r="AL222" s="81">
        <f t="shared" si="206"/>
        <v>36</v>
      </c>
      <c r="AM222" s="81" t="str">
        <f t="shared" si="171"/>
        <v>='November 36'!</v>
      </c>
      <c r="AN222" s="81" t="str">
        <f t="shared" si="165"/>
        <v>='November 36'!C27</v>
      </c>
      <c r="AO222" s="81" t="s">
        <v>1222</v>
      </c>
      <c r="AR222" s="81" t="s">
        <v>282</v>
      </c>
      <c r="AS222" s="83" t="str">
        <f t="shared" si="162"/>
        <v>='November 36'!C6</v>
      </c>
      <c r="AT222" s="83">
        <f t="shared" si="163"/>
        <v>0</v>
      </c>
      <c r="AV222" s="81" t="s">
        <v>583</v>
      </c>
      <c r="AW222" s="81" t="s">
        <v>3716</v>
      </c>
      <c r="AX222" s="81" t="s">
        <v>3717</v>
      </c>
      <c r="AY222" s="81" t="s">
        <v>3718</v>
      </c>
      <c r="AZ222" s="81" t="s">
        <v>3719</v>
      </c>
      <c r="BA222" s="81" t="s">
        <v>3720</v>
      </c>
      <c r="BB222" s="81" t="s">
        <v>3721</v>
      </c>
      <c r="BC222" s="81" t="s">
        <v>3722</v>
      </c>
      <c r="BD222" s="81" t="s">
        <v>3723</v>
      </c>
      <c r="BE222" s="81" t="s">
        <v>3724</v>
      </c>
      <c r="BF222" s="81" t="s">
        <v>3725</v>
      </c>
      <c r="BG222" s="81" t="s">
        <v>3726</v>
      </c>
      <c r="BH222" s="81" t="s">
        <v>4839</v>
      </c>
      <c r="BI222" s="81" t="s">
        <v>5143</v>
      </c>
      <c r="BJ222" s="81" t="s">
        <v>282</v>
      </c>
      <c r="BL222" s="81" t="s">
        <v>886</v>
      </c>
      <c r="BM222" s="81">
        <v>219</v>
      </c>
      <c r="BN222" s="81" t="str">
        <f t="shared" si="164"/>
        <v>='November 36'!C12</v>
      </c>
      <c r="BP222" s="81" t="str">
        <f t="shared" ca="1" si="172"/>
        <v/>
      </c>
      <c r="BR222" s="84">
        <f t="shared" si="166"/>
        <v>0</v>
      </c>
      <c r="BS222" s="84">
        <f t="shared" si="167"/>
        <v>0</v>
      </c>
      <c r="CA222" s="81" t="s">
        <v>2</v>
      </c>
      <c r="CB222" s="81">
        <f t="shared" si="173"/>
        <v>0</v>
      </c>
      <c r="CC222" s="81">
        <f t="shared" si="174"/>
        <v>0</v>
      </c>
      <c r="CD222" s="81" t="s">
        <v>16</v>
      </c>
      <c r="CE222" s="81">
        <f t="shared" si="175"/>
        <v>0</v>
      </c>
      <c r="CF222" s="81">
        <f t="shared" si="176"/>
        <v>0</v>
      </c>
      <c r="CG222" s="81" t="s">
        <v>5</v>
      </c>
      <c r="CH222" s="81">
        <f t="shared" si="177"/>
        <v>0</v>
      </c>
      <c r="CI222" s="81">
        <f t="shared" si="178"/>
        <v>0</v>
      </c>
      <c r="CJ222" s="81" t="s">
        <v>18</v>
      </c>
      <c r="CK222" s="81">
        <f t="shared" si="179"/>
        <v>0</v>
      </c>
      <c r="CL222" s="81">
        <f t="shared" si="180"/>
        <v>0</v>
      </c>
      <c r="CM222" s="81" t="s">
        <v>4</v>
      </c>
      <c r="CN222" s="81">
        <f t="shared" si="181"/>
        <v>0</v>
      </c>
      <c r="CO222" s="81">
        <f t="shared" si="182"/>
        <v>0</v>
      </c>
      <c r="CP222" s="81" t="s">
        <v>22</v>
      </c>
      <c r="CQ222" s="81">
        <f t="shared" si="183"/>
        <v>0</v>
      </c>
      <c r="CR222" s="81">
        <f t="shared" si="184"/>
        <v>0</v>
      </c>
      <c r="CS222" s="81" t="s">
        <v>21</v>
      </c>
      <c r="CT222" s="81">
        <f t="shared" si="185"/>
        <v>0</v>
      </c>
      <c r="CU222" s="81">
        <f t="shared" si="186"/>
        <v>0</v>
      </c>
      <c r="CV222" s="81" t="s">
        <v>998</v>
      </c>
      <c r="CW222" s="81">
        <f t="shared" si="187"/>
        <v>0</v>
      </c>
      <c r="CX222" s="81">
        <f t="shared" si="188"/>
        <v>0</v>
      </c>
      <c r="CY222" s="81" t="s">
        <v>19</v>
      </c>
      <c r="CZ222" s="81">
        <f t="shared" si="189"/>
        <v>0</v>
      </c>
      <c r="DA222" s="81">
        <f t="shared" si="190"/>
        <v>0</v>
      </c>
      <c r="DB222" s="81" t="s">
        <v>20</v>
      </c>
      <c r="DC222" s="81">
        <f t="shared" si="191"/>
        <v>0</v>
      </c>
      <c r="DD222" s="81">
        <f t="shared" si="192"/>
        <v>0</v>
      </c>
      <c r="DE222" s="81" t="s">
        <v>23</v>
      </c>
      <c r="DF222" s="81">
        <f t="shared" si="193"/>
        <v>0</v>
      </c>
      <c r="DG222" s="81">
        <f t="shared" si="194"/>
        <v>0</v>
      </c>
      <c r="DH222" s="81" t="s">
        <v>15</v>
      </c>
      <c r="DI222" s="81">
        <f t="shared" si="195"/>
        <v>0</v>
      </c>
      <c r="DJ222" s="81">
        <f t="shared" si="196"/>
        <v>0</v>
      </c>
      <c r="DK222" s="81" t="s">
        <v>5444</v>
      </c>
      <c r="DL222" s="81">
        <f t="shared" si="197"/>
        <v>0</v>
      </c>
      <c r="DM222" s="81">
        <f t="shared" si="198"/>
        <v>0</v>
      </c>
      <c r="DN222" s="81" t="s">
        <v>7</v>
      </c>
      <c r="DO222" s="81">
        <f t="shared" si="199"/>
        <v>0</v>
      </c>
      <c r="DP222" s="81">
        <f t="shared" si="200"/>
        <v>0</v>
      </c>
      <c r="DQ222" s="81" t="s">
        <v>1</v>
      </c>
      <c r="DR222" s="81">
        <f t="shared" si="201"/>
        <v>0</v>
      </c>
      <c r="DS222" s="81">
        <f t="shared" si="202"/>
        <v>0</v>
      </c>
    </row>
    <row r="223" spans="14:123" x14ac:dyDescent="0.3">
      <c r="N223" s="81">
        <f>IF(Q224=0,IF(Q223=0,,"x"),)</f>
        <v>0</v>
      </c>
      <c r="O223" s="81">
        <f t="shared" si="203"/>
        <v>0</v>
      </c>
      <c r="P223" s="81">
        <f t="shared" si="168"/>
        <v>0</v>
      </c>
      <c r="Q223" s="81">
        <f t="shared" si="204"/>
        <v>0</v>
      </c>
      <c r="R223" s="81">
        <f>IF(W223="",,SUM($W$4:W223))</f>
        <v>0</v>
      </c>
      <c r="S223" s="81">
        <f t="shared" si="169"/>
        <v>0</v>
      </c>
      <c r="T223" s="81">
        <f t="shared" si="205"/>
        <v>0</v>
      </c>
      <c r="U223" s="81">
        <f t="shared" si="170"/>
        <v>0</v>
      </c>
      <c r="AE223" s="81">
        <v>223</v>
      </c>
      <c r="AI223" s="81">
        <v>220</v>
      </c>
      <c r="AJ223" s="81" t="str">
        <f t="shared" si="161"/>
        <v>December 36</v>
      </c>
      <c r="AK223" s="81" t="str">
        <f t="shared" si="207"/>
        <v>December</v>
      </c>
      <c r="AL223" s="81">
        <f t="shared" si="206"/>
        <v>36</v>
      </c>
      <c r="AM223" s="81" t="str">
        <f t="shared" si="171"/>
        <v>='December 36'!</v>
      </c>
      <c r="AN223" s="81" t="str">
        <f t="shared" si="165"/>
        <v>='December 36'!C27</v>
      </c>
      <c r="AO223" s="81" t="s">
        <v>1223</v>
      </c>
      <c r="AR223" s="81" t="s">
        <v>283</v>
      </c>
      <c r="AS223" s="83" t="str">
        <f t="shared" si="162"/>
        <v>='December 36'!C6</v>
      </c>
      <c r="AT223" s="83">
        <f t="shared" si="163"/>
        <v>0</v>
      </c>
      <c r="AV223" s="81" t="s">
        <v>584</v>
      </c>
      <c r="AW223" s="81" t="s">
        <v>3727</v>
      </c>
      <c r="AX223" s="81" t="s">
        <v>3728</v>
      </c>
      <c r="AY223" s="81" t="s">
        <v>3729</v>
      </c>
      <c r="AZ223" s="81" t="s">
        <v>3730</v>
      </c>
      <c r="BA223" s="81" t="s">
        <v>3731</v>
      </c>
      <c r="BB223" s="81" t="s">
        <v>3732</v>
      </c>
      <c r="BC223" s="81" t="s">
        <v>3733</v>
      </c>
      <c r="BD223" s="81" t="s">
        <v>3734</v>
      </c>
      <c r="BE223" s="81" t="s">
        <v>3735</v>
      </c>
      <c r="BF223" s="81" t="s">
        <v>3736</v>
      </c>
      <c r="BG223" s="81" t="s">
        <v>3737</v>
      </c>
      <c r="BH223" s="81" t="s">
        <v>4840</v>
      </c>
      <c r="BI223" s="81" t="s">
        <v>5144</v>
      </c>
      <c r="BJ223" s="81" t="s">
        <v>283</v>
      </c>
      <c r="BL223" s="81" t="s">
        <v>887</v>
      </c>
      <c r="BM223" s="81">
        <v>220</v>
      </c>
      <c r="BN223" s="81" t="str">
        <f t="shared" si="164"/>
        <v>='December 36'!C12</v>
      </c>
      <c r="BP223" s="81" t="str">
        <f t="shared" ca="1" si="172"/>
        <v/>
      </c>
      <c r="BR223" s="84">
        <f t="shared" si="166"/>
        <v>0</v>
      </c>
      <c r="BS223" s="84">
        <f t="shared" si="167"/>
        <v>0</v>
      </c>
      <c r="CA223" s="81" t="s">
        <v>2</v>
      </c>
      <c r="CB223" s="81">
        <f t="shared" si="173"/>
        <v>0</v>
      </c>
      <c r="CC223" s="81">
        <f t="shared" si="174"/>
        <v>0</v>
      </c>
      <c r="CD223" s="81" t="s">
        <v>16</v>
      </c>
      <c r="CE223" s="81">
        <f t="shared" si="175"/>
        <v>0</v>
      </c>
      <c r="CF223" s="81">
        <f t="shared" si="176"/>
        <v>0</v>
      </c>
      <c r="CG223" s="81" t="s">
        <v>5</v>
      </c>
      <c r="CH223" s="81">
        <f t="shared" si="177"/>
        <v>0</v>
      </c>
      <c r="CI223" s="81">
        <f t="shared" si="178"/>
        <v>0</v>
      </c>
      <c r="CJ223" s="81" t="s">
        <v>18</v>
      </c>
      <c r="CK223" s="81">
        <f t="shared" si="179"/>
        <v>0</v>
      </c>
      <c r="CL223" s="81">
        <f t="shared" si="180"/>
        <v>0</v>
      </c>
      <c r="CM223" s="81" t="s">
        <v>4</v>
      </c>
      <c r="CN223" s="81">
        <f t="shared" si="181"/>
        <v>0</v>
      </c>
      <c r="CO223" s="81">
        <f t="shared" si="182"/>
        <v>0</v>
      </c>
      <c r="CP223" s="81" t="s">
        <v>22</v>
      </c>
      <c r="CQ223" s="81">
        <f t="shared" si="183"/>
        <v>0</v>
      </c>
      <c r="CR223" s="81">
        <f t="shared" si="184"/>
        <v>0</v>
      </c>
      <c r="CS223" s="81" t="s">
        <v>21</v>
      </c>
      <c r="CT223" s="81">
        <f t="shared" si="185"/>
        <v>0</v>
      </c>
      <c r="CU223" s="81">
        <f t="shared" si="186"/>
        <v>0</v>
      </c>
      <c r="CV223" s="81" t="s">
        <v>998</v>
      </c>
      <c r="CW223" s="81">
        <f t="shared" si="187"/>
        <v>0</v>
      </c>
      <c r="CX223" s="81">
        <f t="shared" si="188"/>
        <v>0</v>
      </c>
      <c r="CY223" s="81" t="s">
        <v>19</v>
      </c>
      <c r="CZ223" s="81">
        <f t="shared" si="189"/>
        <v>0</v>
      </c>
      <c r="DA223" s="81">
        <f t="shared" si="190"/>
        <v>0</v>
      </c>
      <c r="DB223" s="81" t="s">
        <v>20</v>
      </c>
      <c r="DC223" s="81">
        <f t="shared" si="191"/>
        <v>0</v>
      </c>
      <c r="DD223" s="81">
        <f t="shared" si="192"/>
        <v>0</v>
      </c>
      <c r="DE223" s="81" t="s">
        <v>23</v>
      </c>
      <c r="DF223" s="81">
        <f t="shared" si="193"/>
        <v>0</v>
      </c>
      <c r="DG223" s="81">
        <f t="shared" si="194"/>
        <v>0</v>
      </c>
      <c r="DH223" s="81" t="s">
        <v>15</v>
      </c>
      <c r="DI223" s="81">
        <f t="shared" si="195"/>
        <v>0</v>
      </c>
      <c r="DJ223" s="81">
        <f t="shared" si="196"/>
        <v>0</v>
      </c>
      <c r="DK223" s="81" t="s">
        <v>5445</v>
      </c>
      <c r="DL223" s="81">
        <f t="shared" si="197"/>
        <v>0</v>
      </c>
      <c r="DM223" s="81">
        <f t="shared" si="198"/>
        <v>0</v>
      </c>
      <c r="DN223" s="81" t="s">
        <v>7</v>
      </c>
      <c r="DO223" s="81">
        <f t="shared" si="199"/>
        <v>0</v>
      </c>
      <c r="DP223" s="81">
        <f t="shared" si="200"/>
        <v>0</v>
      </c>
      <c r="DQ223" s="81" t="s">
        <v>1</v>
      </c>
      <c r="DR223" s="81">
        <f t="shared" si="201"/>
        <v>0</v>
      </c>
      <c r="DS223" s="81">
        <f t="shared" si="202"/>
        <v>0</v>
      </c>
    </row>
    <row r="224" spans="14:123" x14ac:dyDescent="0.3">
      <c r="N224" s="81">
        <f>IF(Q225=0,IF(Q224=0,,"x"),)</f>
        <v>0</v>
      </c>
      <c r="O224" s="81">
        <f t="shared" si="203"/>
        <v>0</v>
      </c>
      <c r="P224" s="81">
        <f t="shared" si="168"/>
        <v>0</v>
      </c>
      <c r="Q224" s="81">
        <f t="shared" si="204"/>
        <v>0</v>
      </c>
      <c r="R224" s="81">
        <f>IF(W224="",,SUM($W$4:W224))</f>
        <v>0</v>
      </c>
      <c r="S224" s="81">
        <f t="shared" si="169"/>
        <v>0</v>
      </c>
      <c r="T224" s="81">
        <f t="shared" si="205"/>
        <v>0</v>
      </c>
      <c r="U224" s="81">
        <f t="shared" si="170"/>
        <v>0</v>
      </c>
      <c r="AE224" s="81">
        <v>224</v>
      </c>
      <c r="AI224" s="81">
        <v>221</v>
      </c>
      <c r="AJ224" s="81" t="str">
        <f t="shared" si="161"/>
        <v>Januari 37</v>
      </c>
      <c r="AK224" s="81" t="str">
        <f t="shared" si="207"/>
        <v>Januari</v>
      </c>
      <c r="AL224" s="81">
        <f t="shared" si="206"/>
        <v>37</v>
      </c>
      <c r="AM224" s="81" t="str">
        <f t="shared" si="171"/>
        <v>='Januari 37'!</v>
      </c>
      <c r="AN224" s="81" t="str">
        <f t="shared" si="165"/>
        <v>='Januari 37'!C27</v>
      </c>
      <c r="AO224" s="81" t="s">
        <v>1224</v>
      </c>
      <c r="AR224" s="81" t="s">
        <v>284</v>
      </c>
      <c r="AS224" s="83" t="str">
        <f t="shared" si="162"/>
        <v>='Januari 37'!C6</v>
      </c>
      <c r="AT224" s="83">
        <f t="shared" si="163"/>
        <v>0</v>
      </c>
      <c r="AV224" s="81" t="s">
        <v>585</v>
      </c>
      <c r="AW224" s="81" t="s">
        <v>3738</v>
      </c>
      <c r="AX224" s="81" t="s">
        <v>3739</v>
      </c>
      <c r="AY224" s="81" t="s">
        <v>3740</v>
      </c>
      <c r="AZ224" s="81" t="s">
        <v>3741</v>
      </c>
      <c r="BA224" s="81" t="s">
        <v>3742</v>
      </c>
      <c r="BB224" s="81" t="s">
        <v>3743</v>
      </c>
      <c r="BC224" s="81" t="s">
        <v>3744</v>
      </c>
      <c r="BD224" s="81" t="s">
        <v>3745</v>
      </c>
      <c r="BE224" s="81" t="s">
        <v>3746</v>
      </c>
      <c r="BF224" s="81" t="s">
        <v>3747</v>
      </c>
      <c r="BG224" s="81" t="s">
        <v>3748</v>
      </c>
      <c r="BH224" s="81" t="s">
        <v>4841</v>
      </c>
      <c r="BI224" s="81" t="s">
        <v>5145</v>
      </c>
      <c r="BJ224" s="81" t="s">
        <v>284</v>
      </c>
      <c r="BL224" s="81" t="s">
        <v>888</v>
      </c>
      <c r="BM224" s="81">
        <v>221</v>
      </c>
      <c r="BN224" s="81" t="str">
        <f t="shared" si="164"/>
        <v>='Januari 37'!C12</v>
      </c>
      <c r="BP224" s="81" t="str">
        <f t="shared" ca="1" si="172"/>
        <v/>
      </c>
      <c r="BR224" s="84">
        <f t="shared" si="166"/>
        <v>0</v>
      </c>
      <c r="BS224" s="84">
        <f t="shared" si="167"/>
        <v>0</v>
      </c>
      <c r="CA224" s="81" t="s">
        <v>2</v>
      </c>
      <c r="CB224" s="81">
        <f t="shared" si="173"/>
        <v>0</v>
      </c>
      <c r="CC224" s="81">
        <f t="shared" si="174"/>
        <v>0</v>
      </c>
      <c r="CD224" s="81" t="s">
        <v>16</v>
      </c>
      <c r="CE224" s="81">
        <f t="shared" si="175"/>
        <v>0</v>
      </c>
      <c r="CF224" s="81">
        <f t="shared" si="176"/>
        <v>0</v>
      </c>
      <c r="CG224" s="81" t="s">
        <v>5</v>
      </c>
      <c r="CH224" s="81">
        <f t="shared" si="177"/>
        <v>0</v>
      </c>
      <c r="CI224" s="81">
        <f t="shared" si="178"/>
        <v>0</v>
      </c>
      <c r="CJ224" s="81" t="s">
        <v>18</v>
      </c>
      <c r="CK224" s="81">
        <f t="shared" si="179"/>
        <v>0</v>
      </c>
      <c r="CL224" s="81">
        <f t="shared" si="180"/>
        <v>0</v>
      </c>
      <c r="CM224" s="81" t="s">
        <v>4</v>
      </c>
      <c r="CN224" s="81">
        <f t="shared" si="181"/>
        <v>0</v>
      </c>
      <c r="CO224" s="81">
        <f t="shared" si="182"/>
        <v>0</v>
      </c>
      <c r="CP224" s="81" t="s">
        <v>22</v>
      </c>
      <c r="CQ224" s="81">
        <f t="shared" si="183"/>
        <v>0</v>
      </c>
      <c r="CR224" s="81">
        <f t="shared" si="184"/>
        <v>0</v>
      </c>
      <c r="CS224" s="81" t="s">
        <v>21</v>
      </c>
      <c r="CT224" s="81">
        <f t="shared" si="185"/>
        <v>0</v>
      </c>
      <c r="CU224" s="81">
        <f t="shared" si="186"/>
        <v>0</v>
      </c>
      <c r="CV224" s="81" t="s">
        <v>998</v>
      </c>
      <c r="CW224" s="81">
        <f t="shared" si="187"/>
        <v>0</v>
      </c>
      <c r="CX224" s="81">
        <f t="shared" si="188"/>
        <v>0</v>
      </c>
      <c r="CY224" s="81" t="s">
        <v>19</v>
      </c>
      <c r="CZ224" s="81">
        <f t="shared" si="189"/>
        <v>0</v>
      </c>
      <c r="DA224" s="81">
        <f t="shared" si="190"/>
        <v>0</v>
      </c>
      <c r="DB224" s="81" t="s">
        <v>20</v>
      </c>
      <c r="DC224" s="81">
        <f t="shared" si="191"/>
        <v>0</v>
      </c>
      <c r="DD224" s="81">
        <f t="shared" si="192"/>
        <v>0</v>
      </c>
      <c r="DE224" s="81" t="s">
        <v>23</v>
      </c>
      <c r="DF224" s="81">
        <f t="shared" si="193"/>
        <v>0</v>
      </c>
      <c r="DG224" s="81">
        <f t="shared" si="194"/>
        <v>0</v>
      </c>
      <c r="DH224" s="81" t="s">
        <v>15</v>
      </c>
      <c r="DI224" s="81">
        <f t="shared" si="195"/>
        <v>0</v>
      </c>
      <c r="DJ224" s="81">
        <f t="shared" si="196"/>
        <v>0</v>
      </c>
      <c r="DK224" s="81" t="s">
        <v>5446</v>
      </c>
      <c r="DL224" s="81">
        <f t="shared" si="197"/>
        <v>0</v>
      </c>
      <c r="DM224" s="81">
        <f t="shared" si="198"/>
        <v>0</v>
      </c>
      <c r="DN224" s="81" t="s">
        <v>7</v>
      </c>
      <c r="DO224" s="81">
        <f t="shared" si="199"/>
        <v>0</v>
      </c>
      <c r="DP224" s="81">
        <f t="shared" si="200"/>
        <v>0</v>
      </c>
      <c r="DQ224" s="81" t="s">
        <v>1</v>
      </c>
      <c r="DR224" s="81">
        <f t="shared" si="201"/>
        <v>0</v>
      </c>
      <c r="DS224" s="81">
        <f t="shared" si="202"/>
        <v>0</v>
      </c>
    </row>
    <row r="225" spans="14:123" x14ac:dyDescent="0.3">
      <c r="N225" s="81">
        <f>IF(Q226=0,IF(Q225=0,,"x"),)</f>
        <v>0</v>
      </c>
      <c r="O225" s="81">
        <f t="shared" si="203"/>
        <v>0</v>
      </c>
      <c r="P225" s="81">
        <f t="shared" si="168"/>
        <v>0</v>
      </c>
      <c r="Q225" s="81">
        <f t="shared" si="204"/>
        <v>0</v>
      </c>
      <c r="R225" s="81">
        <f>IF(W225="",,SUM($W$4:W225))</f>
        <v>0</v>
      </c>
      <c r="S225" s="81">
        <f t="shared" si="169"/>
        <v>0</v>
      </c>
      <c r="T225" s="81">
        <f t="shared" si="205"/>
        <v>0</v>
      </c>
      <c r="U225" s="81">
        <f t="shared" si="170"/>
        <v>0</v>
      </c>
      <c r="AE225" s="81">
        <v>225</v>
      </c>
      <c r="AI225" s="81">
        <v>222</v>
      </c>
      <c r="AJ225" s="81" t="str">
        <f t="shared" si="161"/>
        <v>Februari 37</v>
      </c>
      <c r="AK225" s="81" t="str">
        <f t="shared" si="207"/>
        <v>Februari</v>
      </c>
      <c r="AL225" s="81">
        <f t="shared" si="206"/>
        <v>37</v>
      </c>
      <c r="AM225" s="81" t="str">
        <f t="shared" si="171"/>
        <v>='Februari 37'!</v>
      </c>
      <c r="AN225" s="81" t="str">
        <f t="shared" si="165"/>
        <v>='Februari 37'!C27</v>
      </c>
      <c r="AO225" s="81" t="s">
        <v>1225</v>
      </c>
      <c r="AR225" s="81" t="s">
        <v>285</v>
      </c>
      <c r="AS225" s="83" t="str">
        <f t="shared" si="162"/>
        <v>='Februari 37'!C6</v>
      </c>
      <c r="AT225" s="83">
        <f t="shared" si="163"/>
        <v>0</v>
      </c>
      <c r="AV225" s="81" t="s">
        <v>586</v>
      </c>
      <c r="AW225" s="81" t="s">
        <v>3749</v>
      </c>
      <c r="AX225" s="81" t="s">
        <v>3750</v>
      </c>
      <c r="AY225" s="81" t="s">
        <v>3751</v>
      </c>
      <c r="AZ225" s="81" t="s">
        <v>3752</v>
      </c>
      <c r="BA225" s="81" t="s">
        <v>3753</v>
      </c>
      <c r="BB225" s="81" t="s">
        <v>3754</v>
      </c>
      <c r="BC225" s="81" t="s">
        <v>3755</v>
      </c>
      <c r="BD225" s="81" t="s">
        <v>3756</v>
      </c>
      <c r="BE225" s="81" t="s">
        <v>3757</v>
      </c>
      <c r="BF225" s="81" t="s">
        <v>3758</v>
      </c>
      <c r="BG225" s="81" t="s">
        <v>3759</v>
      </c>
      <c r="BH225" s="81" t="s">
        <v>4842</v>
      </c>
      <c r="BI225" s="81" t="s">
        <v>5146</v>
      </c>
      <c r="BJ225" s="81" t="s">
        <v>285</v>
      </c>
      <c r="BL225" s="81" t="s">
        <v>889</v>
      </c>
      <c r="BM225" s="81">
        <v>222</v>
      </c>
      <c r="BN225" s="81" t="str">
        <f t="shared" si="164"/>
        <v>='Februari 37'!C12</v>
      </c>
      <c r="BP225" s="81" t="str">
        <f t="shared" ca="1" si="172"/>
        <v/>
      </c>
      <c r="BR225" s="84">
        <f t="shared" si="166"/>
        <v>0</v>
      </c>
      <c r="BS225" s="84">
        <f t="shared" si="167"/>
        <v>0</v>
      </c>
      <c r="CA225" s="81" t="s">
        <v>2</v>
      </c>
      <c r="CB225" s="81">
        <f t="shared" si="173"/>
        <v>0</v>
      </c>
      <c r="CC225" s="81">
        <f t="shared" si="174"/>
        <v>0</v>
      </c>
      <c r="CD225" s="81" t="s">
        <v>16</v>
      </c>
      <c r="CE225" s="81">
        <f t="shared" si="175"/>
        <v>0</v>
      </c>
      <c r="CF225" s="81">
        <f t="shared" si="176"/>
        <v>0</v>
      </c>
      <c r="CG225" s="81" t="s">
        <v>5</v>
      </c>
      <c r="CH225" s="81">
        <f t="shared" si="177"/>
        <v>0</v>
      </c>
      <c r="CI225" s="81">
        <f t="shared" si="178"/>
        <v>0</v>
      </c>
      <c r="CJ225" s="81" t="s">
        <v>18</v>
      </c>
      <c r="CK225" s="81">
        <f t="shared" si="179"/>
        <v>0</v>
      </c>
      <c r="CL225" s="81">
        <f t="shared" si="180"/>
        <v>0</v>
      </c>
      <c r="CM225" s="81" t="s">
        <v>4</v>
      </c>
      <c r="CN225" s="81">
        <f t="shared" si="181"/>
        <v>0</v>
      </c>
      <c r="CO225" s="81">
        <f t="shared" si="182"/>
        <v>0</v>
      </c>
      <c r="CP225" s="81" t="s">
        <v>22</v>
      </c>
      <c r="CQ225" s="81">
        <f t="shared" si="183"/>
        <v>0</v>
      </c>
      <c r="CR225" s="81">
        <f t="shared" si="184"/>
        <v>0</v>
      </c>
      <c r="CS225" s="81" t="s">
        <v>21</v>
      </c>
      <c r="CT225" s="81">
        <f t="shared" si="185"/>
        <v>0</v>
      </c>
      <c r="CU225" s="81">
        <f t="shared" si="186"/>
        <v>0</v>
      </c>
      <c r="CV225" s="81" t="s">
        <v>998</v>
      </c>
      <c r="CW225" s="81">
        <f t="shared" si="187"/>
        <v>0</v>
      </c>
      <c r="CX225" s="81">
        <f t="shared" si="188"/>
        <v>0</v>
      </c>
      <c r="CY225" s="81" t="s">
        <v>19</v>
      </c>
      <c r="CZ225" s="81">
        <f t="shared" si="189"/>
        <v>0</v>
      </c>
      <c r="DA225" s="81">
        <f t="shared" si="190"/>
        <v>0</v>
      </c>
      <c r="DB225" s="81" t="s">
        <v>20</v>
      </c>
      <c r="DC225" s="81">
        <f t="shared" si="191"/>
        <v>0</v>
      </c>
      <c r="DD225" s="81">
        <f t="shared" si="192"/>
        <v>0</v>
      </c>
      <c r="DE225" s="81" t="s">
        <v>23</v>
      </c>
      <c r="DF225" s="81">
        <f t="shared" si="193"/>
        <v>0</v>
      </c>
      <c r="DG225" s="81">
        <f t="shared" si="194"/>
        <v>0</v>
      </c>
      <c r="DH225" s="81" t="s">
        <v>15</v>
      </c>
      <c r="DI225" s="81">
        <f t="shared" si="195"/>
        <v>0</v>
      </c>
      <c r="DJ225" s="81">
        <f t="shared" si="196"/>
        <v>0</v>
      </c>
      <c r="DK225" s="81" t="s">
        <v>5447</v>
      </c>
      <c r="DL225" s="81">
        <f t="shared" si="197"/>
        <v>0</v>
      </c>
      <c r="DM225" s="81">
        <f t="shared" si="198"/>
        <v>0</v>
      </c>
      <c r="DN225" s="81" t="s">
        <v>7</v>
      </c>
      <c r="DO225" s="81">
        <f t="shared" si="199"/>
        <v>0</v>
      </c>
      <c r="DP225" s="81">
        <f t="shared" si="200"/>
        <v>0</v>
      </c>
      <c r="DQ225" s="81" t="s">
        <v>1</v>
      </c>
      <c r="DR225" s="81">
        <f t="shared" si="201"/>
        <v>0</v>
      </c>
      <c r="DS225" s="81">
        <f t="shared" si="202"/>
        <v>0</v>
      </c>
    </row>
    <row r="226" spans="14:123" x14ac:dyDescent="0.3">
      <c r="N226" s="81">
        <f>IF(Q227=0,IF(Q226=0,,"x"),)</f>
        <v>0</v>
      </c>
      <c r="O226" s="81">
        <f t="shared" si="203"/>
        <v>0</v>
      </c>
      <c r="P226" s="81">
        <f t="shared" si="168"/>
        <v>0</v>
      </c>
      <c r="Q226" s="81">
        <f t="shared" si="204"/>
        <v>0</v>
      </c>
      <c r="R226" s="81">
        <f>IF(W226="",,SUM($W$4:W226))</f>
        <v>0</v>
      </c>
      <c r="S226" s="81">
        <f t="shared" si="169"/>
        <v>0</v>
      </c>
      <c r="T226" s="81">
        <f t="shared" si="205"/>
        <v>0</v>
      </c>
      <c r="U226" s="81">
        <f t="shared" si="170"/>
        <v>0</v>
      </c>
      <c r="AE226" s="81">
        <v>226</v>
      </c>
      <c r="AI226" s="81">
        <v>223</v>
      </c>
      <c r="AJ226" s="81" t="str">
        <f t="shared" si="161"/>
        <v>Mars 37</v>
      </c>
      <c r="AK226" s="81" t="str">
        <f t="shared" si="207"/>
        <v>Mars</v>
      </c>
      <c r="AL226" s="81">
        <f t="shared" si="206"/>
        <v>37</v>
      </c>
      <c r="AM226" s="81" t="str">
        <f t="shared" si="171"/>
        <v>='Mars 37'!</v>
      </c>
      <c r="AN226" s="81" t="str">
        <f t="shared" si="165"/>
        <v>='Mars 37'!C27</v>
      </c>
      <c r="AO226" s="81" t="s">
        <v>1226</v>
      </c>
      <c r="AR226" s="81" t="s">
        <v>286</v>
      </c>
      <c r="AS226" s="83" t="str">
        <f t="shared" si="162"/>
        <v>='Mars 37'!C6</v>
      </c>
      <c r="AT226" s="83">
        <f t="shared" si="163"/>
        <v>0</v>
      </c>
      <c r="AV226" s="81" t="s">
        <v>587</v>
      </c>
      <c r="AW226" s="81" t="s">
        <v>3760</v>
      </c>
      <c r="AX226" s="81" t="s">
        <v>3761</v>
      </c>
      <c r="AY226" s="81" t="s">
        <v>3762</v>
      </c>
      <c r="AZ226" s="81" t="s">
        <v>3763</v>
      </c>
      <c r="BA226" s="81" t="s">
        <v>3764</v>
      </c>
      <c r="BB226" s="81" t="s">
        <v>3765</v>
      </c>
      <c r="BC226" s="81" t="s">
        <v>3766</v>
      </c>
      <c r="BD226" s="81" t="s">
        <v>3767</v>
      </c>
      <c r="BE226" s="81" t="s">
        <v>3768</v>
      </c>
      <c r="BF226" s="81" t="s">
        <v>3769</v>
      </c>
      <c r="BG226" s="81" t="s">
        <v>3770</v>
      </c>
      <c r="BH226" s="81" t="s">
        <v>4843</v>
      </c>
      <c r="BI226" s="81" t="s">
        <v>5147</v>
      </c>
      <c r="BJ226" s="81" t="s">
        <v>286</v>
      </c>
      <c r="BL226" s="81" t="s">
        <v>890</v>
      </c>
      <c r="BM226" s="81">
        <v>223</v>
      </c>
      <c r="BN226" s="81" t="str">
        <f t="shared" si="164"/>
        <v>='Mars 37'!C12</v>
      </c>
      <c r="BP226" s="81" t="str">
        <f t="shared" ca="1" si="172"/>
        <v/>
      </c>
      <c r="BR226" s="84">
        <f t="shared" si="166"/>
        <v>0</v>
      </c>
      <c r="BS226" s="84">
        <f t="shared" si="167"/>
        <v>0</v>
      </c>
      <c r="CA226" s="81" t="s">
        <v>2</v>
      </c>
      <c r="CB226" s="81">
        <f t="shared" si="173"/>
        <v>0</v>
      </c>
      <c r="CC226" s="81">
        <f t="shared" si="174"/>
        <v>0</v>
      </c>
      <c r="CD226" s="81" t="s">
        <v>16</v>
      </c>
      <c r="CE226" s="81">
        <f t="shared" si="175"/>
        <v>0</v>
      </c>
      <c r="CF226" s="81">
        <f t="shared" si="176"/>
        <v>0</v>
      </c>
      <c r="CG226" s="81" t="s">
        <v>5</v>
      </c>
      <c r="CH226" s="81">
        <f t="shared" si="177"/>
        <v>0</v>
      </c>
      <c r="CI226" s="81">
        <f t="shared" si="178"/>
        <v>0</v>
      </c>
      <c r="CJ226" s="81" t="s">
        <v>18</v>
      </c>
      <c r="CK226" s="81">
        <f t="shared" si="179"/>
        <v>0</v>
      </c>
      <c r="CL226" s="81">
        <f t="shared" si="180"/>
        <v>0</v>
      </c>
      <c r="CM226" s="81" t="s">
        <v>4</v>
      </c>
      <c r="CN226" s="81">
        <f t="shared" si="181"/>
        <v>0</v>
      </c>
      <c r="CO226" s="81">
        <f t="shared" si="182"/>
        <v>0</v>
      </c>
      <c r="CP226" s="81" t="s">
        <v>22</v>
      </c>
      <c r="CQ226" s="81">
        <f t="shared" si="183"/>
        <v>0</v>
      </c>
      <c r="CR226" s="81">
        <f t="shared" si="184"/>
        <v>0</v>
      </c>
      <c r="CS226" s="81" t="s">
        <v>21</v>
      </c>
      <c r="CT226" s="81">
        <f t="shared" si="185"/>
        <v>0</v>
      </c>
      <c r="CU226" s="81">
        <f t="shared" si="186"/>
        <v>0</v>
      </c>
      <c r="CV226" s="81" t="s">
        <v>998</v>
      </c>
      <c r="CW226" s="81">
        <f t="shared" si="187"/>
        <v>0</v>
      </c>
      <c r="CX226" s="81">
        <f t="shared" si="188"/>
        <v>0</v>
      </c>
      <c r="CY226" s="81" t="s">
        <v>19</v>
      </c>
      <c r="CZ226" s="81">
        <f t="shared" si="189"/>
        <v>0</v>
      </c>
      <c r="DA226" s="81">
        <f t="shared" si="190"/>
        <v>0</v>
      </c>
      <c r="DB226" s="81" t="s">
        <v>20</v>
      </c>
      <c r="DC226" s="81">
        <f t="shared" si="191"/>
        <v>0</v>
      </c>
      <c r="DD226" s="81">
        <f t="shared" si="192"/>
        <v>0</v>
      </c>
      <c r="DE226" s="81" t="s">
        <v>23</v>
      </c>
      <c r="DF226" s="81">
        <f t="shared" si="193"/>
        <v>0</v>
      </c>
      <c r="DG226" s="81">
        <f t="shared" si="194"/>
        <v>0</v>
      </c>
      <c r="DH226" s="81" t="s">
        <v>15</v>
      </c>
      <c r="DI226" s="81">
        <f t="shared" si="195"/>
        <v>0</v>
      </c>
      <c r="DJ226" s="81">
        <f t="shared" si="196"/>
        <v>0</v>
      </c>
      <c r="DK226" s="81" t="s">
        <v>5448</v>
      </c>
      <c r="DL226" s="81">
        <f t="shared" si="197"/>
        <v>0</v>
      </c>
      <c r="DM226" s="81">
        <f t="shared" si="198"/>
        <v>0</v>
      </c>
      <c r="DN226" s="81" t="s">
        <v>7</v>
      </c>
      <c r="DO226" s="81">
        <f t="shared" si="199"/>
        <v>0</v>
      </c>
      <c r="DP226" s="81">
        <f t="shared" si="200"/>
        <v>0</v>
      </c>
      <c r="DQ226" s="81" t="s">
        <v>1</v>
      </c>
      <c r="DR226" s="81">
        <f t="shared" si="201"/>
        <v>0</v>
      </c>
      <c r="DS226" s="81">
        <f t="shared" si="202"/>
        <v>0</v>
      </c>
    </row>
    <row r="227" spans="14:123" x14ac:dyDescent="0.3">
      <c r="N227" s="81">
        <f>IF(Q228=0,IF(Q227=0,,"x"),)</f>
        <v>0</v>
      </c>
      <c r="O227" s="81">
        <f t="shared" si="203"/>
        <v>0</v>
      </c>
      <c r="P227" s="81">
        <f t="shared" si="168"/>
        <v>0</v>
      </c>
      <c r="Q227" s="81">
        <f t="shared" si="204"/>
        <v>0</v>
      </c>
      <c r="R227" s="81">
        <f>IF(W227="",,SUM($W$4:W227))</f>
        <v>0</v>
      </c>
      <c r="S227" s="81">
        <f t="shared" si="169"/>
        <v>0</v>
      </c>
      <c r="T227" s="81">
        <f t="shared" si="205"/>
        <v>0</v>
      </c>
      <c r="U227" s="81">
        <f t="shared" si="170"/>
        <v>0</v>
      </c>
      <c r="AE227" s="81">
        <v>227</v>
      </c>
      <c r="AI227" s="81">
        <v>224</v>
      </c>
      <c r="AJ227" s="81" t="str">
        <f t="shared" si="161"/>
        <v>April 37</v>
      </c>
      <c r="AK227" s="81" t="str">
        <f t="shared" si="207"/>
        <v>April</v>
      </c>
      <c r="AL227" s="81">
        <f t="shared" si="206"/>
        <v>37</v>
      </c>
      <c r="AM227" s="81" t="str">
        <f t="shared" si="171"/>
        <v>='April 37'!</v>
      </c>
      <c r="AN227" s="81" t="str">
        <f t="shared" si="165"/>
        <v>='April 37'!C27</v>
      </c>
      <c r="AO227" s="81" t="s">
        <v>1227</v>
      </c>
      <c r="AR227" s="81" t="s">
        <v>287</v>
      </c>
      <c r="AS227" s="83" t="str">
        <f t="shared" si="162"/>
        <v>='April 37'!C6</v>
      </c>
      <c r="AT227" s="83">
        <f t="shared" si="163"/>
        <v>0</v>
      </c>
      <c r="AV227" s="81" t="s">
        <v>588</v>
      </c>
      <c r="AW227" s="81" t="s">
        <v>3771</v>
      </c>
      <c r="AX227" s="81" t="s">
        <v>3772</v>
      </c>
      <c r="AY227" s="81" t="s">
        <v>3773</v>
      </c>
      <c r="AZ227" s="81" t="s">
        <v>3774</v>
      </c>
      <c r="BA227" s="81" t="s">
        <v>3775</v>
      </c>
      <c r="BB227" s="81" t="s">
        <v>3776</v>
      </c>
      <c r="BC227" s="81" t="s">
        <v>3777</v>
      </c>
      <c r="BD227" s="81" t="s">
        <v>3778</v>
      </c>
      <c r="BE227" s="81" t="s">
        <v>3779</v>
      </c>
      <c r="BF227" s="81" t="s">
        <v>3780</v>
      </c>
      <c r="BG227" s="81" t="s">
        <v>3781</v>
      </c>
      <c r="BH227" s="81" t="s">
        <v>4844</v>
      </c>
      <c r="BI227" s="81" t="s">
        <v>5148</v>
      </c>
      <c r="BJ227" s="81" t="s">
        <v>287</v>
      </c>
      <c r="BL227" s="81" t="s">
        <v>891</v>
      </c>
      <c r="BM227" s="81">
        <v>224</v>
      </c>
      <c r="BN227" s="81" t="str">
        <f t="shared" si="164"/>
        <v>='April 37'!C12</v>
      </c>
      <c r="BP227" s="81" t="str">
        <f t="shared" ca="1" si="172"/>
        <v/>
      </c>
      <c r="BR227" s="84">
        <f t="shared" si="166"/>
        <v>0</v>
      </c>
      <c r="BS227" s="84">
        <f t="shared" si="167"/>
        <v>0</v>
      </c>
      <c r="CA227" s="81" t="s">
        <v>2</v>
      </c>
      <c r="CB227" s="81">
        <f t="shared" si="173"/>
        <v>0</v>
      </c>
      <c r="CC227" s="81">
        <f t="shared" si="174"/>
        <v>0</v>
      </c>
      <c r="CD227" s="81" t="s">
        <v>16</v>
      </c>
      <c r="CE227" s="81">
        <f t="shared" si="175"/>
        <v>0</v>
      </c>
      <c r="CF227" s="81">
        <f t="shared" si="176"/>
        <v>0</v>
      </c>
      <c r="CG227" s="81" t="s">
        <v>5</v>
      </c>
      <c r="CH227" s="81">
        <f t="shared" si="177"/>
        <v>0</v>
      </c>
      <c r="CI227" s="81">
        <f t="shared" si="178"/>
        <v>0</v>
      </c>
      <c r="CJ227" s="81" t="s">
        <v>18</v>
      </c>
      <c r="CK227" s="81">
        <f t="shared" si="179"/>
        <v>0</v>
      </c>
      <c r="CL227" s="81">
        <f t="shared" si="180"/>
        <v>0</v>
      </c>
      <c r="CM227" s="81" t="s">
        <v>4</v>
      </c>
      <c r="CN227" s="81">
        <f t="shared" si="181"/>
        <v>0</v>
      </c>
      <c r="CO227" s="81">
        <f t="shared" si="182"/>
        <v>0</v>
      </c>
      <c r="CP227" s="81" t="s">
        <v>22</v>
      </c>
      <c r="CQ227" s="81">
        <f t="shared" si="183"/>
        <v>0</v>
      </c>
      <c r="CR227" s="81">
        <f t="shared" si="184"/>
        <v>0</v>
      </c>
      <c r="CS227" s="81" t="s">
        <v>21</v>
      </c>
      <c r="CT227" s="81">
        <f t="shared" si="185"/>
        <v>0</v>
      </c>
      <c r="CU227" s="81">
        <f t="shared" si="186"/>
        <v>0</v>
      </c>
      <c r="CV227" s="81" t="s">
        <v>998</v>
      </c>
      <c r="CW227" s="81">
        <f t="shared" si="187"/>
        <v>0</v>
      </c>
      <c r="CX227" s="81">
        <f t="shared" si="188"/>
        <v>0</v>
      </c>
      <c r="CY227" s="81" t="s">
        <v>19</v>
      </c>
      <c r="CZ227" s="81">
        <f t="shared" si="189"/>
        <v>0</v>
      </c>
      <c r="DA227" s="81">
        <f t="shared" si="190"/>
        <v>0</v>
      </c>
      <c r="DB227" s="81" t="s">
        <v>20</v>
      </c>
      <c r="DC227" s="81">
        <f t="shared" si="191"/>
        <v>0</v>
      </c>
      <c r="DD227" s="81">
        <f t="shared" si="192"/>
        <v>0</v>
      </c>
      <c r="DE227" s="81" t="s">
        <v>23</v>
      </c>
      <c r="DF227" s="81">
        <f t="shared" si="193"/>
        <v>0</v>
      </c>
      <c r="DG227" s="81">
        <f t="shared" si="194"/>
        <v>0</v>
      </c>
      <c r="DH227" s="81" t="s">
        <v>15</v>
      </c>
      <c r="DI227" s="81">
        <f t="shared" si="195"/>
        <v>0</v>
      </c>
      <c r="DJ227" s="81">
        <f t="shared" si="196"/>
        <v>0</v>
      </c>
      <c r="DK227" s="81" t="s">
        <v>5449</v>
      </c>
      <c r="DL227" s="81">
        <f t="shared" si="197"/>
        <v>0</v>
      </c>
      <c r="DM227" s="81">
        <f t="shared" si="198"/>
        <v>0</v>
      </c>
      <c r="DN227" s="81" t="s">
        <v>7</v>
      </c>
      <c r="DO227" s="81">
        <f t="shared" si="199"/>
        <v>0</v>
      </c>
      <c r="DP227" s="81">
        <f t="shared" si="200"/>
        <v>0</v>
      </c>
      <c r="DQ227" s="81" t="s">
        <v>1</v>
      </c>
      <c r="DR227" s="81">
        <f t="shared" si="201"/>
        <v>0</v>
      </c>
      <c r="DS227" s="81">
        <f t="shared" si="202"/>
        <v>0</v>
      </c>
    </row>
    <row r="228" spans="14:123" x14ac:dyDescent="0.3">
      <c r="N228" s="81">
        <f>IF(Q229=0,IF(Q228=0,,"x"),)</f>
        <v>0</v>
      </c>
      <c r="O228" s="81">
        <f t="shared" si="203"/>
        <v>0</v>
      </c>
      <c r="P228" s="81">
        <f t="shared" si="168"/>
        <v>0</v>
      </c>
      <c r="Q228" s="81">
        <f t="shared" si="204"/>
        <v>0</v>
      </c>
      <c r="R228" s="81">
        <f>IF(W228="",,SUM($W$4:W228))</f>
        <v>0</v>
      </c>
      <c r="S228" s="81">
        <f t="shared" si="169"/>
        <v>0</v>
      </c>
      <c r="T228" s="81">
        <f t="shared" si="205"/>
        <v>0</v>
      </c>
      <c r="U228" s="81">
        <f t="shared" si="170"/>
        <v>0</v>
      </c>
      <c r="AE228" s="81">
        <v>228</v>
      </c>
      <c r="AI228" s="81">
        <v>225</v>
      </c>
      <c r="AJ228" s="81" t="str">
        <f t="shared" si="161"/>
        <v>Maj 37</v>
      </c>
      <c r="AK228" s="81" t="str">
        <f t="shared" si="207"/>
        <v>Maj</v>
      </c>
      <c r="AL228" s="81">
        <f t="shared" si="206"/>
        <v>37</v>
      </c>
      <c r="AM228" s="81" t="str">
        <f t="shared" si="171"/>
        <v>='Maj 37'!</v>
      </c>
      <c r="AN228" s="81" t="str">
        <f t="shared" si="165"/>
        <v>='Maj 37'!C27</v>
      </c>
      <c r="AO228" s="81" t="s">
        <v>1228</v>
      </c>
      <c r="AR228" s="81" t="s">
        <v>288</v>
      </c>
      <c r="AS228" s="83" t="str">
        <f t="shared" si="162"/>
        <v>='Maj 37'!C6</v>
      </c>
      <c r="AT228" s="83">
        <f t="shared" si="163"/>
        <v>0</v>
      </c>
      <c r="AV228" s="81" t="s">
        <v>589</v>
      </c>
      <c r="AW228" s="81" t="s">
        <v>3782</v>
      </c>
      <c r="AX228" s="81" t="s">
        <v>3783</v>
      </c>
      <c r="AY228" s="81" t="s">
        <v>3784</v>
      </c>
      <c r="AZ228" s="81" t="s">
        <v>3785</v>
      </c>
      <c r="BA228" s="81" t="s">
        <v>3786</v>
      </c>
      <c r="BB228" s="81" t="s">
        <v>3787</v>
      </c>
      <c r="BC228" s="81" t="s">
        <v>3788</v>
      </c>
      <c r="BD228" s="81" t="s">
        <v>3789</v>
      </c>
      <c r="BE228" s="81" t="s">
        <v>3790</v>
      </c>
      <c r="BF228" s="81" t="s">
        <v>3791</v>
      </c>
      <c r="BG228" s="81" t="s">
        <v>3792</v>
      </c>
      <c r="BH228" s="81" t="s">
        <v>4845</v>
      </c>
      <c r="BI228" s="81" t="s">
        <v>5149</v>
      </c>
      <c r="BJ228" s="81" t="s">
        <v>288</v>
      </c>
      <c r="BL228" s="81" t="s">
        <v>892</v>
      </c>
      <c r="BM228" s="81">
        <v>225</v>
      </c>
      <c r="BN228" s="81" t="str">
        <f t="shared" si="164"/>
        <v>='Maj 37'!C12</v>
      </c>
      <c r="BP228" s="81" t="str">
        <f t="shared" ca="1" si="172"/>
        <v/>
      </c>
      <c r="BR228" s="84">
        <f t="shared" si="166"/>
        <v>0</v>
      </c>
      <c r="BS228" s="84">
        <f t="shared" si="167"/>
        <v>0</v>
      </c>
      <c r="CA228" s="81" t="s">
        <v>2</v>
      </c>
      <c r="CB228" s="81">
        <f t="shared" si="173"/>
        <v>0</v>
      </c>
      <c r="CC228" s="81">
        <f t="shared" si="174"/>
        <v>0</v>
      </c>
      <c r="CD228" s="81" t="s">
        <v>16</v>
      </c>
      <c r="CE228" s="81">
        <f t="shared" si="175"/>
        <v>0</v>
      </c>
      <c r="CF228" s="81">
        <f t="shared" si="176"/>
        <v>0</v>
      </c>
      <c r="CG228" s="81" t="s">
        <v>5</v>
      </c>
      <c r="CH228" s="81">
        <f t="shared" si="177"/>
        <v>0</v>
      </c>
      <c r="CI228" s="81">
        <f t="shared" si="178"/>
        <v>0</v>
      </c>
      <c r="CJ228" s="81" t="s">
        <v>18</v>
      </c>
      <c r="CK228" s="81">
        <f t="shared" si="179"/>
        <v>0</v>
      </c>
      <c r="CL228" s="81">
        <f t="shared" si="180"/>
        <v>0</v>
      </c>
      <c r="CM228" s="81" t="s">
        <v>4</v>
      </c>
      <c r="CN228" s="81">
        <f t="shared" si="181"/>
        <v>0</v>
      </c>
      <c r="CO228" s="81">
        <f t="shared" si="182"/>
        <v>0</v>
      </c>
      <c r="CP228" s="81" t="s">
        <v>22</v>
      </c>
      <c r="CQ228" s="81">
        <f t="shared" si="183"/>
        <v>0</v>
      </c>
      <c r="CR228" s="81">
        <f t="shared" si="184"/>
        <v>0</v>
      </c>
      <c r="CS228" s="81" t="s">
        <v>21</v>
      </c>
      <c r="CT228" s="81">
        <f t="shared" si="185"/>
        <v>0</v>
      </c>
      <c r="CU228" s="81">
        <f t="shared" si="186"/>
        <v>0</v>
      </c>
      <c r="CV228" s="81" t="s">
        <v>998</v>
      </c>
      <c r="CW228" s="81">
        <f t="shared" si="187"/>
        <v>0</v>
      </c>
      <c r="CX228" s="81">
        <f t="shared" si="188"/>
        <v>0</v>
      </c>
      <c r="CY228" s="81" t="s">
        <v>19</v>
      </c>
      <c r="CZ228" s="81">
        <f t="shared" si="189"/>
        <v>0</v>
      </c>
      <c r="DA228" s="81">
        <f t="shared" si="190"/>
        <v>0</v>
      </c>
      <c r="DB228" s="81" t="s">
        <v>20</v>
      </c>
      <c r="DC228" s="81">
        <f t="shared" si="191"/>
        <v>0</v>
      </c>
      <c r="DD228" s="81">
        <f t="shared" si="192"/>
        <v>0</v>
      </c>
      <c r="DE228" s="81" t="s">
        <v>23</v>
      </c>
      <c r="DF228" s="81">
        <f t="shared" si="193"/>
        <v>0</v>
      </c>
      <c r="DG228" s="81">
        <f t="shared" si="194"/>
        <v>0</v>
      </c>
      <c r="DH228" s="81" t="s">
        <v>15</v>
      </c>
      <c r="DI228" s="81">
        <f t="shared" si="195"/>
        <v>0</v>
      </c>
      <c r="DJ228" s="81">
        <f t="shared" si="196"/>
        <v>0</v>
      </c>
      <c r="DK228" s="81" t="s">
        <v>5450</v>
      </c>
      <c r="DL228" s="81">
        <f t="shared" si="197"/>
        <v>0</v>
      </c>
      <c r="DM228" s="81">
        <f t="shared" si="198"/>
        <v>0</v>
      </c>
      <c r="DN228" s="81" t="s">
        <v>7</v>
      </c>
      <c r="DO228" s="81">
        <f t="shared" si="199"/>
        <v>0</v>
      </c>
      <c r="DP228" s="81">
        <f t="shared" si="200"/>
        <v>0</v>
      </c>
      <c r="DQ228" s="81" t="s">
        <v>1</v>
      </c>
      <c r="DR228" s="81">
        <f t="shared" si="201"/>
        <v>0</v>
      </c>
      <c r="DS228" s="81">
        <f t="shared" si="202"/>
        <v>0</v>
      </c>
    </row>
    <row r="229" spans="14:123" x14ac:dyDescent="0.3">
      <c r="N229" s="81">
        <f>IF(Q230=0,IF(Q229=0,,"x"),)</f>
        <v>0</v>
      </c>
      <c r="O229" s="81">
        <f t="shared" si="203"/>
        <v>0</v>
      </c>
      <c r="P229" s="81">
        <f t="shared" si="168"/>
        <v>0</v>
      </c>
      <c r="Q229" s="81">
        <f t="shared" si="204"/>
        <v>0</v>
      </c>
      <c r="R229" s="81">
        <f>IF(W229="",,SUM($W$4:W229))</f>
        <v>0</v>
      </c>
      <c r="S229" s="81">
        <f t="shared" si="169"/>
        <v>0</v>
      </c>
      <c r="T229" s="81">
        <f t="shared" si="205"/>
        <v>0</v>
      </c>
      <c r="U229" s="81">
        <f t="shared" si="170"/>
        <v>0</v>
      </c>
      <c r="AE229" s="81">
        <v>229</v>
      </c>
      <c r="AI229" s="81">
        <v>226</v>
      </c>
      <c r="AJ229" s="81" t="str">
        <f t="shared" si="161"/>
        <v>Juni 37</v>
      </c>
      <c r="AK229" s="81" t="str">
        <f t="shared" si="207"/>
        <v>Juni</v>
      </c>
      <c r="AL229" s="81">
        <f t="shared" si="206"/>
        <v>37</v>
      </c>
      <c r="AM229" s="81" t="str">
        <f t="shared" si="171"/>
        <v>='Juni 37'!</v>
      </c>
      <c r="AN229" s="81" t="str">
        <f t="shared" si="165"/>
        <v>='Juni 37'!C27</v>
      </c>
      <c r="AO229" s="81" t="s">
        <v>1229</v>
      </c>
      <c r="AR229" s="81" t="s">
        <v>289</v>
      </c>
      <c r="AS229" s="83" t="str">
        <f t="shared" si="162"/>
        <v>='Juni 37'!C6</v>
      </c>
      <c r="AT229" s="83">
        <f t="shared" si="163"/>
        <v>0</v>
      </c>
      <c r="AV229" s="81" t="s">
        <v>590</v>
      </c>
      <c r="AW229" s="81" t="s">
        <v>3793</v>
      </c>
      <c r="AX229" s="81" t="s">
        <v>3794</v>
      </c>
      <c r="AY229" s="81" t="s">
        <v>3795</v>
      </c>
      <c r="AZ229" s="81" t="s">
        <v>3796</v>
      </c>
      <c r="BA229" s="81" t="s">
        <v>3797</v>
      </c>
      <c r="BB229" s="81" t="s">
        <v>3798</v>
      </c>
      <c r="BC229" s="81" t="s">
        <v>3799</v>
      </c>
      <c r="BD229" s="81" t="s">
        <v>3800</v>
      </c>
      <c r="BE229" s="81" t="s">
        <v>3801</v>
      </c>
      <c r="BF229" s="81" t="s">
        <v>3802</v>
      </c>
      <c r="BG229" s="81" t="s">
        <v>3803</v>
      </c>
      <c r="BH229" s="81" t="s">
        <v>4846</v>
      </c>
      <c r="BI229" s="81" t="s">
        <v>5150</v>
      </c>
      <c r="BJ229" s="81" t="s">
        <v>289</v>
      </c>
      <c r="BL229" s="81" t="s">
        <v>893</v>
      </c>
      <c r="BM229" s="81">
        <v>226</v>
      </c>
      <c r="BN229" s="81" t="str">
        <f t="shared" si="164"/>
        <v>='Juni 37'!C12</v>
      </c>
      <c r="BP229" s="81" t="str">
        <f t="shared" ca="1" si="172"/>
        <v/>
      </c>
      <c r="BR229" s="84">
        <f t="shared" si="166"/>
        <v>0</v>
      </c>
      <c r="BS229" s="84">
        <f t="shared" si="167"/>
        <v>0</v>
      </c>
      <c r="CA229" s="81" t="s">
        <v>2</v>
      </c>
      <c r="CB229" s="81">
        <f t="shared" si="173"/>
        <v>0</v>
      </c>
      <c r="CC229" s="81">
        <f t="shared" si="174"/>
        <v>0</v>
      </c>
      <c r="CD229" s="81" t="s">
        <v>16</v>
      </c>
      <c r="CE229" s="81">
        <f t="shared" si="175"/>
        <v>0</v>
      </c>
      <c r="CF229" s="81">
        <f t="shared" si="176"/>
        <v>0</v>
      </c>
      <c r="CG229" s="81" t="s">
        <v>5</v>
      </c>
      <c r="CH229" s="81">
        <f t="shared" si="177"/>
        <v>0</v>
      </c>
      <c r="CI229" s="81">
        <f t="shared" si="178"/>
        <v>0</v>
      </c>
      <c r="CJ229" s="81" t="s">
        <v>18</v>
      </c>
      <c r="CK229" s="81">
        <f t="shared" si="179"/>
        <v>0</v>
      </c>
      <c r="CL229" s="81">
        <f t="shared" si="180"/>
        <v>0</v>
      </c>
      <c r="CM229" s="81" t="s">
        <v>4</v>
      </c>
      <c r="CN229" s="81">
        <f t="shared" si="181"/>
        <v>0</v>
      </c>
      <c r="CO229" s="81">
        <f t="shared" si="182"/>
        <v>0</v>
      </c>
      <c r="CP229" s="81" t="s">
        <v>22</v>
      </c>
      <c r="CQ229" s="81">
        <f t="shared" si="183"/>
        <v>0</v>
      </c>
      <c r="CR229" s="81">
        <f t="shared" si="184"/>
        <v>0</v>
      </c>
      <c r="CS229" s="81" t="s">
        <v>21</v>
      </c>
      <c r="CT229" s="81">
        <f t="shared" si="185"/>
        <v>0</v>
      </c>
      <c r="CU229" s="81">
        <f t="shared" si="186"/>
        <v>0</v>
      </c>
      <c r="CV229" s="81" t="s">
        <v>998</v>
      </c>
      <c r="CW229" s="81">
        <f t="shared" si="187"/>
        <v>0</v>
      </c>
      <c r="CX229" s="81">
        <f t="shared" si="188"/>
        <v>0</v>
      </c>
      <c r="CY229" s="81" t="s">
        <v>19</v>
      </c>
      <c r="CZ229" s="81">
        <f t="shared" si="189"/>
        <v>0</v>
      </c>
      <c r="DA229" s="81">
        <f t="shared" si="190"/>
        <v>0</v>
      </c>
      <c r="DB229" s="81" t="s">
        <v>20</v>
      </c>
      <c r="DC229" s="81">
        <f t="shared" si="191"/>
        <v>0</v>
      </c>
      <c r="DD229" s="81">
        <f t="shared" si="192"/>
        <v>0</v>
      </c>
      <c r="DE229" s="81" t="s">
        <v>23</v>
      </c>
      <c r="DF229" s="81">
        <f t="shared" si="193"/>
        <v>0</v>
      </c>
      <c r="DG229" s="81">
        <f t="shared" si="194"/>
        <v>0</v>
      </c>
      <c r="DH229" s="81" t="s">
        <v>15</v>
      </c>
      <c r="DI229" s="81">
        <f t="shared" si="195"/>
        <v>0</v>
      </c>
      <c r="DJ229" s="81">
        <f t="shared" si="196"/>
        <v>0</v>
      </c>
      <c r="DK229" s="81" t="s">
        <v>5451</v>
      </c>
      <c r="DL229" s="81">
        <f t="shared" si="197"/>
        <v>0</v>
      </c>
      <c r="DM229" s="81">
        <f t="shared" si="198"/>
        <v>0</v>
      </c>
      <c r="DN229" s="81" t="s">
        <v>7</v>
      </c>
      <c r="DO229" s="81">
        <f t="shared" si="199"/>
        <v>0</v>
      </c>
      <c r="DP229" s="81">
        <f t="shared" si="200"/>
        <v>0</v>
      </c>
      <c r="DQ229" s="81" t="s">
        <v>1</v>
      </c>
      <c r="DR229" s="81">
        <f t="shared" si="201"/>
        <v>0</v>
      </c>
      <c r="DS229" s="81">
        <f t="shared" si="202"/>
        <v>0</v>
      </c>
    </row>
    <row r="230" spans="14:123" x14ac:dyDescent="0.3">
      <c r="N230" s="81">
        <f>IF(Q231=0,IF(Q230=0,,"x"),)</f>
        <v>0</v>
      </c>
      <c r="O230" s="81">
        <f t="shared" si="203"/>
        <v>0</v>
      </c>
      <c r="P230" s="81">
        <f t="shared" si="168"/>
        <v>0</v>
      </c>
      <c r="Q230" s="81">
        <f t="shared" si="204"/>
        <v>0</v>
      </c>
      <c r="R230" s="81">
        <f>IF(W230="",,SUM($W$4:W230))</f>
        <v>0</v>
      </c>
      <c r="S230" s="81">
        <f t="shared" si="169"/>
        <v>0</v>
      </c>
      <c r="T230" s="81">
        <f t="shared" si="205"/>
        <v>0</v>
      </c>
      <c r="U230" s="81">
        <f t="shared" si="170"/>
        <v>0</v>
      </c>
      <c r="AE230" s="81">
        <v>230</v>
      </c>
      <c r="AI230" s="81">
        <v>227</v>
      </c>
      <c r="AJ230" s="81" t="str">
        <f t="shared" si="161"/>
        <v>Juli 37</v>
      </c>
      <c r="AK230" s="81" t="str">
        <f t="shared" si="207"/>
        <v>Juli</v>
      </c>
      <c r="AL230" s="81">
        <f t="shared" si="206"/>
        <v>37</v>
      </c>
      <c r="AM230" s="81" t="str">
        <f t="shared" si="171"/>
        <v>='Juli 37'!</v>
      </c>
      <c r="AN230" s="81" t="str">
        <f t="shared" si="165"/>
        <v>='Juli 37'!C27</v>
      </c>
      <c r="AO230" s="81" t="s">
        <v>1230</v>
      </c>
      <c r="AR230" s="81" t="s">
        <v>290</v>
      </c>
      <c r="AS230" s="83" t="str">
        <f t="shared" si="162"/>
        <v>='Juli 37'!C6</v>
      </c>
      <c r="AT230" s="83">
        <f t="shared" si="163"/>
        <v>0</v>
      </c>
      <c r="AV230" s="81" t="s">
        <v>591</v>
      </c>
      <c r="AW230" s="81" t="s">
        <v>3804</v>
      </c>
      <c r="AX230" s="81" t="s">
        <v>3805</v>
      </c>
      <c r="AY230" s="81" t="s">
        <v>3806</v>
      </c>
      <c r="AZ230" s="81" t="s">
        <v>3807</v>
      </c>
      <c r="BA230" s="81" t="s">
        <v>3808</v>
      </c>
      <c r="BB230" s="81" t="s">
        <v>3809</v>
      </c>
      <c r="BC230" s="81" t="s">
        <v>3810</v>
      </c>
      <c r="BD230" s="81" t="s">
        <v>3811</v>
      </c>
      <c r="BE230" s="81" t="s">
        <v>3812</v>
      </c>
      <c r="BF230" s="81" t="s">
        <v>3813</v>
      </c>
      <c r="BG230" s="81" t="s">
        <v>3814</v>
      </c>
      <c r="BH230" s="81" t="s">
        <v>4847</v>
      </c>
      <c r="BI230" s="81" t="s">
        <v>5151</v>
      </c>
      <c r="BJ230" s="81" t="s">
        <v>290</v>
      </c>
      <c r="BL230" s="81" t="s">
        <v>894</v>
      </c>
      <c r="BM230" s="81">
        <v>227</v>
      </c>
      <c r="BN230" s="81" t="str">
        <f t="shared" si="164"/>
        <v>='Juli 37'!C12</v>
      </c>
      <c r="BP230" s="81" t="str">
        <f t="shared" ca="1" si="172"/>
        <v/>
      </c>
      <c r="BR230" s="84">
        <f t="shared" si="166"/>
        <v>0</v>
      </c>
      <c r="BS230" s="84">
        <f t="shared" si="167"/>
        <v>0</v>
      </c>
      <c r="CA230" s="81" t="s">
        <v>2</v>
      </c>
      <c r="CB230" s="81">
        <f t="shared" si="173"/>
        <v>0</v>
      </c>
      <c r="CC230" s="81">
        <f t="shared" si="174"/>
        <v>0</v>
      </c>
      <c r="CD230" s="81" t="s">
        <v>16</v>
      </c>
      <c r="CE230" s="81">
        <f t="shared" si="175"/>
        <v>0</v>
      </c>
      <c r="CF230" s="81">
        <f t="shared" si="176"/>
        <v>0</v>
      </c>
      <c r="CG230" s="81" t="s">
        <v>5</v>
      </c>
      <c r="CH230" s="81">
        <f t="shared" si="177"/>
        <v>0</v>
      </c>
      <c r="CI230" s="81">
        <f t="shared" si="178"/>
        <v>0</v>
      </c>
      <c r="CJ230" s="81" t="s">
        <v>18</v>
      </c>
      <c r="CK230" s="81">
        <f t="shared" si="179"/>
        <v>0</v>
      </c>
      <c r="CL230" s="81">
        <f t="shared" si="180"/>
        <v>0</v>
      </c>
      <c r="CM230" s="81" t="s">
        <v>4</v>
      </c>
      <c r="CN230" s="81">
        <f t="shared" si="181"/>
        <v>0</v>
      </c>
      <c r="CO230" s="81">
        <f t="shared" si="182"/>
        <v>0</v>
      </c>
      <c r="CP230" s="81" t="s">
        <v>22</v>
      </c>
      <c r="CQ230" s="81">
        <f t="shared" si="183"/>
        <v>0</v>
      </c>
      <c r="CR230" s="81">
        <f t="shared" si="184"/>
        <v>0</v>
      </c>
      <c r="CS230" s="81" t="s">
        <v>21</v>
      </c>
      <c r="CT230" s="81">
        <f t="shared" si="185"/>
        <v>0</v>
      </c>
      <c r="CU230" s="81">
        <f t="shared" si="186"/>
        <v>0</v>
      </c>
      <c r="CV230" s="81" t="s">
        <v>998</v>
      </c>
      <c r="CW230" s="81">
        <f t="shared" si="187"/>
        <v>0</v>
      </c>
      <c r="CX230" s="81">
        <f t="shared" si="188"/>
        <v>0</v>
      </c>
      <c r="CY230" s="81" t="s">
        <v>19</v>
      </c>
      <c r="CZ230" s="81">
        <f t="shared" si="189"/>
        <v>0</v>
      </c>
      <c r="DA230" s="81">
        <f t="shared" si="190"/>
        <v>0</v>
      </c>
      <c r="DB230" s="81" t="s">
        <v>20</v>
      </c>
      <c r="DC230" s="81">
        <f t="shared" si="191"/>
        <v>0</v>
      </c>
      <c r="DD230" s="81">
        <f t="shared" si="192"/>
        <v>0</v>
      </c>
      <c r="DE230" s="81" t="s">
        <v>23</v>
      </c>
      <c r="DF230" s="81">
        <f t="shared" si="193"/>
        <v>0</v>
      </c>
      <c r="DG230" s="81">
        <f t="shared" si="194"/>
        <v>0</v>
      </c>
      <c r="DH230" s="81" t="s">
        <v>15</v>
      </c>
      <c r="DI230" s="81">
        <f t="shared" si="195"/>
        <v>0</v>
      </c>
      <c r="DJ230" s="81">
        <f t="shared" si="196"/>
        <v>0</v>
      </c>
      <c r="DK230" s="81" t="s">
        <v>5452</v>
      </c>
      <c r="DL230" s="81">
        <f t="shared" si="197"/>
        <v>0</v>
      </c>
      <c r="DM230" s="81">
        <f t="shared" si="198"/>
        <v>0</v>
      </c>
      <c r="DN230" s="81" t="s">
        <v>7</v>
      </c>
      <c r="DO230" s="81">
        <f t="shared" si="199"/>
        <v>0</v>
      </c>
      <c r="DP230" s="81">
        <f t="shared" si="200"/>
        <v>0</v>
      </c>
      <c r="DQ230" s="81" t="s">
        <v>1</v>
      </c>
      <c r="DR230" s="81">
        <f t="shared" si="201"/>
        <v>0</v>
      </c>
      <c r="DS230" s="81">
        <f t="shared" si="202"/>
        <v>0</v>
      </c>
    </row>
    <row r="231" spans="14:123" x14ac:dyDescent="0.3">
      <c r="N231" s="81">
        <f>IF(Q232=0,IF(Q231=0,,"x"),)</f>
        <v>0</v>
      </c>
      <c r="O231" s="81">
        <f t="shared" si="203"/>
        <v>0</v>
      </c>
      <c r="P231" s="81">
        <f t="shared" si="168"/>
        <v>0</v>
      </c>
      <c r="Q231" s="81">
        <f t="shared" si="204"/>
        <v>0</v>
      </c>
      <c r="R231" s="81">
        <f>IF(W231="",,SUM($W$4:W231))</f>
        <v>0</v>
      </c>
      <c r="S231" s="81">
        <f t="shared" si="169"/>
        <v>0</v>
      </c>
      <c r="T231" s="81">
        <f t="shared" si="205"/>
        <v>0</v>
      </c>
      <c r="U231" s="81">
        <f t="shared" si="170"/>
        <v>0</v>
      </c>
      <c r="AE231" s="81">
        <v>231</v>
      </c>
      <c r="AI231" s="81">
        <v>228</v>
      </c>
      <c r="AJ231" s="81" t="str">
        <f t="shared" si="161"/>
        <v>Augusti 37</v>
      </c>
      <c r="AK231" s="81" t="str">
        <f t="shared" si="207"/>
        <v>Augusti</v>
      </c>
      <c r="AL231" s="81">
        <f t="shared" si="206"/>
        <v>37</v>
      </c>
      <c r="AM231" s="81" t="str">
        <f t="shared" si="171"/>
        <v>='Augusti 37'!</v>
      </c>
      <c r="AN231" s="81" t="str">
        <f t="shared" si="165"/>
        <v>='Augusti 37'!C27</v>
      </c>
      <c r="AO231" s="81" t="s">
        <v>1231</v>
      </c>
      <c r="AR231" s="81" t="s">
        <v>291</v>
      </c>
      <c r="AS231" s="83" t="str">
        <f t="shared" si="162"/>
        <v>='Augusti 37'!C6</v>
      </c>
      <c r="AT231" s="83">
        <f t="shared" si="163"/>
        <v>0</v>
      </c>
      <c r="AV231" s="81" t="s">
        <v>592</v>
      </c>
      <c r="AW231" s="81" t="s">
        <v>3815</v>
      </c>
      <c r="AX231" s="81" t="s">
        <v>3816</v>
      </c>
      <c r="AY231" s="81" t="s">
        <v>3817</v>
      </c>
      <c r="AZ231" s="81" t="s">
        <v>3818</v>
      </c>
      <c r="BA231" s="81" t="s">
        <v>3819</v>
      </c>
      <c r="BB231" s="81" t="s">
        <v>3820</v>
      </c>
      <c r="BC231" s="81" t="s">
        <v>3821</v>
      </c>
      <c r="BD231" s="81" t="s">
        <v>3822</v>
      </c>
      <c r="BE231" s="81" t="s">
        <v>3823</v>
      </c>
      <c r="BF231" s="81" t="s">
        <v>3824</v>
      </c>
      <c r="BG231" s="81" t="s">
        <v>3825</v>
      </c>
      <c r="BH231" s="81" t="s">
        <v>4848</v>
      </c>
      <c r="BI231" s="81" t="s">
        <v>5152</v>
      </c>
      <c r="BJ231" s="81" t="s">
        <v>291</v>
      </c>
      <c r="BL231" s="81" t="s">
        <v>895</v>
      </c>
      <c r="BM231" s="81">
        <v>228</v>
      </c>
      <c r="BN231" s="81" t="str">
        <f t="shared" si="164"/>
        <v>='Augusti 37'!C12</v>
      </c>
      <c r="BP231" s="81" t="str">
        <f t="shared" ca="1" si="172"/>
        <v/>
      </c>
      <c r="BR231" s="84">
        <f t="shared" si="166"/>
        <v>0</v>
      </c>
      <c r="BS231" s="84">
        <f t="shared" si="167"/>
        <v>0</v>
      </c>
      <c r="CA231" s="81" t="s">
        <v>2</v>
      </c>
      <c r="CB231" s="81">
        <f t="shared" si="173"/>
        <v>0</v>
      </c>
      <c r="CC231" s="81">
        <f t="shared" si="174"/>
        <v>0</v>
      </c>
      <c r="CD231" s="81" t="s">
        <v>16</v>
      </c>
      <c r="CE231" s="81">
        <f t="shared" si="175"/>
        <v>0</v>
      </c>
      <c r="CF231" s="81">
        <f t="shared" si="176"/>
        <v>0</v>
      </c>
      <c r="CG231" s="81" t="s">
        <v>5</v>
      </c>
      <c r="CH231" s="81">
        <f t="shared" si="177"/>
        <v>0</v>
      </c>
      <c r="CI231" s="81">
        <f t="shared" si="178"/>
        <v>0</v>
      </c>
      <c r="CJ231" s="81" t="s">
        <v>18</v>
      </c>
      <c r="CK231" s="81">
        <f t="shared" si="179"/>
        <v>0</v>
      </c>
      <c r="CL231" s="81">
        <f t="shared" si="180"/>
        <v>0</v>
      </c>
      <c r="CM231" s="81" t="s">
        <v>4</v>
      </c>
      <c r="CN231" s="81">
        <f t="shared" si="181"/>
        <v>0</v>
      </c>
      <c r="CO231" s="81">
        <f t="shared" si="182"/>
        <v>0</v>
      </c>
      <c r="CP231" s="81" t="s">
        <v>22</v>
      </c>
      <c r="CQ231" s="81">
        <f t="shared" si="183"/>
        <v>0</v>
      </c>
      <c r="CR231" s="81">
        <f t="shared" si="184"/>
        <v>0</v>
      </c>
      <c r="CS231" s="81" t="s">
        <v>21</v>
      </c>
      <c r="CT231" s="81">
        <f t="shared" si="185"/>
        <v>0</v>
      </c>
      <c r="CU231" s="81">
        <f t="shared" si="186"/>
        <v>0</v>
      </c>
      <c r="CV231" s="81" t="s">
        <v>998</v>
      </c>
      <c r="CW231" s="81">
        <f t="shared" si="187"/>
        <v>0</v>
      </c>
      <c r="CX231" s="81">
        <f t="shared" si="188"/>
        <v>0</v>
      </c>
      <c r="CY231" s="81" t="s">
        <v>19</v>
      </c>
      <c r="CZ231" s="81">
        <f t="shared" si="189"/>
        <v>0</v>
      </c>
      <c r="DA231" s="81">
        <f t="shared" si="190"/>
        <v>0</v>
      </c>
      <c r="DB231" s="81" t="s">
        <v>20</v>
      </c>
      <c r="DC231" s="81">
        <f t="shared" si="191"/>
        <v>0</v>
      </c>
      <c r="DD231" s="81">
        <f t="shared" si="192"/>
        <v>0</v>
      </c>
      <c r="DE231" s="81" t="s">
        <v>23</v>
      </c>
      <c r="DF231" s="81">
        <f t="shared" si="193"/>
        <v>0</v>
      </c>
      <c r="DG231" s="81">
        <f t="shared" si="194"/>
        <v>0</v>
      </c>
      <c r="DH231" s="81" t="s">
        <v>15</v>
      </c>
      <c r="DI231" s="81">
        <f t="shared" si="195"/>
        <v>0</v>
      </c>
      <c r="DJ231" s="81">
        <f t="shared" si="196"/>
        <v>0</v>
      </c>
      <c r="DK231" s="81" t="s">
        <v>5453</v>
      </c>
      <c r="DL231" s="81">
        <f t="shared" si="197"/>
        <v>0</v>
      </c>
      <c r="DM231" s="81">
        <f t="shared" si="198"/>
        <v>0</v>
      </c>
      <c r="DN231" s="81" t="s">
        <v>7</v>
      </c>
      <c r="DO231" s="81">
        <f t="shared" si="199"/>
        <v>0</v>
      </c>
      <c r="DP231" s="81">
        <f t="shared" si="200"/>
        <v>0</v>
      </c>
      <c r="DQ231" s="81" t="s">
        <v>1</v>
      </c>
      <c r="DR231" s="81">
        <f t="shared" si="201"/>
        <v>0</v>
      </c>
      <c r="DS231" s="81">
        <f t="shared" si="202"/>
        <v>0</v>
      </c>
    </row>
    <row r="232" spans="14:123" x14ac:dyDescent="0.3">
      <c r="N232" s="81">
        <f>IF(Q233=0,IF(Q232=0,,"x"),)</f>
        <v>0</v>
      </c>
      <c r="O232" s="81">
        <f t="shared" si="203"/>
        <v>0</v>
      </c>
      <c r="P232" s="81">
        <f t="shared" si="168"/>
        <v>0</v>
      </c>
      <c r="Q232" s="81">
        <f t="shared" si="204"/>
        <v>0</v>
      </c>
      <c r="R232" s="81">
        <f>IF(W232="",,SUM($W$4:W232))</f>
        <v>0</v>
      </c>
      <c r="S232" s="81">
        <f t="shared" si="169"/>
        <v>0</v>
      </c>
      <c r="T232" s="81">
        <f t="shared" si="205"/>
        <v>0</v>
      </c>
      <c r="U232" s="81">
        <f t="shared" si="170"/>
        <v>0</v>
      </c>
      <c r="AE232" s="81">
        <v>232</v>
      </c>
      <c r="AI232" s="81">
        <v>229</v>
      </c>
      <c r="AJ232" s="81" t="str">
        <f t="shared" si="161"/>
        <v>September 37</v>
      </c>
      <c r="AK232" s="81" t="str">
        <f t="shared" si="207"/>
        <v>September</v>
      </c>
      <c r="AL232" s="81">
        <f t="shared" si="206"/>
        <v>37</v>
      </c>
      <c r="AM232" s="81" t="str">
        <f t="shared" si="171"/>
        <v>='September 37'!</v>
      </c>
      <c r="AN232" s="81" t="str">
        <f t="shared" si="165"/>
        <v>='September 37'!C27</v>
      </c>
      <c r="AO232" s="81" t="s">
        <v>1232</v>
      </c>
      <c r="AR232" s="81" t="s">
        <v>292</v>
      </c>
      <c r="AS232" s="83" t="str">
        <f t="shared" si="162"/>
        <v>='September 37'!C6</v>
      </c>
      <c r="AT232" s="83">
        <f t="shared" si="163"/>
        <v>0</v>
      </c>
      <c r="AV232" s="81" t="s">
        <v>593</v>
      </c>
      <c r="AW232" s="81" t="s">
        <v>3826</v>
      </c>
      <c r="AX232" s="81" t="s">
        <v>3827</v>
      </c>
      <c r="AY232" s="81" t="s">
        <v>3828</v>
      </c>
      <c r="AZ232" s="81" t="s">
        <v>3829</v>
      </c>
      <c r="BA232" s="81" t="s">
        <v>3830</v>
      </c>
      <c r="BB232" s="81" t="s">
        <v>3831</v>
      </c>
      <c r="BC232" s="81" t="s">
        <v>3832</v>
      </c>
      <c r="BD232" s="81" t="s">
        <v>3833</v>
      </c>
      <c r="BE232" s="81" t="s">
        <v>3834</v>
      </c>
      <c r="BF232" s="81" t="s">
        <v>3835</v>
      </c>
      <c r="BG232" s="81" t="s">
        <v>3836</v>
      </c>
      <c r="BH232" s="81" t="s">
        <v>4849</v>
      </c>
      <c r="BI232" s="81" t="s">
        <v>5153</v>
      </c>
      <c r="BJ232" s="81" t="s">
        <v>292</v>
      </c>
      <c r="BL232" s="81" t="s">
        <v>896</v>
      </c>
      <c r="BM232" s="81">
        <v>229</v>
      </c>
      <c r="BN232" s="81" t="str">
        <f t="shared" si="164"/>
        <v>='September 37'!C12</v>
      </c>
      <c r="BP232" s="81" t="str">
        <f t="shared" ca="1" si="172"/>
        <v/>
      </c>
      <c r="BR232" s="84">
        <f t="shared" si="166"/>
        <v>0</v>
      </c>
      <c r="BS232" s="84">
        <f t="shared" si="167"/>
        <v>0</v>
      </c>
      <c r="CA232" s="81" t="s">
        <v>2</v>
      </c>
      <c r="CB232" s="81">
        <f t="shared" si="173"/>
        <v>0</v>
      </c>
      <c r="CC232" s="81">
        <f t="shared" si="174"/>
        <v>0</v>
      </c>
      <c r="CD232" s="81" t="s">
        <v>16</v>
      </c>
      <c r="CE232" s="81">
        <f t="shared" si="175"/>
        <v>0</v>
      </c>
      <c r="CF232" s="81">
        <f t="shared" si="176"/>
        <v>0</v>
      </c>
      <c r="CG232" s="81" t="s">
        <v>5</v>
      </c>
      <c r="CH232" s="81">
        <f t="shared" si="177"/>
        <v>0</v>
      </c>
      <c r="CI232" s="81">
        <f t="shared" si="178"/>
        <v>0</v>
      </c>
      <c r="CJ232" s="81" t="s">
        <v>18</v>
      </c>
      <c r="CK232" s="81">
        <f t="shared" si="179"/>
        <v>0</v>
      </c>
      <c r="CL232" s="81">
        <f t="shared" si="180"/>
        <v>0</v>
      </c>
      <c r="CM232" s="81" t="s">
        <v>4</v>
      </c>
      <c r="CN232" s="81">
        <f t="shared" si="181"/>
        <v>0</v>
      </c>
      <c r="CO232" s="81">
        <f t="shared" si="182"/>
        <v>0</v>
      </c>
      <c r="CP232" s="81" t="s">
        <v>22</v>
      </c>
      <c r="CQ232" s="81">
        <f t="shared" si="183"/>
        <v>0</v>
      </c>
      <c r="CR232" s="81">
        <f t="shared" si="184"/>
        <v>0</v>
      </c>
      <c r="CS232" s="81" t="s">
        <v>21</v>
      </c>
      <c r="CT232" s="81">
        <f t="shared" si="185"/>
        <v>0</v>
      </c>
      <c r="CU232" s="81">
        <f t="shared" si="186"/>
        <v>0</v>
      </c>
      <c r="CV232" s="81" t="s">
        <v>998</v>
      </c>
      <c r="CW232" s="81">
        <f t="shared" si="187"/>
        <v>0</v>
      </c>
      <c r="CX232" s="81">
        <f t="shared" si="188"/>
        <v>0</v>
      </c>
      <c r="CY232" s="81" t="s">
        <v>19</v>
      </c>
      <c r="CZ232" s="81">
        <f t="shared" si="189"/>
        <v>0</v>
      </c>
      <c r="DA232" s="81">
        <f t="shared" si="190"/>
        <v>0</v>
      </c>
      <c r="DB232" s="81" t="s">
        <v>20</v>
      </c>
      <c r="DC232" s="81">
        <f t="shared" si="191"/>
        <v>0</v>
      </c>
      <c r="DD232" s="81">
        <f t="shared" si="192"/>
        <v>0</v>
      </c>
      <c r="DE232" s="81" t="s">
        <v>23</v>
      </c>
      <c r="DF232" s="81">
        <f t="shared" si="193"/>
        <v>0</v>
      </c>
      <c r="DG232" s="81">
        <f t="shared" si="194"/>
        <v>0</v>
      </c>
      <c r="DH232" s="81" t="s">
        <v>15</v>
      </c>
      <c r="DI232" s="81">
        <f t="shared" si="195"/>
        <v>0</v>
      </c>
      <c r="DJ232" s="81">
        <f t="shared" si="196"/>
        <v>0</v>
      </c>
      <c r="DK232" s="81" t="s">
        <v>5454</v>
      </c>
      <c r="DL232" s="81">
        <f t="shared" si="197"/>
        <v>0</v>
      </c>
      <c r="DM232" s="81">
        <f t="shared" si="198"/>
        <v>0</v>
      </c>
      <c r="DN232" s="81" t="s">
        <v>7</v>
      </c>
      <c r="DO232" s="81">
        <f t="shared" si="199"/>
        <v>0</v>
      </c>
      <c r="DP232" s="81">
        <f t="shared" si="200"/>
        <v>0</v>
      </c>
      <c r="DQ232" s="81" t="s">
        <v>1</v>
      </c>
      <c r="DR232" s="81">
        <f t="shared" si="201"/>
        <v>0</v>
      </c>
      <c r="DS232" s="81">
        <f t="shared" si="202"/>
        <v>0</v>
      </c>
    </row>
    <row r="233" spans="14:123" x14ac:dyDescent="0.3">
      <c r="N233" s="81">
        <f>IF(Q234=0,IF(Q233=0,,"x"),)</f>
        <v>0</v>
      </c>
      <c r="O233" s="81">
        <f t="shared" si="203"/>
        <v>0</v>
      </c>
      <c r="P233" s="81">
        <f t="shared" si="168"/>
        <v>0</v>
      </c>
      <c r="Q233" s="81">
        <f t="shared" si="204"/>
        <v>0</v>
      </c>
      <c r="R233" s="81">
        <f>IF(W233="",,SUM($W$4:W233))</f>
        <v>0</v>
      </c>
      <c r="S233" s="81">
        <f t="shared" si="169"/>
        <v>0</v>
      </c>
      <c r="T233" s="81">
        <f t="shared" si="205"/>
        <v>0</v>
      </c>
      <c r="U233" s="81">
        <f t="shared" si="170"/>
        <v>0</v>
      </c>
      <c r="AE233" s="81">
        <v>233</v>
      </c>
      <c r="AI233" s="81">
        <v>230</v>
      </c>
      <c r="AJ233" s="81" t="str">
        <f t="shared" si="161"/>
        <v>Oktober 37</v>
      </c>
      <c r="AK233" s="81" t="str">
        <f t="shared" si="207"/>
        <v>Oktober</v>
      </c>
      <c r="AL233" s="81">
        <f t="shared" si="206"/>
        <v>37</v>
      </c>
      <c r="AM233" s="81" t="str">
        <f t="shared" si="171"/>
        <v>='Oktober 37'!</v>
      </c>
      <c r="AN233" s="81" t="str">
        <f t="shared" si="165"/>
        <v>='Oktober 37'!C27</v>
      </c>
      <c r="AO233" s="81" t="s">
        <v>1233</v>
      </c>
      <c r="AR233" s="81" t="s">
        <v>293</v>
      </c>
      <c r="AS233" s="83" t="str">
        <f t="shared" si="162"/>
        <v>='Oktober 37'!C6</v>
      </c>
      <c r="AT233" s="83">
        <f t="shared" si="163"/>
        <v>0</v>
      </c>
      <c r="AV233" s="81" t="s">
        <v>594</v>
      </c>
      <c r="AW233" s="81" t="s">
        <v>3837</v>
      </c>
      <c r="AX233" s="81" t="s">
        <v>3838</v>
      </c>
      <c r="AY233" s="81" t="s">
        <v>3839</v>
      </c>
      <c r="AZ233" s="81" t="s">
        <v>3840</v>
      </c>
      <c r="BA233" s="81" t="s">
        <v>3841</v>
      </c>
      <c r="BB233" s="81" t="s">
        <v>3842</v>
      </c>
      <c r="BC233" s="81" t="s">
        <v>3843</v>
      </c>
      <c r="BD233" s="81" t="s">
        <v>3844</v>
      </c>
      <c r="BE233" s="81" t="s">
        <v>3845</v>
      </c>
      <c r="BF233" s="81" t="s">
        <v>3846</v>
      </c>
      <c r="BG233" s="81" t="s">
        <v>3847</v>
      </c>
      <c r="BH233" s="81" t="s">
        <v>4850</v>
      </c>
      <c r="BI233" s="81" t="s">
        <v>5154</v>
      </c>
      <c r="BJ233" s="81" t="s">
        <v>293</v>
      </c>
      <c r="BL233" s="81" t="s">
        <v>897</v>
      </c>
      <c r="BM233" s="81">
        <v>230</v>
      </c>
      <c r="BN233" s="81" t="str">
        <f t="shared" si="164"/>
        <v>='Oktober 37'!C12</v>
      </c>
      <c r="BP233" s="81" t="str">
        <f t="shared" ca="1" si="172"/>
        <v/>
      </c>
      <c r="BR233" s="84">
        <f t="shared" si="166"/>
        <v>0</v>
      </c>
      <c r="BS233" s="84">
        <f t="shared" si="167"/>
        <v>0</v>
      </c>
      <c r="CA233" s="81" t="s">
        <v>2</v>
      </c>
      <c r="CB233" s="81">
        <f t="shared" si="173"/>
        <v>0</v>
      </c>
      <c r="CC233" s="81">
        <f t="shared" si="174"/>
        <v>0</v>
      </c>
      <c r="CD233" s="81" t="s">
        <v>16</v>
      </c>
      <c r="CE233" s="81">
        <f t="shared" si="175"/>
        <v>0</v>
      </c>
      <c r="CF233" s="81">
        <f t="shared" si="176"/>
        <v>0</v>
      </c>
      <c r="CG233" s="81" t="s">
        <v>5</v>
      </c>
      <c r="CH233" s="81">
        <f t="shared" si="177"/>
        <v>0</v>
      </c>
      <c r="CI233" s="81">
        <f t="shared" si="178"/>
        <v>0</v>
      </c>
      <c r="CJ233" s="81" t="s">
        <v>18</v>
      </c>
      <c r="CK233" s="81">
        <f t="shared" si="179"/>
        <v>0</v>
      </c>
      <c r="CL233" s="81">
        <f t="shared" si="180"/>
        <v>0</v>
      </c>
      <c r="CM233" s="81" t="s">
        <v>4</v>
      </c>
      <c r="CN233" s="81">
        <f t="shared" si="181"/>
        <v>0</v>
      </c>
      <c r="CO233" s="81">
        <f t="shared" si="182"/>
        <v>0</v>
      </c>
      <c r="CP233" s="81" t="s">
        <v>22</v>
      </c>
      <c r="CQ233" s="81">
        <f t="shared" si="183"/>
        <v>0</v>
      </c>
      <c r="CR233" s="81">
        <f t="shared" si="184"/>
        <v>0</v>
      </c>
      <c r="CS233" s="81" t="s">
        <v>21</v>
      </c>
      <c r="CT233" s="81">
        <f t="shared" si="185"/>
        <v>0</v>
      </c>
      <c r="CU233" s="81">
        <f t="shared" si="186"/>
        <v>0</v>
      </c>
      <c r="CV233" s="81" t="s">
        <v>998</v>
      </c>
      <c r="CW233" s="81">
        <f t="shared" si="187"/>
        <v>0</v>
      </c>
      <c r="CX233" s="81">
        <f t="shared" si="188"/>
        <v>0</v>
      </c>
      <c r="CY233" s="81" t="s">
        <v>19</v>
      </c>
      <c r="CZ233" s="81">
        <f t="shared" si="189"/>
        <v>0</v>
      </c>
      <c r="DA233" s="81">
        <f t="shared" si="190"/>
        <v>0</v>
      </c>
      <c r="DB233" s="81" t="s">
        <v>20</v>
      </c>
      <c r="DC233" s="81">
        <f t="shared" si="191"/>
        <v>0</v>
      </c>
      <c r="DD233" s="81">
        <f t="shared" si="192"/>
        <v>0</v>
      </c>
      <c r="DE233" s="81" t="s">
        <v>23</v>
      </c>
      <c r="DF233" s="81">
        <f t="shared" si="193"/>
        <v>0</v>
      </c>
      <c r="DG233" s="81">
        <f t="shared" si="194"/>
        <v>0</v>
      </c>
      <c r="DH233" s="81" t="s">
        <v>15</v>
      </c>
      <c r="DI233" s="81">
        <f t="shared" si="195"/>
        <v>0</v>
      </c>
      <c r="DJ233" s="81">
        <f t="shared" si="196"/>
        <v>0</v>
      </c>
      <c r="DK233" s="81" t="s">
        <v>5455</v>
      </c>
      <c r="DL233" s="81">
        <f t="shared" si="197"/>
        <v>0</v>
      </c>
      <c r="DM233" s="81">
        <f t="shared" si="198"/>
        <v>0</v>
      </c>
      <c r="DN233" s="81" t="s">
        <v>7</v>
      </c>
      <c r="DO233" s="81">
        <f t="shared" si="199"/>
        <v>0</v>
      </c>
      <c r="DP233" s="81">
        <f t="shared" si="200"/>
        <v>0</v>
      </c>
      <c r="DQ233" s="81" t="s">
        <v>1</v>
      </c>
      <c r="DR233" s="81">
        <f t="shared" si="201"/>
        <v>0</v>
      </c>
      <c r="DS233" s="81">
        <f t="shared" si="202"/>
        <v>0</v>
      </c>
    </row>
    <row r="234" spans="14:123" x14ac:dyDescent="0.3">
      <c r="N234" s="81">
        <f>IF(Q235=0,IF(Q234=0,,"x"),)</f>
        <v>0</v>
      </c>
      <c r="O234" s="81">
        <f t="shared" si="203"/>
        <v>0</v>
      </c>
      <c r="P234" s="81">
        <f t="shared" si="168"/>
        <v>0</v>
      </c>
      <c r="Q234" s="81">
        <f t="shared" si="204"/>
        <v>0</v>
      </c>
      <c r="R234" s="81">
        <f>IF(W234="",,SUM($W$4:W234))</f>
        <v>0</v>
      </c>
      <c r="S234" s="81">
        <f t="shared" si="169"/>
        <v>0</v>
      </c>
      <c r="T234" s="81">
        <f t="shared" si="205"/>
        <v>0</v>
      </c>
      <c r="U234" s="81">
        <f t="shared" si="170"/>
        <v>0</v>
      </c>
      <c r="AE234" s="81">
        <v>234</v>
      </c>
      <c r="AI234" s="81">
        <v>231</v>
      </c>
      <c r="AJ234" s="81" t="str">
        <f t="shared" si="161"/>
        <v>November 37</v>
      </c>
      <c r="AK234" s="81" t="str">
        <f t="shared" si="207"/>
        <v>November</v>
      </c>
      <c r="AL234" s="81">
        <f t="shared" si="206"/>
        <v>37</v>
      </c>
      <c r="AM234" s="81" t="str">
        <f t="shared" si="171"/>
        <v>='November 37'!</v>
      </c>
      <c r="AN234" s="81" t="str">
        <f t="shared" si="165"/>
        <v>='November 37'!C27</v>
      </c>
      <c r="AO234" s="81" t="s">
        <v>1234</v>
      </c>
      <c r="AR234" s="81" t="s">
        <v>294</v>
      </c>
      <c r="AS234" s="83" t="str">
        <f t="shared" si="162"/>
        <v>='November 37'!C6</v>
      </c>
      <c r="AT234" s="83">
        <f t="shared" si="163"/>
        <v>0</v>
      </c>
      <c r="AV234" s="81" t="s">
        <v>595</v>
      </c>
      <c r="AW234" s="81" t="s">
        <v>3848</v>
      </c>
      <c r="AX234" s="81" t="s">
        <v>3849</v>
      </c>
      <c r="AY234" s="81" t="s">
        <v>3850</v>
      </c>
      <c r="AZ234" s="81" t="s">
        <v>3851</v>
      </c>
      <c r="BA234" s="81" t="s">
        <v>3852</v>
      </c>
      <c r="BB234" s="81" t="s">
        <v>3853</v>
      </c>
      <c r="BC234" s="81" t="s">
        <v>3854</v>
      </c>
      <c r="BD234" s="81" t="s">
        <v>3855</v>
      </c>
      <c r="BE234" s="81" t="s">
        <v>3856</v>
      </c>
      <c r="BF234" s="81" t="s">
        <v>3857</v>
      </c>
      <c r="BG234" s="81" t="s">
        <v>3858</v>
      </c>
      <c r="BH234" s="81" t="s">
        <v>4851</v>
      </c>
      <c r="BI234" s="81" t="s">
        <v>5155</v>
      </c>
      <c r="BJ234" s="81" t="s">
        <v>294</v>
      </c>
      <c r="BL234" s="81" t="s">
        <v>898</v>
      </c>
      <c r="BM234" s="81">
        <v>231</v>
      </c>
      <c r="BN234" s="81" t="str">
        <f t="shared" si="164"/>
        <v>='November 37'!C12</v>
      </c>
      <c r="BP234" s="81" t="str">
        <f t="shared" ca="1" si="172"/>
        <v/>
      </c>
      <c r="BR234" s="84">
        <f t="shared" si="166"/>
        <v>0</v>
      </c>
      <c r="BS234" s="84">
        <f t="shared" si="167"/>
        <v>0</v>
      </c>
      <c r="CA234" s="81" t="s">
        <v>2</v>
      </c>
      <c r="CB234" s="81">
        <f t="shared" si="173"/>
        <v>0</v>
      </c>
      <c r="CC234" s="81">
        <f t="shared" si="174"/>
        <v>0</v>
      </c>
      <c r="CD234" s="81" t="s">
        <v>16</v>
      </c>
      <c r="CE234" s="81">
        <f t="shared" si="175"/>
        <v>0</v>
      </c>
      <c r="CF234" s="81">
        <f t="shared" si="176"/>
        <v>0</v>
      </c>
      <c r="CG234" s="81" t="s">
        <v>5</v>
      </c>
      <c r="CH234" s="81">
        <f t="shared" si="177"/>
        <v>0</v>
      </c>
      <c r="CI234" s="81">
        <f t="shared" si="178"/>
        <v>0</v>
      </c>
      <c r="CJ234" s="81" t="s">
        <v>18</v>
      </c>
      <c r="CK234" s="81">
        <f t="shared" si="179"/>
        <v>0</v>
      </c>
      <c r="CL234" s="81">
        <f t="shared" si="180"/>
        <v>0</v>
      </c>
      <c r="CM234" s="81" t="s">
        <v>4</v>
      </c>
      <c r="CN234" s="81">
        <f t="shared" si="181"/>
        <v>0</v>
      </c>
      <c r="CO234" s="81">
        <f t="shared" si="182"/>
        <v>0</v>
      </c>
      <c r="CP234" s="81" t="s">
        <v>22</v>
      </c>
      <c r="CQ234" s="81">
        <f t="shared" si="183"/>
        <v>0</v>
      </c>
      <c r="CR234" s="81">
        <f t="shared" si="184"/>
        <v>0</v>
      </c>
      <c r="CS234" s="81" t="s">
        <v>21</v>
      </c>
      <c r="CT234" s="81">
        <f t="shared" si="185"/>
        <v>0</v>
      </c>
      <c r="CU234" s="81">
        <f t="shared" si="186"/>
        <v>0</v>
      </c>
      <c r="CV234" s="81" t="s">
        <v>998</v>
      </c>
      <c r="CW234" s="81">
        <f t="shared" si="187"/>
        <v>0</v>
      </c>
      <c r="CX234" s="81">
        <f t="shared" si="188"/>
        <v>0</v>
      </c>
      <c r="CY234" s="81" t="s">
        <v>19</v>
      </c>
      <c r="CZ234" s="81">
        <f t="shared" si="189"/>
        <v>0</v>
      </c>
      <c r="DA234" s="81">
        <f t="shared" si="190"/>
        <v>0</v>
      </c>
      <c r="DB234" s="81" t="s">
        <v>20</v>
      </c>
      <c r="DC234" s="81">
        <f t="shared" si="191"/>
        <v>0</v>
      </c>
      <c r="DD234" s="81">
        <f t="shared" si="192"/>
        <v>0</v>
      </c>
      <c r="DE234" s="81" t="s">
        <v>23</v>
      </c>
      <c r="DF234" s="81">
        <f t="shared" si="193"/>
        <v>0</v>
      </c>
      <c r="DG234" s="81">
        <f t="shared" si="194"/>
        <v>0</v>
      </c>
      <c r="DH234" s="81" t="s">
        <v>15</v>
      </c>
      <c r="DI234" s="81">
        <f t="shared" si="195"/>
        <v>0</v>
      </c>
      <c r="DJ234" s="81">
        <f t="shared" si="196"/>
        <v>0</v>
      </c>
      <c r="DK234" s="81" t="s">
        <v>5456</v>
      </c>
      <c r="DL234" s="81">
        <f t="shared" si="197"/>
        <v>0</v>
      </c>
      <c r="DM234" s="81">
        <f t="shared" si="198"/>
        <v>0</v>
      </c>
      <c r="DN234" s="81" t="s">
        <v>7</v>
      </c>
      <c r="DO234" s="81">
        <f t="shared" si="199"/>
        <v>0</v>
      </c>
      <c r="DP234" s="81">
        <f t="shared" si="200"/>
        <v>0</v>
      </c>
      <c r="DQ234" s="81" t="s">
        <v>1</v>
      </c>
      <c r="DR234" s="81">
        <f t="shared" si="201"/>
        <v>0</v>
      </c>
      <c r="DS234" s="81">
        <f t="shared" si="202"/>
        <v>0</v>
      </c>
    </row>
    <row r="235" spans="14:123" x14ac:dyDescent="0.3">
      <c r="N235" s="81">
        <f>IF(Q236=0,IF(Q235=0,,"x"),)</f>
        <v>0</v>
      </c>
      <c r="O235" s="81">
        <f t="shared" si="203"/>
        <v>0</v>
      </c>
      <c r="P235" s="81">
        <f t="shared" si="168"/>
        <v>0</v>
      </c>
      <c r="Q235" s="81">
        <f t="shared" si="204"/>
        <v>0</v>
      </c>
      <c r="R235" s="81">
        <f>IF(W235="",,SUM($W$4:W235))</f>
        <v>0</v>
      </c>
      <c r="S235" s="81">
        <f t="shared" si="169"/>
        <v>0</v>
      </c>
      <c r="T235" s="81">
        <f t="shared" si="205"/>
        <v>0</v>
      </c>
      <c r="U235" s="81">
        <f t="shared" si="170"/>
        <v>0</v>
      </c>
      <c r="AE235" s="81">
        <v>235</v>
      </c>
      <c r="AI235" s="81">
        <v>232</v>
      </c>
      <c r="AJ235" s="81" t="str">
        <f t="shared" si="161"/>
        <v>December 37</v>
      </c>
      <c r="AK235" s="81" t="str">
        <f t="shared" si="207"/>
        <v>December</v>
      </c>
      <c r="AL235" s="81">
        <f t="shared" si="206"/>
        <v>37</v>
      </c>
      <c r="AM235" s="81" t="str">
        <f t="shared" si="171"/>
        <v>='December 37'!</v>
      </c>
      <c r="AN235" s="81" t="str">
        <f t="shared" si="165"/>
        <v>='December 37'!C27</v>
      </c>
      <c r="AO235" s="81" t="s">
        <v>1235</v>
      </c>
      <c r="AR235" s="81" t="s">
        <v>295</v>
      </c>
      <c r="AS235" s="83" t="str">
        <f t="shared" si="162"/>
        <v>='December 37'!C6</v>
      </c>
      <c r="AT235" s="83">
        <f t="shared" si="163"/>
        <v>0</v>
      </c>
      <c r="AV235" s="81" t="s">
        <v>596</v>
      </c>
      <c r="AW235" s="81" t="s">
        <v>3859</v>
      </c>
      <c r="AX235" s="81" t="s">
        <v>3860</v>
      </c>
      <c r="AY235" s="81" t="s">
        <v>3861</v>
      </c>
      <c r="AZ235" s="81" t="s">
        <v>3862</v>
      </c>
      <c r="BA235" s="81" t="s">
        <v>3863</v>
      </c>
      <c r="BB235" s="81" t="s">
        <v>3864</v>
      </c>
      <c r="BC235" s="81" t="s">
        <v>3865</v>
      </c>
      <c r="BD235" s="81" t="s">
        <v>3866</v>
      </c>
      <c r="BE235" s="81" t="s">
        <v>3867</v>
      </c>
      <c r="BF235" s="81" t="s">
        <v>3868</v>
      </c>
      <c r="BG235" s="81" t="s">
        <v>3869</v>
      </c>
      <c r="BH235" s="81" t="s">
        <v>4852</v>
      </c>
      <c r="BI235" s="81" t="s">
        <v>5156</v>
      </c>
      <c r="BJ235" s="81" t="s">
        <v>295</v>
      </c>
      <c r="BL235" s="81" t="s">
        <v>899</v>
      </c>
      <c r="BM235" s="81">
        <v>232</v>
      </c>
      <c r="BN235" s="81" t="str">
        <f t="shared" si="164"/>
        <v>='December 37'!C12</v>
      </c>
      <c r="BP235" s="81" t="str">
        <f t="shared" ca="1" si="172"/>
        <v/>
      </c>
      <c r="BR235" s="84">
        <f t="shared" si="166"/>
        <v>0</v>
      </c>
      <c r="BS235" s="84">
        <f t="shared" si="167"/>
        <v>0</v>
      </c>
      <c r="CA235" s="81" t="s">
        <v>2</v>
      </c>
      <c r="CB235" s="81">
        <f t="shared" si="173"/>
        <v>0</v>
      </c>
      <c r="CC235" s="81">
        <f t="shared" si="174"/>
        <v>0</v>
      </c>
      <c r="CD235" s="81" t="s">
        <v>16</v>
      </c>
      <c r="CE235" s="81">
        <f t="shared" si="175"/>
        <v>0</v>
      </c>
      <c r="CF235" s="81">
        <f t="shared" si="176"/>
        <v>0</v>
      </c>
      <c r="CG235" s="81" t="s">
        <v>5</v>
      </c>
      <c r="CH235" s="81">
        <f t="shared" si="177"/>
        <v>0</v>
      </c>
      <c r="CI235" s="81">
        <f t="shared" si="178"/>
        <v>0</v>
      </c>
      <c r="CJ235" s="81" t="s">
        <v>18</v>
      </c>
      <c r="CK235" s="81">
        <f t="shared" si="179"/>
        <v>0</v>
      </c>
      <c r="CL235" s="81">
        <f t="shared" si="180"/>
        <v>0</v>
      </c>
      <c r="CM235" s="81" t="s">
        <v>4</v>
      </c>
      <c r="CN235" s="81">
        <f t="shared" si="181"/>
        <v>0</v>
      </c>
      <c r="CO235" s="81">
        <f t="shared" si="182"/>
        <v>0</v>
      </c>
      <c r="CP235" s="81" t="s">
        <v>22</v>
      </c>
      <c r="CQ235" s="81">
        <f t="shared" si="183"/>
        <v>0</v>
      </c>
      <c r="CR235" s="81">
        <f t="shared" si="184"/>
        <v>0</v>
      </c>
      <c r="CS235" s="81" t="s">
        <v>21</v>
      </c>
      <c r="CT235" s="81">
        <f t="shared" si="185"/>
        <v>0</v>
      </c>
      <c r="CU235" s="81">
        <f t="shared" si="186"/>
        <v>0</v>
      </c>
      <c r="CV235" s="81" t="s">
        <v>998</v>
      </c>
      <c r="CW235" s="81">
        <f t="shared" si="187"/>
        <v>0</v>
      </c>
      <c r="CX235" s="81">
        <f t="shared" si="188"/>
        <v>0</v>
      </c>
      <c r="CY235" s="81" t="s">
        <v>19</v>
      </c>
      <c r="CZ235" s="81">
        <f t="shared" si="189"/>
        <v>0</v>
      </c>
      <c r="DA235" s="81">
        <f t="shared" si="190"/>
        <v>0</v>
      </c>
      <c r="DB235" s="81" t="s">
        <v>20</v>
      </c>
      <c r="DC235" s="81">
        <f t="shared" si="191"/>
        <v>0</v>
      </c>
      <c r="DD235" s="81">
        <f t="shared" si="192"/>
        <v>0</v>
      </c>
      <c r="DE235" s="81" t="s">
        <v>23</v>
      </c>
      <c r="DF235" s="81">
        <f t="shared" si="193"/>
        <v>0</v>
      </c>
      <c r="DG235" s="81">
        <f t="shared" si="194"/>
        <v>0</v>
      </c>
      <c r="DH235" s="81" t="s">
        <v>15</v>
      </c>
      <c r="DI235" s="81">
        <f t="shared" si="195"/>
        <v>0</v>
      </c>
      <c r="DJ235" s="81">
        <f t="shared" si="196"/>
        <v>0</v>
      </c>
      <c r="DK235" s="81" t="s">
        <v>5457</v>
      </c>
      <c r="DL235" s="81">
        <f t="shared" si="197"/>
        <v>0</v>
      </c>
      <c r="DM235" s="81">
        <f t="shared" si="198"/>
        <v>0</v>
      </c>
      <c r="DN235" s="81" t="s">
        <v>7</v>
      </c>
      <c r="DO235" s="81">
        <f t="shared" si="199"/>
        <v>0</v>
      </c>
      <c r="DP235" s="81">
        <f t="shared" si="200"/>
        <v>0</v>
      </c>
      <c r="DQ235" s="81" t="s">
        <v>1</v>
      </c>
      <c r="DR235" s="81">
        <f t="shared" si="201"/>
        <v>0</v>
      </c>
      <c r="DS235" s="81">
        <f t="shared" si="202"/>
        <v>0</v>
      </c>
    </row>
    <row r="236" spans="14:123" x14ac:dyDescent="0.3">
      <c r="N236" s="81">
        <f>IF(Q237=0,IF(Q236=0,,"x"),)</f>
        <v>0</v>
      </c>
      <c r="O236" s="81">
        <f t="shared" si="203"/>
        <v>0</v>
      </c>
      <c r="P236" s="81">
        <f t="shared" si="168"/>
        <v>0</v>
      </c>
      <c r="Q236" s="81">
        <f t="shared" si="204"/>
        <v>0</v>
      </c>
      <c r="R236" s="81">
        <f>IF(W236="",,SUM($W$4:W236))</f>
        <v>0</v>
      </c>
      <c r="S236" s="81">
        <f t="shared" si="169"/>
        <v>0</v>
      </c>
      <c r="T236" s="81">
        <f t="shared" si="205"/>
        <v>0</v>
      </c>
      <c r="U236" s="81">
        <f t="shared" si="170"/>
        <v>0</v>
      </c>
      <c r="AE236" s="81">
        <v>236</v>
      </c>
      <c r="AI236" s="81">
        <v>233</v>
      </c>
      <c r="AJ236" s="81" t="str">
        <f t="shared" si="161"/>
        <v>Januari 38</v>
      </c>
      <c r="AK236" s="81" t="str">
        <f t="shared" si="207"/>
        <v>Januari</v>
      </c>
      <c r="AL236" s="81">
        <f t="shared" si="206"/>
        <v>38</v>
      </c>
      <c r="AM236" s="81" t="str">
        <f t="shared" si="171"/>
        <v>='Januari 38'!</v>
      </c>
      <c r="AN236" s="81" t="str">
        <f t="shared" si="165"/>
        <v>='Januari 38'!C27</v>
      </c>
      <c r="AO236" s="81" t="s">
        <v>1236</v>
      </c>
      <c r="AR236" s="81" t="s">
        <v>296</v>
      </c>
      <c r="AS236" s="83" t="str">
        <f t="shared" si="162"/>
        <v>='Januari 38'!C6</v>
      </c>
      <c r="AT236" s="83">
        <f t="shared" si="163"/>
        <v>0</v>
      </c>
      <c r="AV236" s="81" t="s">
        <v>597</v>
      </c>
      <c r="AW236" s="81" t="s">
        <v>3870</v>
      </c>
      <c r="AX236" s="81" t="s">
        <v>3871</v>
      </c>
      <c r="AY236" s="81" t="s">
        <v>3872</v>
      </c>
      <c r="AZ236" s="81" t="s">
        <v>3873</v>
      </c>
      <c r="BA236" s="81" t="s">
        <v>3874</v>
      </c>
      <c r="BB236" s="81" t="s">
        <v>3875</v>
      </c>
      <c r="BC236" s="81" t="s">
        <v>3876</v>
      </c>
      <c r="BD236" s="81" t="s">
        <v>3877</v>
      </c>
      <c r="BE236" s="81" t="s">
        <v>3878</v>
      </c>
      <c r="BF236" s="81" t="s">
        <v>3879</v>
      </c>
      <c r="BG236" s="81" t="s">
        <v>3880</v>
      </c>
      <c r="BH236" s="81" t="s">
        <v>4853</v>
      </c>
      <c r="BI236" s="81" t="s">
        <v>5157</v>
      </c>
      <c r="BJ236" s="81" t="s">
        <v>296</v>
      </c>
      <c r="BL236" s="81" t="s">
        <v>900</v>
      </c>
      <c r="BM236" s="81">
        <v>233</v>
      </c>
      <c r="BN236" s="81" t="str">
        <f t="shared" si="164"/>
        <v>='Januari 38'!C12</v>
      </c>
      <c r="BP236" s="81" t="str">
        <f t="shared" ca="1" si="172"/>
        <v/>
      </c>
      <c r="BR236" s="84">
        <f t="shared" si="166"/>
        <v>0</v>
      </c>
      <c r="BS236" s="84">
        <f t="shared" si="167"/>
        <v>0</v>
      </c>
      <c r="CA236" s="81" t="s">
        <v>2</v>
      </c>
      <c r="CB236" s="81">
        <f t="shared" si="173"/>
        <v>0</v>
      </c>
      <c r="CC236" s="81">
        <f t="shared" si="174"/>
        <v>0</v>
      </c>
      <c r="CD236" s="81" t="s">
        <v>16</v>
      </c>
      <c r="CE236" s="81">
        <f t="shared" si="175"/>
        <v>0</v>
      </c>
      <c r="CF236" s="81">
        <f t="shared" si="176"/>
        <v>0</v>
      </c>
      <c r="CG236" s="81" t="s">
        <v>5</v>
      </c>
      <c r="CH236" s="81">
        <f t="shared" si="177"/>
        <v>0</v>
      </c>
      <c r="CI236" s="81">
        <f t="shared" si="178"/>
        <v>0</v>
      </c>
      <c r="CJ236" s="81" t="s">
        <v>18</v>
      </c>
      <c r="CK236" s="81">
        <f t="shared" si="179"/>
        <v>0</v>
      </c>
      <c r="CL236" s="81">
        <f t="shared" si="180"/>
        <v>0</v>
      </c>
      <c r="CM236" s="81" t="s">
        <v>4</v>
      </c>
      <c r="CN236" s="81">
        <f t="shared" si="181"/>
        <v>0</v>
      </c>
      <c r="CO236" s="81">
        <f t="shared" si="182"/>
        <v>0</v>
      </c>
      <c r="CP236" s="81" t="s">
        <v>22</v>
      </c>
      <c r="CQ236" s="81">
        <f t="shared" si="183"/>
        <v>0</v>
      </c>
      <c r="CR236" s="81">
        <f t="shared" si="184"/>
        <v>0</v>
      </c>
      <c r="CS236" s="81" t="s">
        <v>21</v>
      </c>
      <c r="CT236" s="81">
        <f t="shared" si="185"/>
        <v>0</v>
      </c>
      <c r="CU236" s="81">
        <f t="shared" si="186"/>
        <v>0</v>
      </c>
      <c r="CV236" s="81" t="s">
        <v>998</v>
      </c>
      <c r="CW236" s="81">
        <f t="shared" si="187"/>
        <v>0</v>
      </c>
      <c r="CX236" s="81">
        <f t="shared" si="188"/>
        <v>0</v>
      </c>
      <c r="CY236" s="81" t="s">
        <v>19</v>
      </c>
      <c r="CZ236" s="81">
        <f t="shared" si="189"/>
        <v>0</v>
      </c>
      <c r="DA236" s="81">
        <f t="shared" si="190"/>
        <v>0</v>
      </c>
      <c r="DB236" s="81" t="s">
        <v>20</v>
      </c>
      <c r="DC236" s="81">
        <f t="shared" si="191"/>
        <v>0</v>
      </c>
      <c r="DD236" s="81">
        <f t="shared" si="192"/>
        <v>0</v>
      </c>
      <c r="DE236" s="81" t="s">
        <v>23</v>
      </c>
      <c r="DF236" s="81">
        <f t="shared" si="193"/>
        <v>0</v>
      </c>
      <c r="DG236" s="81">
        <f t="shared" si="194"/>
        <v>0</v>
      </c>
      <c r="DH236" s="81" t="s">
        <v>15</v>
      </c>
      <c r="DI236" s="81">
        <f t="shared" si="195"/>
        <v>0</v>
      </c>
      <c r="DJ236" s="81">
        <f t="shared" si="196"/>
        <v>0</v>
      </c>
      <c r="DK236" s="81" t="s">
        <v>5458</v>
      </c>
      <c r="DL236" s="81">
        <f t="shared" si="197"/>
        <v>0</v>
      </c>
      <c r="DM236" s="81">
        <f t="shared" si="198"/>
        <v>0</v>
      </c>
      <c r="DN236" s="81" t="s">
        <v>7</v>
      </c>
      <c r="DO236" s="81">
        <f t="shared" si="199"/>
        <v>0</v>
      </c>
      <c r="DP236" s="81">
        <f t="shared" si="200"/>
        <v>0</v>
      </c>
      <c r="DQ236" s="81" t="s">
        <v>1</v>
      </c>
      <c r="DR236" s="81">
        <f t="shared" si="201"/>
        <v>0</v>
      </c>
      <c r="DS236" s="81">
        <f t="shared" si="202"/>
        <v>0</v>
      </c>
    </row>
    <row r="237" spans="14:123" x14ac:dyDescent="0.3">
      <c r="N237" s="81">
        <f>IF(Q238=0,IF(Q237=0,,"x"),)</f>
        <v>0</v>
      </c>
      <c r="O237" s="81">
        <f t="shared" si="203"/>
        <v>0</v>
      </c>
      <c r="P237" s="81">
        <f t="shared" si="168"/>
        <v>0</v>
      </c>
      <c r="Q237" s="81">
        <f t="shared" si="204"/>
        <v>0</v>
      </c>
      <c r="R237" s="81">
        <f>IF(W237="",,SUM($W$4:W237))</f>
        <v>0</v>
      </c>
      <c r="S237" s="81">
        <f t="shared" si="169"/>
        <v>0</v>
      </c>
      <c r="T237" s="81">
        <f t="shared" si="205"/>
        <v>0</v>
      </c>
      <c r="U237" s="81">
        <f t="shared" si="170"/>
        <v>0</v>
      </c>
      <c r="AE237" s="81">
        <v>237</v>
      </c>
      <c r="AI237" s="81">
        <v>234</v>
      </c>
      <c r="AJ237" s="81" t="str">
        <f t="shared" si="161"/>
        <v>Februari 38</v>
      </c>
      <c r="AK237" s="81" t="str">
        <f t="shared" si="207"/>
        <v>Februari</v>
      </c>
      <c r="AL237" s="81">
        <f t="shared" si="206"/>
        <v>38</v>
      </c>
      <c r="AM237" s="81" t="str">
        <f t="shared" si="171"/>
        <v>='Februari 38'!</v>
      </c>
      <c r="AN237" s="81" t="str">
        <f t="shared" si="165"/>
        <v>='Februari 38'!C27</v>
      </c>
      <c r="AO237" s="81" t="s">
        <v>1237</v>
      </c>
      <c r="AR237" s="81" t="s">
        <v>297</v>
      </c>
      <c r="AS237" s="83" t="str">
        <f t="shared" si="162"/>
        <v>='Februari 38'!C6</v>
      </c>
      <c r="AT237" s="83">
        <f t="shared" si="163"/>
        <v>0</v>
      </c>
      <c r="AV237" s="81" t="s">
        <v>598</v>
      </c>
      <c r="AW237" s="81" t="s">
        <v>3881</v>
      </c>
      <c r="AX237" s="81" t="s">
        <v>3882</v>
      </c>
      <c r="AY237" s="81" t="s">
        <v>3883</v>
      </c>
      <c r="AZ237" s="81" t="s">
        <v>3884</v>
      </c>
      <c r="BA237" s="81" t="s">
        <v>3885</v>
      </c>
      <c r="BB237" s="81" t="s">
        <v>3886</v>
      </c>
      <c r="BC237" s="81" t="s">
        <v>3887</v>
      </c>
      <c r="BD237" s="81" t="s">
        <v>3888</v>
      </c>
      <c r="BE237" s="81" t="s">
        <v>3889</v>
      </c>
      <c r="BF237" s="81" t="s">
        <v>3890</v>
      </c>
      <c r="BG237" s="81" t="s">
        <v>3891</v>
      </c>
      <c r="BH237" s="81" t="s">
        <v>4854</v>
      </c>
      <c r="BI237" s="81" t="s">
        <v>5158</v>
      </c>
      <c r="BJ237" s="81" t="s">
        <v>297</v>
      </c>
      <c r="BL237" s="81" t="s">
        <v>901</v>
      </c>
      <c r="BM237" s="81">
        <v>234</v>
      </c>
      <c r="BN237" s="81" t="str">
        <f t="shared" si="164"/>
        <v>='Februari 38'!C12</v>
      </c>
      <c r="BP237" s="81" t="str">
        <f t="shared" ca="1" si="172"/>
        <v/>
      </c>
      <c r="BR237" s="84">
        <f t="shared" si="166"/>
        <v>0</v>
      </c>
      <c r="BS237" s="84">
        <f t="shared" si="167"/>
        <v>0</v>
      </c>
      <c r="CA237" s="81" t="s">
        <v>2</v>
      </c>
      <c r="CB237" s="81">
        <f t="shared" si="173"/>
        <v>0</v>
      </c>
      <c r="CC237" s="81">
        <f t="shared" si="174"/>
        <v>0</v>
      </c>
      <c r="CD237" s="81" t="s">
        <v>16</v>
      </c>
      <c r="CE237" s="81">
        <f t="shared" si="175"/>
        <v>0</v>
      </c>
      <c r="CF237" s="81">
        <f t="shared" si="176"/>
        <v>0</v>
      </c>
      <c r="CG237" s="81" t="s">
        <v>5</v>
      </c>
      <c r="CH237" s="81">
        <f t="shared" si="177"/>
        <v>0</v>
      </c>
      <c r="CI237" s="81">
        <f t="shared" si="178"/>
        <v>0</v>
      </c>
      <c r="CJ237" s="81" t="s">
        <v>18</v>
      </c>
      <c r="CK237" s="81">
        <f t="shared" si="179"/>
        <v>0</v>
      </c>
      <c r="CL237" s="81">
        <f t="shared" si="180"/>
        <v>0</v>
      </c>
      <c r="CM237" s="81" t="s">
        <v>4</v>
      </c>
      <c r="CN237" s="81">
        <f t="shared" si="181"/>
        <v>0</v>
      </c>
      <c r="CO237" s="81">
        <f t="shared" si="182"/>
        <v>0</v>
      </c>
      <c r="CP237" s="81" t="s">
        <v>22</v>
      </c>
      <c r="CQ237" s="81">
        <f t="shared" si="183"/>
        <v>0</v>
      </c>
      <c r="CR237" s="81">
        <f t="shared" si="184"/>
        <v>0</v>
      </c>
      <c r="CS237" s="81" t="s">
        <v>21</v>
      </c>
      <c r="CT237" s="81">
        <f t="shared" si="185"/>
        <v>0</v>
      </c>
      <c r="CU237" s="81">
        <f t="shared" si="186"/>
        <v>0</v>
      </c>
      <c r="CV237" s="81" t="s">
        <v>998</v>
      </c>
      <c r="CW237" s="81">
        <f t="shared" si="187"/>
        <v>0</v>
      </c>
      <c r="CX237" s="81">
        <f t="shared" si="188"/>
        <v>0</v>
      </c>
      <c r="CY237" s="81" t="s">
        <v>19</v>
      </c>
      <c r="CZ237" s="81">
        <f t="shared" si="189"/>
        <v>0</v>
      </c>
      <c r="DA237" s="81">
        <f t="shared" si="190"/>
        <v>0</v>
      </c>
      <c r="DB237" s="81" t="s">
        <v>20</v>
      </c>
      <c r="DC237" s="81">
        <f t="shared" si="191"/>
        <v>0</v>
      </c>
      <c r="DD237" s="81">
        <f t="shared" si="192"/>
        <v>0</v>
      </c>
      <c r="DE237" s="81" t="s">
        <v>23</v>
      </c>
      <c r="DF237" s="81">
        <f t="shared" si="193"/>
        <v>0</v>
      </c>
      <c r="DG237" s="81">
        <f t="shared" si="194"/>
        <v>0</v>
      </c>
      <c r="DH237" s="81" t="s">
        <v>15</v>
      </c>
      <c r="DI237" s="81">
        <f t="shared" si="195"/>
        <v>0</v>
      </c>
      <c r="DJ237" s="81">
        <f t="shared" si="196"/>
        <v>0</v>
      </c>
      <c r="DK237" s="81" t="s">
        <v>5459</v>
      </c>
      <c r="DL237" s="81">
        <f t="shared" si="197"/>
        <v>0</v>
      </c>
      <c r="DM237" s="81">
        <f t="shared" si="198"/>
        <v>0</v>
      </c>
      <c r="DN237" s="81" t="s">
        <v>7</v>
      </c>
      <c r="DO237" s="81">
        <f t="shared" si="199"/>
        <v>0</v>
      </c>
      <c r="DP237" s="81">
        <f t="shared" si="200"/>
        <v>0</v>
      </c>
      <c r="DQ237" s="81" t="s">
        <v>1</v>
      </c>
      <c r="DR237" s="81">
        <f t="shared" si="201"/>
        <v>0</v>
      </c>
      <c r="DS237" s="81">
        <f t="shared" si="202"/>
        <v>0</v>
      </c>
    </row>
    <row r="238" spans="14:123" x14ac:dyDescent="0.3">
      <c r="N238" s="81">
        <f>IF(Q239=0,IF(Q238=0,,"x"),)</f>
        <v>0</v>
      </c>
      <c r="O238" s="81">
        <f t="shared" si="203"/>
        <v>0</v>
      </c>
      <c r="P238" s="81">
        <f t="shared" si="168"/>
        <v>0</v>
      </c>
      <c r="Q238" s="81">
        <f t="shared" si="204"/>
        <v>0</v>
      </c>
      <c r="R238" s="81">
        <f>IF(W238="",,SUM($W$4:W238))</f>
        <v>0</v>
      </c>
      <c r="S238" s="81">
        <f t="shared" si="169"/>
        <v>0</v>
      </c>
      <c r="T238" s="81">
        <f t="shared" si="205"/>
        <v>0</v>
      </c>
      <c r="U238" s="81">
        <f t="shared" si="170"/>
        <v>0</v>
      </c>
      <c r="AE238" s="81">
        <v>238</v>
      </c>
      <c r="AI238" s="81">
        <v>235</v>
      </c>
      <c r="AJ238" s="81" t="str">
        <f t="shared" si="161"/>
        <v>Mars 38</v>
      </c>
      <c r="AK238" s="81" t="str">
        <f t="shared" si="207"/>
        <v>Mars</v>
      </c>
      <c r="AL238" s="81">
        <f t="shared" si="206"/>
        <v>38</v>
      </c>
      <c r="AM238" s="81" t="str">
        <f t="shared" si="171"/>
        <v>='Mars 38'!</v>
      </c>
      <c r="AN238" s="81" t="str">
        <f t="shared" si="165"/>
        <v>='Mars 38'!C27</v>
      </c>
      <c r="AO238" s="81" t="s">
        <v>1238</v>
      </c>
      <c r="AR238" s="81" t="s">
        <v>298</v>
      </c>
      <c r="AS238" s="83" t="str">
        <f t="shared" si="162"/>
        <v>='Mars 38'!C6</v>
      </c>
      <c r="AT238" s="83">
        <f t="shared" si="163"/>
        <v>0</v>
      </c>
      <c r="AV238" s="81" t="s">
        <v>599</v>
      </c>
      <c r="AW238" s="81" t="s">
        <v>3892</v>
      </c>
      <c r="AX238" s="81" t="s">
        <v>3893</v>
      </c>
      <c r="AY238" s="81" t="s">
        <v>3894</v>
      </c>
      <c r="AZ238" s="81" t="s">
        <v>3895</v>
      </c>
      <c r="BA238" s="81" t="s">
        <v>3896</v>
      </c>
      <c r="BB238" s="81" t="s">
        <v>3897</v>
      </c>
      <c r="BC238" s="81" t="s">
        <v>3898</v>
      </c>
      <c r="BD238" s="81" t="s">
        <v>3899</v>
      </c>
      <c r="BE238" s="81" t="s">
        <v>3900</v>
      </c>
      <c r="BF238" s="81" t="s">
        <v>3901</v>
      </c>
      <c r="BG238" s="81" t="s">
        <v>3902</v>
      </c>
      <c r="BH238" s="81" t="s">
        <v>4855</v>
      </c>
      <c r="BI238" s="81" t="s">
        <v>5159</v>
      </c>
      <c r="BJ238" s="81" t="s">
        <v>298</v>
      </c>
      <c r="BL238" s="81" t="s">
        <v>902</v>
      </c>
      <c r="BM238" s="81">
        <v>235</v>
      </c>
      <c r="BN238" s="81" t="str">
        <f t="shared" si="164"/>
        <v>='Mars 38'!C12</v>
      </c>
      <c r="BP238" s="81" t="str">
        <f t="shared" ca="1" si="172"/>
        <v/>
      </c>
      <c r="BR238" s="84">
        <f t="shared" si="166"/>
        <v>0</v>
      </c>
      <c r="BS238" s="84">
        <f t="shared" si="167"/>
        <v>0</v>
      </c>
      <c r="CA238" s="81" t="s">
        <v>2</v>
      </c>
      <c r="CB238" s="81">
        <f t="shared" si="173"/>
        <v>0</v>
      </c>
      <c r="CC238" s="81">
        <f t="shared" si="174"/>
        <v>0</v>
      </c>
      <c r="CD238" s="81" t="s">
        <v>16</v>
      </c>
      <c r="CE238" s="81">
        <f t="shared" si="175"/>
        <v>0</v>
      </c>
      <c r="CF238" s="81">
        <f t="shared" si="176"/>
        <v>0</v>
      </c>
      <c r="CG238" s="81" t="s">
        <v>5</v>
      </c>
      <c r="CH238" s="81">
        <f t="shared" si="177"/>
        <v>0</v>
      </c>
      <c r="CI238" s="81">
        <f t="shared" si="178"/>
        <v>0</v>
      </c>
      <c r="CJ238" s="81" t="s">
        <v>18</v>
      </c>
      <c r="CK238" s="81">
        <f t="shared" si="179"/>
        <v>0</v>
      </c>
      <c r="CL238" s="81">
        <f t="shared" si="180"/>
        <v>0</v>
      </c>
      <c r="CM238" s="81" t="s">
        <v>4</v>
      </c>
      <c r="CN238" s="81">
        <f t="shared" si="181"/>
        <v>0</v>
      </c>
      <c r="CO238" s="81">
        <f t="shared" si="182"/>
        <v>0</v>
      </c>
      <c r="CP238" s="81" t="s">
        <v>22</v>
      </c>
      <c r="CQ238" s="81">
        <f t="shared" si="183"/>
        <v>0</v>
      </c>
      <c r="CR238" s="81">
        <f t="shared" si="184"/>
        <v>0</v>
      </c>
      <c r="CS238" s="81" t="s">
        <v>21</v>
      </c>
      <c r="CT238" s="81">
        <f t="shared" si="185"/>
        <v>0</v>
      </c>
      <c r="CU238" s="81">
        <f t="shared" si="186"/>
        <v>0</v>
      </c>
      <c r="CV238" s="81" t="s">
        <v>998</v>
      </c>
      <c r="CW238" s="81">
        <f t="shared" si="187"/>
        <v>0</v>
      </c>
      <c r="CX238" s="81">
        <f t="shared" si="188"/>
        <v>0</v>
      </c>
      <c r="CY238" s="81" t="s">
        <v>19</v>
      </c>
      <c r="CZ238" s="81">
        <f t="shared" si="189"/>
        <v>0</v>
      </c>
      <c r="DA238" s="81">
        <f t="shared" si="190"/>
        <v>0</v>
      </c>
      <c r="DB238" s="81" t="s">
        <v>20</v>
      </c>
      <c r="DC238" s="81">
        <f t="shared" si="191"/>
        <v>0</v>
      </c>
      <c r="DD238" s="81">
        <f t="shared" si="192"/>
        <v>0</v>
      </c>
      <c r="DE238" s="81" t="s">
        <v>23</v>
      </c>
      <c r="DF238" s="81">
        <f t="shared" si="193"/>
        <v>0</v>
      </c>
      <c r="DG238" s="81">
        <f t="shared" si="194"/>
        <v>0</v>
      </c>
      <c r="DH238" s="81" t="s">
        <v>15</v>
      </c>
      <c r="DI238" s="81">
        <f t="shared" si="195"/>
        <v>0</v>
      </c>
      <c r="DJ238" s="81">
        <f t="shared" si="196"/>
        <v>0</v>
      </c>
      <c r="DK238" s="81" t="s">
        <v>5460</v>
      </c>
      <c r="DL238" s="81">
        <f t="shared" si="197"/>
        <v>0</v>
      </c>
      <c r="DM238" s="81">
        <f t="shared" si="198"/>
        <v>0</v>
      </c>
      <c r="DN238" s="81" t="s">
        <v>7</v>
      </c>
      <c r="DO238" s="81">
        <f t="shared" si="199"/>
        <v>0</v>
      </c>
      <c r="DP238" s="81">
        <f t="shared" si="200"/>
        <v>0</v>
      </c>
      <c r="DQ238" s="81" t="s">
        <v>1</v>
      </c>
      <c r="DR238" s="81">
        <f t="shared" si="201"/>
        <v>0</v>
      </c>
      <c r="DS238" s="81">
        <f t="shared" si="202"/>
        <v>0</v>
      </c>
    </row>
    <row r="239" spans="14:123" x14ac:dyDescent="0.3">
      <c r="N239" s="81">
        <f>IF(Q240=0,IF(Q239=0,,"x"),)</f>
        <v>0</v>
      </c>
      <c r="O239" s="81">
        <f t="shared" si="203"/>
        <v>0</v>
      </c>
      <c r="P239" s="81">
        <f t="shared" si="168"/>
        <v>0</v>
      </c>
      <c r="Q239" s="81">
        <f t="shared" si="204"/>
        <v>0</v>
      </c>
      <c r="R239" s="81">
        <f>IF(W239="",,SUM($W$4:W239))</f>
        <v>0</v>
      </c>
      <c r="S239" s="81">
        <f t="shared" si="169"/>
        <v>0</v>
      </c>
      <c r="T239" s="81">
        <f t="shared" si="205"/>
        <v>0</v>
      </c>
      <c r="U239" s="81">
        <f t="shared" si="170"/>
        <v>0</v>
      </c>
      <c r="AE239" s="81">
        <v>239</v>
      </c>
      <c r="AI239" s="81">
        <v>236</v>
      </c>
      <c r="AJ239" s="81" t="str">
        <f t="shared" si="161"/>
        <v>April 38</v>
      </c>
      <c r="AK239" s="81" t="str">
        <f t="shared" si="207"/>
        <v>April</v>
      </c>
      <c r="AL239" s="81">
        <f t="shared" si="206"/>
        <v>38</v>
      </c>
      <c r="AM239" s="81" t="str">
        <f t="shared" si="171"/>
        <v>='April 38'!</v>
      </c>
      <c r="AN239" s="81" t="str">
        <f t="shared" si="165"/>
        <v>='April 38'!C27</v>
      </c>
      <c r="AO239" s="81" t="s">
        <v>1239</v>
      </c>
      <c r="AR239" s="81" t="s">
        <v>299</v>
      </c>
      <c r="AS239" s="83" t="str">
        <f t="shared" si="162"/>
        <v>='April 38'!C6</v>
      </c>
      <c r="AT239" s="83">
        <f t="shared" si="163"/>
        <v>0</v>
      </c>
      <c r="AV239" s="81" t="s">
        <v>600</v>
      </c>
      <c r="AW239" s="81" t="s">
        <v>3903</v>
      </c>
      <c r="AX239" s="81" t="s">
        <v>3904</v>
      </c>
      <c r="AY239" s="81" t="s">
        <v>3905</v>
      </c>
      <c r="AZ239" s="81" t="s">
        <v>3906</v>
      </c>
      <c r="BA239" s="81" t="s">
        <v>3907</v>
      </c>
      <c r="BB239" s="81" t="s">
        <v>3908</v>
      </c>
      <c r="BC239" s="81" t="s">
        <v>3909</v>
      </c>
      <c r="BD239" s="81" t="s">
        <v>3910</v>
      </c>
      <c r="BE239" s="81" t="s">
        <v>3911</v>
      </c>
      <c r="BF239" s="81" t="s">
        <v>3912</v>
      </c>
      <c r="BG239" s="81" t="s">
        <v>3913</v>
      </c>
      <c r="BH239" s="81" t="s">
        <v>4856</v>
      </c>
      <c r="BI239" s="81" t="s">
        <v>5160</v>
      </c>
      <c r="BJ239" s="81" t="s">
        <v>299</v>
      </c>
      <c r="BL239" s="81" t="s">
        <v>903</v>
      </c>
      <c r="BM239" s="81">
        <v>236</v>
      </c>
      <c r="BN239" s="81" t="str">
        <f t="shared" si="164"/>
        <v>='April 38'!C12</v>
      </c>
      <c r="BP239" s="81" t="str">
        <f t="shared" ca="1" si="172"/>
        <v/>
      </c>
      <c r="BR239" s="84">
        <f t="shared" si="166"/>
        <v>0</v>
      </c>
      <c r="BS239" s="84">
        <f t="shared" si="167"/>
        <v>0</v>
      </c>
      <c r="CA239" s="81" t="s">
        <v>2</v>
      </c>
      <c r="CB239" s="81">
        <f t="shared" si="173"/>
        <v>0</v>
      </c>
      <c r="CC239" s="81">
        <f t="shared" si="174"/>
        <v>0</v>
      </c>
      <c r="CD239" s="81" t="s">
        <v>16</v>
      </c>
      <c r="CE239" s="81">
        <f t="shared" si="175"/>
        <v>0</v>
      </c>
      <c r="CF239" s="81">
        <f t="shared" si="176"/>
        <v>0</v>
      </c>
      <c r="CG239" s="81" t="s">
        <v>5</v>
      </c>
      <c r="CH239" s="81">
        <f t="shared" si="177"/>
        <v>0</v>
      </c>
      <c r="CI239" s="81">
        <f t="shared" si="178"/>
        <v>0</v>
      </c>
      <c r="CJ239" s="81" t="s">
        <v>18</v>
      </c>
      <c r="CK239" s="81">
        <f t="shared" si="179"/>
        <v>0</v>
      </c>
      <c r="CL239" s="81">
        <f t="shared" si="180"/>
        <v>0</v>
      </c>
      <c r="CM239" s="81" t="s">
        <v>4</v>
      </c>
      <c r="CN239" s="81">
        <f t="shared" si="181"/>
        <v>0</v>
      </c>
      <c r="CO239" s="81">
        <f t="shared" si="182"/>
        <v>0</v>
      </c>
      <c r="CP239" s="81" t="s">
        <v>22</v>
      </c>
      <c r="CQ239" s="81">
        <f t="shared" si="183"/>
        <v>0</v>
      </c>
      <c r="CR239" s="81">
        <f t="shared" si="184"/>
        <v>0</v>
      </c>
      <c r="CS239" s="81" t="s">
        <v>21</v>
      </c>
      <c r="CT239" s="81">
        <f t="shared" si="185"/>
        <v>0</v>
      </c>
      <c r="CU239" s="81">
        <f t="shared" si="186"/>
        <v>0</v>
      </c>
      <c r="CV239" s="81" t="s">
        <v>998</v>
      </c>
      <c r="CW239" s="81">
        <f t="shared" si="187"/>
        <v>0</v>
      </c>
      <c r="CX239" s="81">
        <f t="shared" si="188"/>
        <v>0</v>
      </c>
      <c r="CY239" s="81" t="s">
        <v>19</v>
      </c>
      <c r="CZ239" s="81">
        <f t="shared" si="189"/>
        <v>0</v>
      </c>
      <c r="DA239" s="81">
        <f t="shared" si="190"/>
        <v>0</v>
      </c>
      <c r="DB239" s="81" t="s">
        <v>20</v>
      </c>
      <c r="DC239" s="81">
        <f t="shared" si="191"/>
        <v>0</v>
      </c>
      <c r="DD239" s="81">
        <f t="shared" si="192"/>
        <v>0</v>
      </c>
      <c r="DE239" s="81" t="s">
        <v>23</v>
      </c>
      <c r="DF239" s="81">
        <f t="shared" si="193"/>
        <v>0</v>
      </c>
      <c r="DG239" s="81">
        <f t="shared" si="194"/>
        <v>0</v>
      </c>
      <c r="DH239" s="81" t="s">
        <v>15</v>
      </c>
      <c r="DI239" s="81">
        <f t="shared" si="195"/>
        <v>0</v>
      </c>
      <c r="DJ239" s="81">
        <f t="shared" si="196"/>
        <v>0</v>
      </c>
      <c r="DK239" s="81" t="s">
        <v>5461</v>
      </c>
      <c r="DL239" s="81">
        <f t="shared" si="197"/>
        <v>0</v>
      </c>
      <c r="DM239" s="81">
        <f t="shared" si="198"/>
        <v>0</v>
      </c>
      <c r="DN239" s="81" t="s">
        <v>7</v>
      </c>
      <c r="DO239" s="81">
        <f t="shared" si="199"/>
        <v>0</v>
      </c>
      <c r="DP239" s="81">
        <f t="shared" si="200"/>
        <v>0</v>
      </c>
      <c r="DQ239" s="81" t="s">
        <v>1</v>
      </c>
      <c r="DR239" s="81">
        <f t="shared" si="201"/>
        <v>0</v>
      </c>
      <c r="DS239" s="81">
        <f t="shared" si="202"/>
        <v>0</v>
      </c>
    </row>
    <row r="240" spans="14:123" x14ac:dyDescent="0.3">
      <c r="N240" s="81">
        <f>IF(Q241=0,IF(Q240=0,,"x"),)</f>
        <v>0</v>
      </c>
      <c r="O240" s="81">
        <f t="shared" si="203"/>
        <v>0</v>
      </c>
      <c r="P240" s="81">
        <f t="shared" si="168"/>
        <v>0</v>
      </c>
      <c r="Q240" s="81">
        <f t="shared" si="204"/>
        <v>0</v>
      </c>
      <c r="R240" s="81">
        <f>IF(W240="",,SUM($W$4:W240))</f>
        <v>0</v>
      </c>
      <c r="S240" s="81">
        <f t="shared" si="169"/>
        <v>0</v>
      </c>
      <c r="T240" s="81">
        <f t="shared" si="205"/>
        <v>0</v>
      </c>
      <c r="U240" s="81">
        <f t="shared" si="170"/>
        <v>0</v>
      </c>
      <c r="AE240" s="81">
        <v>240</v>
      </c>
      <c r="AI240" s="81">
        <v>237</v>
      </c>
      <c r="AJ240" s="81" t="str">
        <f t="shared" si="161"/>
        <v>Maj 38</v>
      </c>
      <c r="AK240" s="81" t="str">
        <f t="shared" si="207"/>
        <v>Maj</v>
      </c>
      <c r="AL240" s="81">
        <f t="shared" si="206"/>
        <v>38</v>
      </c>
      <c r="AM240" s="81" t="str">
        <f t="shared" si="171"/>
        <v>='Maj 38'!</v>
      </c>
      <c r="AN240" s="81" t="str">
        <f t="shared" si="165"/>
        <v>='Maj 38'!C27</v>
      </c>
      <c r="AO240" s="81" t="s">
        <v>1240</v>
      </c>
      <c r="AR240" s="81" t="s">
        <v>300</v>
      </c>
      <c r="AS240" s="83" t="str">
        <f t="shared" si="162"/>
        <v>='Maj 38'!C6</v>
      </c>
      <c r="AT240" s="83">
        <f t="shared" si="163"/>
        <v>0</v>
      </c>
      <c r="AV240" s="81" t="s">
        <v>601</v>
      </c>
      <c r="AW240" s="81" t="s">
        <v>3914</v>
      </c>
      <c r="AX240" s="81" t="s">
        <v>3915</v>
      </c>
      <c r="AY240" s="81" t="s">
        <v>3916</v>
      </c>
      <c r="AZ240" s="81" t="s">
        <v>3917</v>
      </c>
      <c r="BA240" s="81" t="s">
        <v>3918</v>
      </c>
      <c r="BB240" s="81" t="s">
        <v>3919</v>
      </c>
      <c r="BC240" s="81" t="s">
        <v>3920</v>
      </c>
      <c r="BD240" s="81" t="s">
        <v>3921</v>
      </c>
      <c r="BE240" s="81" t="s">
        <v>3922</v>
      </c>
      <c r="BF240" s="81" t="s">
        <v>3923</v>
      </c>
      <c r="BG240" s="81" t="s">
        <v>3924</v>
      </c>
      <c r="BH240" s="81" t="s">
        <v>4857</v>
      </c>
      <c r="BI240" s="81" t="s">
        <v>5161</v>
      </c>
      <c r="BJ240" s="81" t="s">
        <v>300</v>
      </c>
      <c r="BL240" s="81" t="s">
        <v>904</v>
      </c>
      <c r="BM240" s="81">
        <v>237</v>
      </c>
      <c r="BN240" s="81" t="str">
        <f t="shared" si="164"/>
        <v>='Maj 38'!C12</v>
      </c>
      <c r="BP240" s="81" t="str">
        <f t="shared" ca="1" si="172"/>
        <v/>
      </c>
      <c r="BR240" s="84">
        <f t="shared" si="166"/>
        <v>0</v>
      </c>
      <c r="BS240" s="84">
        <f t="shared" si="167"/>
        <v>0</v>
      </c>
      <c r="CA240" s="81" t="s">
        <v>2</v>
      </c>
      <c r="CB240" s="81">
        <f t="shared" si="173"/>
        <v>0</v>
      </c>
      <c r="CC240" s="81">
        <f t="shared" si="174"/>
        <v>0</v>
      </c>
      <c r="CD240" s="81" t="s">
        <v>16</v>
      </c>
      <c r="CE240" s="81">
        <f t="shared" si="175"/>
        <v>0</v>
      </c>
      <c r="CF240" s="81">
        <f t="shared" si="176"/>
        <v>0</v>
      </c>
      <c r="CG240" s="81" t="s">
        <v>5</v>
      </c>
      <c r="CH240" s="81">
        <f t="shared" si="177"/>
        <v>0</v>
      </c>
      <c r="CI240" s="81">
        <f t="shared" si="178"/>
        <v>0</v>
      </c>
      <c r="CJ240" s="81" t="s">
        <v>18</v>
      </c>
      <c r="CK240" s="81">
        <f t="shared" si="179"/>
        <v>0</v>
      </c>
      <c r="CL240" s="81">
        <f t="shared" si="180"/>
        <v>0</v>
      </c>
      <c r="CM240" s="81" t="s">
        <v>4</v>
      </c>
      <c r="CN240" s="81">
        <f t="shared" si="181"/>
        <v>0</v>
      </c>
      <c r="CO240" s="81">
        <f t="shared" si="182"/>
        <v>0</v>
      </c>
      <c r="CP240" s="81" t="s">
        <v>22</v>
      </c>
      <c r="CQ240" s="81">
        <f t="shared" si="183"/>
        <v>0</v>
      </c>
      <c r="CR240" s="81">
        <f t="shared" si="184"/>
        <v>0</v>
      </c>
      <c r="CS240" s="81" t="s">
        <v>21</v>
      </c>
      <c r="CT240" s="81">
        <f t="shared" si="185"/>
        <v>0</v>
      </c>
      <c r="CU240" s="81">
        <f t="shared" si="186"/>
        <v>0</v>
      </c>
      <c r="CV240" s="81" t="s">
        <v>998</v>
      </c>
      <c r="CW240" s="81">
        <f t="shared" si="187"/>
        <v>0</v>
      </c>
      <c r="CX240" s="81">
        <f t="shared" si="188"/>
        <v>0</v>
      </c>
      <c r="CY240" s="81" t="s">
        <v>19</v>
      </c>
      <c r="CZ240" s="81">
        <f t="shared" si="189"/>
        <v>0</v>
      </c>
      <c r="DA240" s="81">
        <f t="shared" si="190"/>
        <v>0</v>
      </c>
      <c r="DB240" s="81" t="s">
        <v>20</v>
      </c>
      <c r="DC240" s="81">
        <f t="shared" si="191"/>
        <v>0</v>
      </c>
      <c r="DD240" s="81">
        <f t="shared" si="192"/>
        <v>0</v>
      </c>
      <c r="DE240" s="81" t="s">
        <v>23</v>
      </c>
      <c r="DF240" s="81">
        <f t="shared" si="193"/>
        <v>0</v>
      </c>
      <c r="DG240" s="81">
        <f t="shared" si="194"/>
        <v>0</v>
      </c>
      <c r="DH240" s="81" t="s">
        <v>15</v>
      </c>
      <c r="DI240" s="81">
        <f t="shared" si="195"/>
        <v>0</v>
      </c>
      <c r="DJ240" s="81">
        <f t="shared" si="196"/>
        <v>0</v>
      </c>
      <c r="DK240" s="81" t="s">
        <v>5462</v>
      </c>
      <c r="DL240" s="81">
        <f t="shared" si="197"/>
        <v>0</v>
      </c>
      <c r="DM240" s="81">
        <f t="shared" si="198"/>
        <v>0</v>
      </c>
      <c r="DN240" s="81" t="s">
        <v>7</v>
      </c>
      <c r="DO240" s="81">
        <f t="shared" si="199"/>
        <v>0</v>
      </c>
      <c r="DP240" s="81">
        <f t="shared" si="200"/>
        <v>0</v>
      </c>
      <c r="DQ240" s="81" t="s">
        <v>1</v>
      </c>
      <c r="DR240" s="81">
        <f t="shared" si="201"/>
        <v>0</v>
      </c>
      <c r="DS240" s="81">
        <f t="shared" si="202"/>
        <v>0</v>
      </c>
    </row>
    <row r="241" spans="14:123" x14ac:dyDescent="0.3">
      <c r="N241" s="81">
        <f>IF(Q242=0,IF(Q241=0,,"x"),)</f>
        <v>0</v>
      </c>
      <c r="O241" s="81">
        <f t="shared" si="203"/>
        <v>0</v>
      </c>
      <c r="P241" s="81">
        <f t="shared" si="168"/>
        <v>0</v>
      </c>
      <c r="Q241" s="81">
        <f t="shared" si="204"/>
        <v>0</v>
      </c>
      <c r="R241" s="81">
        <f>IF(W241="",,SUM($W$4:W241))</f>
        <v>0</v>
      </c>
      <c r="S241" s="81">
        <f t="shared" si="169"/>
        <v>0</v>
      </c>
      <c r="T241" s="81">
        <f t="shared" si="205"/>
        <v>0</v>
      </c>
      <c r="U241" s="81">
        <f t="shared" si="170"/>
        <v>0</v>
      </c>
      <c r="AE241" s="81">
        <v>241</v>
      </c>
      <c r="AI241" s="81">
        <v>238</v>
      </c>
      <c r="AJ241" s="81" t="str">
        <f t="shared" si="161"/>
        <v>Juni 38</v>
      </c>
      <c r="AK241" s="81" t="str">
        <f t="shared" si="207"/>
        <v>Juni</v>
      </c>
      <c r="AL241" s="81">
        <f t="shared" si="206"/>
        <v>38</v>
      </c>
      <c r="AM241" s="81" t="str">
        <f t="shared" si="171"/>
        <v>='Juni 38'!</v>
      </c>
      <c r="AN241" s="81" t="str">
        <f t="shared" si="165"/>
        <v>='Juni 38'!C27</v>
      </c>
      <c r="AO241" s="81" t="s">
        <v>1241</v>
      </c>
      <c r="AR241" s="81" t="s">
        <v>301</v>
      </c>
      <c r="AS241" s="83" t="str">
        <f t="shared" si="162"/>
        <v>='Juni 38'!C6</v>
      </c>
      <c r="AT241" s="83">
        <f t="shared" si="163"/>
        <v>0</v>
      </c>
      <c r="AV241" s="81" t="s">
        <v>602</v>
      </c>
      <c r="AW241" s="81" t="s">
        <v>3925</v>
      </c>
      <c r="AX241" s="81" t="s">
        <v>3926</v>
      </c>
      <c r="AY241" s="81" t="s">
        <v>3927</v>
      </c>
      <c r="AZ241" s="81" t="s">
        <v>3928</v>
      </c>
      <c r="BA241" s="81" t="s">
        <v>3929</v>
      </c>
      <c r="BB241" s="81" t="s">
        <v>3930</v>
      </c>
      <c r="BC241" s="81" t="s">
        <v>3931</v>
      </c>
      <c r="BD241" s="81" t="s">
        <v>3932</v>
      </c>
      <c r="BE241" s="81" t="s">
        <v>3933</v>
      </c>
      <c r="BF241" s="81" t="s">
        <v>3934</v>
      </c>
      <c r="BG241" s="81" t="s">
        <v>3935</v>
      </c>
      <c r="BH241" s="81" t="s">
        <v>4858</v>
      </c>
      <c r="BI241" s="81" t="s">
        <v>5162</v>
      </c>
      <c r="BJ241" s="81" t="s">
        <v>301</v>
      </c>
      <c r="BL241" s="81" t="s">
        <v>905</v>
      </c>
      <c r="BM241" s="81">
        <v>238</v>
      </c>
      <c r="BN241" s="81" t="str">
        <f t="shared" si="164"/>
        <v>='Juni 38'!C12</v>
      </c>
      <c r="BP241" s="81" t="str">
        <f t="shared" ca="1" si="172"/>
        <v/>
      </c>
      <c r="BR241" s="84">
        <f t="shared" si="166"/>
        <v>0</v>
      </c>
      <c r="BS241" s="84">
        <f t="shared" si="167"/>
        <v>0</v>
      </c>
      <c r="CA241" s="81" t="s">
        <v>2</v>
      </c>
      <c r="CB241" s="81">
        <f t="shared" si="173"/>
        <v>0</v>
      </c>
      <c r="CC241" s="81">
        <f t="shared" si="174"/>
        <v>0</v>
      </c>
      <c r="CD241" s="81" t="s">
        <v>16</v>
      </c>
      <c r="CE241" s="81">
        <f t="shared" si="175"/>
        <v>0</v>
      </c>
      <c r="CF241" s="81">
        <f t="shared" si="176"/>
        <v>0</v>
      </c>
      <c r="CG241" s="81" t="s">
        <v>5</v>
      </c>
      <c r="CH241" s="81">
        <f t="shared" si="177"/>
        <v>0</v>
      </c>
      <c r="CI241" s="81">
        <f t="shared" si="178"/>
        <v>0</v>
      </c>
      <c r="CJ241" s="81" t="s">
        <v>18</v>
      </c>
      <c r="CK241" s="81">
        <f t="shared" si="179"/>
        <v>0</v>
      </c>
      <c r="CL241" s="81">
        <f t="shared" si="180"/>
        <v>0</v>
      </c>
      <c r="CM241" s="81" t="s">
        <v>4</v>
      </c>
      <c r="CN241" s="81">
        <f t="shared" si="181"/>
        <v>0</v>
      </c>
      <c r="CO241" s="81">
        <f t="shared" si="182"/>
        <v>0</v>
      </c>
      <c r="CP241" s="81" t="s">
        <v>22</v>
      </c>
      <c r="CQ241" s="81">
        <f t="shared" si="183"/>
        <v>0</v>
      </c>
      <c r="CR241" s="81">
        <f t="shared" si="184"/>
        <v>0</v>
      </c>
      <c r="CS241" s="81" t="s">
        <v>21</v>
      </c>
      <c r="CT241" s="81">
        <f t="shared" si="185"/>
        <v>0</v>
      </c>
      <c r="CU241" s="81">
        <f t="shared" si="186"/>
        <v>0</v>
      </c>
      <c r="CV241" s="81" t="s">
        <v>998</v>
      </c>
      <c r="CW241" s="81">
        <f t="shared" si="187"/>
        <v>0</v>
      </c>
      <c r="CX241" s="81">
        <f t="shared" si="188"/>
        <v>0</v>
      </c>
      <c r="CY241" s="81" t="s">
        <v>19</v>
      </c>
      <c r="CZ241" s="81">
        <f t="shared" si="189"/>
        <v>0</v>
      </c>
      <c r="DA241" s="81">
        <f t="shared" si="190"/>
        <v>0</v>
      </c>
      <c r="DB241" s="81" t="s">
        <v>20</v>
      </c>
      <c r="DC241" s="81">
        <f t="shared" si="191"/>
        <v>0</v>
      </c>
      <c r="DD241" s="81">
        <f t="shared" si="192"/>
        <v>0</v>
      </c>
      <c r="DE241" s="81" t="s">
        <v>23</v>
      </c>
      <c r="DF241" s="81">
        <f t="shared" si="193"/>
        <v>0</v>
      </c>
      <c r="DG241" s="81">
        <f t="shared" si="194"/>
        <v>0</v>
      </c>
      <c r="DH241" s="81" t="s">
        <v>15</v>
      </c>
      <c r="DI241" s="81">
        <f t="shared" si="195"/>
        <v>0</v>
      </c>
      <c r="DJ241" s="81">
        <f t="shared" si="196"/>
        <v>0</v>
      </c>
      <c r="DK241" s="81" t="s">
        <v>5463</v>
      </c>
      <c r="DL241" s="81">
        <f t="shared" si="197"/>
        <v>0</v>
      </c>
      <c r="DM241" s="81">
        <f t="shared" si="198"/>
        <v>0</v>
      </c>
      <c r="DN241" s="81" t="s">
        <v>7</v>
      </c>
      <c r="DO241" s="81">
        <f t="shared" si="199"/>
        <v>0</v>
      </c>
      <c r="DP241" s="81">
        <f t="shared" si="200"/>
        <v>0</v>
      </c>
      <c r="DQ241" s="81" t="s">
        <v>1</v>
      </c>
      <c r="DR241" s="81">
        <f t="shared" si="201"/>
        <v>0</v>
      </c>
      <c r="DS241" s="81">
        <f t="shared" si="202"/>
        <v>0</v>
      </c>
    </row>
    <row r="242" spans="14:123" x14ac:dyDescent="0.3">
      <c r="N242" s="81">
        <f>IF(Q243=0,IF(Q242=0,,"x"),)</f>
        <v>0</v>
      </c>
      <c r="O242" s="81">
        <f t="shared" si="203"/>
        <v>0</v>
      </c>
      <c r="P242" s="81">
        <f t="shared" si="168"/>
        <v>0</v>
      </c>
      <c r="Q242" s="81">
        <f t="shared" si="204"/>
        <v>0</v>
      </c>
      <c r="R242" s="81">
        <f>IF(W242="",,SUM($W$4:W242))</f>
        <v>0</v>
      </c>
      <c r="S242" s="81">
        <f t="shared" si="169"/>
        <v>0</v>
      </c>
      <c r="T242" s="81">
        <f t="shared" si="205"/>
        <v>0</v>
      </c>
      <c r="U242" s="81">
        <f t="shared" si="170"/>
        <v>0</v>
      </c>
      <c r="AE242" s="81">
        <v>242</v>
      </c>
      <c r="AI242" s="81">
        <v>239</v>
      </c>
      <c r="AJ242" s="81" t="str">
        <f t="shared" si="161"/>
        <v>Juli 38</v>
      </c>
      <c r="AK242" s="81" t="str">
        <f t="shared" si="207"/>
        <v>Juli</v>
      </c>
      <c r="AL242" s="81">
        <f t="shared" si="206"/>
        <v>38</v>
      </c>
      <c r="AM242" s="81" t="str">
        <f t="shared" si="171"/>
        <v>='Juli 38'!</v>
      </c>
      <c r="AN242" s="81" t="str">
        <f t="shared" si="165"/>
        <v>='Juli 38'!C27</v>
      </c>
      <c r="AO242" s="81" t="s">
        <v>1242</v>
      </c>
      <c r="AR242" s="81" t="s">
        <v>302</v>
      </c>
      <c r="AS242" s="83" t="str">
        <f t="shared" si="162"/>
        <v>='Juli 38'!C6</v>
      </c>
      <c r="AT242" s="83">
        <f t="shared" si="163"/>
        <v>0</v>
      </c>
      <c r="AV242" s="81" t="s">
        <v>603</v>
      </c>
      <c r="AW242" s="81" t="s">
        <v>3936</v>
      </c>
      <c r="AX242" s="81" t="s">
        <v>3937</v>
      </c>
      <c r="AY242" s="81" t="s">
        <v>3938</v>
      </c>
      <c r="AZ242" s="81" t="s">
        <v>3939</v>
      </c>
      <c r="BA242" s="81" t="s">
        <v>3940</v>
      </c>
      <c r="BB242" s="81" t="s">
        <v>3941</v>
      </c>
      <c r="BC242" s="81" t="s">
        <v>3942</v>
      </c>
      <c r="BD242" s="81" t="s">
        <v>3943</v>
      </c>
      <c r="BE242" s="81" t="s">
        <v>3944</v>
      </c>
      <c r="BF242" s="81" t="s">
        <v>3945</v>
      </c>
      <c r="BG242" s="81" t="s">
        <v>3946</v>
      </c>
      <c r="BH242" s="81" t="s">
        <v>4859</v>
      </c>
      <c r="BI242" s="81" t="s">
        <v>5163</v>
      </c>
      <c r="BJ242" s="81" t="s">
        <v>302</v>
      </c>
      <c r="BL242" s="81" t="s">
        <v>906</v>
      </c>
      <c r="BM242" s="81">
        <v>239</v>
      </c>
      <c r="BN242" s="81" t="str">
        <f t="shared" si="164"/>
        <v>='Juli 38'!C12</v>
      </c>
      <c r="BP242" s="81" t="str">
        <f t="shared" ca="1" si="172"/>
        <v/>
      </c>
      <c r="BR242" s="84">
        <f t="shared" si="166"/>
        <v>0</v>
      </c>
      <c r="BS242" s="84">
        <f t="shared" si="167"/>
        <v>0</v>
      </c>
      <c r="CA242" s="81" t="s">
        <v>2</v>
      </c>
      <c r="CB242" s="81">
        <f t="shared" si="173"/>
        <v>0</v>
      </c>
      <c r="CC242" s="81">
        <f t="shared" si="174"/>
        <v>0</v>
      </c>
      <c r="CD242" s="81" t="s">
        <v>16</v>
      </c>
      <c r="CE242" s="81">
        <f t="shared" si="175"/>
        <v>0</v>
      </c>
      <c r="CF242" s="81">
        <f t="shared" si="176"/>
        <v>0</v>
      </c>
      <c r="CG242" s="81" t="s">
        <v>5</v>
      </c>
      <c r="CH242" s="81">
        <f t="shared" si="177"/>
        <v>0</v>
      </c>
      <c r="CI242" s="81">
        <f t="shared" si="178"/>
        <v>0</v>
      </c>
      <c r="CJ242" s="81" t="s">
        <v>18</v>
      </c>
      <c r="CK242" s="81">
        <f t="shared" si="179"/>
        <v>0</v>
      </c>
      <c r="CL242" s="81">
        <f t="shared" si="180"/>
        <v>0</v>
      </c>
      <c r="CM242" s="81" t="s">
        <v>4</v>
      </c>
      <c r="CN242" s="81">
        <f t="shared" si="181"/>
        <v>0</v>
      </c>
      <c r="CO242" s="81">
        <f t="shared" si="182"/>
        <v>0</v>
      </c>
      <c r="CP242" s="81" t="s">
        <v>22</v>
      </c>
      <c r="CQ242" s="81">
        <f t="shared" si="183"/>
        <v>0</v>
      </c>
      <c r="CR242" s="81">
        <f t="shared" si="184"/>
        <v>0</v>
      </c>
      <c r="CS242" s="81" t="s">
        <v>21</v>
      </c>
      <c r="CT242" s="81">
        <f t="shared" si="185"/>
        <v>0</v>
      </c>
      <c r="CU242" s="81">
        <f t="shared" si="186"/>
        <v>0</v>
      </c>
      <c r="CV242" s="81" t="s">
        <v>998</v>
      </c>
      <c r="CW242" s="81">
        <f t="shared" si="187"/>
        <v>0</v>
      </c>
      <c r="CX242" s="81">
        <f t="shared" si="188"/>
        <v>0</v>
      </c>
      <c r="CY242" s="81" t="s">
        <v>19</v>
      </c>
      <c r="CZ242" s="81">
        <f t="shared" si="189"/>
        <v>0</v>
      </c>
      <c r="DA242" s="81">
        <f t="shared" si="190"/>
        <v>0</v>
      </c>
      <c r="DB242" s="81" t="s">
        <v>20</v>
      </c>
      <c r="DC242" s="81">
        <f t="shared" si="191"/>
        <v>0</v>
      </c>
      <c r="DD242" s="81">
        <f t="shared" si="192"/>
        <v>0</v>
      </c>
      <c r="DE242" s="81" t="s">
        <v>23</v>
      </c>
      <c r="DF242" s="81">
        <f t="shared" si="193"/>
        <v>0</v>
      </c>
      <c r="DG242" s="81">
        <f t="shared" si="194"/>
        <v>0</v>
      </c>
      <c r="DH242" s="81" t="s">
        <v>15</v>
      </c>
      <c r="DI242" s="81">
        <f t="shared" si="195"/>
        <v>0</v>
      </c>
      <c r="DJ242" s="81">
        <f t="shared" si="196"/>
        <v>0</v>
      </c>
      <c r="DK242" s="81" t="s">
        <v>5464</v>
      </c>
      <c r="DL242" s="81">
        <f t="shared" si="197"/>
        <v>0</v>
      </c>
      <c r="DM242" s="81">
        <f t="shared" si="198"/>
        <v>0</v>
      </c>
      <c r="DN242" s="81" t="s">
        <v>7</v>
      </c>
      <c r="DO242" s="81">
        <f t="shared" si="199"/>
        <v>0</v>
      </c>
      <c r="DP242" s="81">
        <f t="shared" si="200"/>
        <v>0</v>
      </c>
      <c r="DQ242" s="81" t="s">
        <v>1</v>
      </c>
      <c r="DR242" s="81">
        <f t="shared" si="201"/>
        <v>0</v>
      </c>
      <c r="DS242" s="81">
        <f t="shared" si="202"/>
        <v>0</v>
      </c>
    </row>
    <row r="243" spans="14:123" x14ac:dyDescent="0.3">
      <c r="N243" s="81">
        <f>IF(Q244=0,IF(Q243=0,,"x"),)</f>
        <v>0</v>
      </c>
      <c r="O243" s="81">
        <f t="shared" si="203"/>
        <v>0</v>
      </c>
      <c r="P243" s="81">
        <f t="shared" si="168"/>
        <v>0</v>
      </c>
      <c r="Q243" s="81">
        <f t="shared" si="204"/>
        <v>0</v>
      </c>
      <c r="R243" s="81">
        <f>IF(W243="",,SUM($W$4:W243))</f>
        <v>0</v>
      </c>
      <c r="S243" s="81">
        <f t="shared" si="169"/>
        <v>0</v>
      </c>
      <c r="T243" s="81">
        <f t="shared" si="205"/>
        <v>0</v>
      </c>
      <c r="U243" s="81">
        <f t="shared" si="170"/>
        <v>0</v>
      </c>
      <c r="AE243" s="81">
        <v>243</v>
      </c>
      <c r="AI243" s="81">
        <v>240</v>
      </c>
      <c r="AJ243" s="81" t="str">
        <f t="shared" si="161"/>
        <v>Augusti 38</v>
      </c>
      <c r="AK243" s="81" t="str">
        <f t="shared" si="207"/>
        <v>Augusti</v>
      </c>
      <c r="AL243" s="81">
        <f t="shared" si="206"/>
        <v>38</v>
      </c>
      <c r="AM243" s="81" t="str">
        <f t="shared" si="171"/>
        <v>='Augusti 38'!</v>
      </c>
      <c r="AN243" s="81" t="str">
        <f t="shared" si="165"/>
        <v>='Augusti 38'!C27</v>
      </c>
      <c r="AO243" s="81" t="s">
        <v>1243</v>
      </c>
      <c r="AR243" s="81" t="s">
        <v>303</v>
      </c>
      <c r="AS243" s="83" t="str">
        <f t="shared" si="162"/>
        <v>='Augusti 38'!C6</v>
      </c>
      <c r="AT243" s="83">
        <f t="shared" si="163"/>
        <v>0</v>
      </c>
      <c r="AV243" s="81" t="s">
        <v>604</v>
      </c>
      <c r="AW243" s="81" t="s">
        <v>3947</v>
      </c>
      <c r="AX243" s="81" t="s">
        <v>3948</v>
      </c>
      <c r="AY243" s="81" t="s">
        <v>3949</v>
      </c>
      <c r="AZ243" s="81" t="s">
        <v>3950</v>
      </c>
      <c r="BA243" s="81" t="s">
        <v>3951</v>
      </c>
      <c r="BB243" s="81" t="s">
        <v>3952</v>
      </c>
      <c r="BC243" s="81" t="s">
        <v>3953</v>
      </c>
      <c r="BD243" s="81" t="s">
        <v>3954</v>
      </c>
      <c r="BE243" s="81" t="s">
        <v>3955</v>
      </c>
      <c r="BF243" s="81" t="s">
        <v>3956</v>
      </c>
      <c r="BG243" s="81" t="s">
        <v>3957</v>
      </c>
      <c r="BH243" s="81" t="s">
        <v>4860</v>
      </c>
      <c r="BI243" s="81" t="s">
        <v>5164</v>
      </c>
      <c r="BJ243" s="81" t="s">
        <v>303</v>
      </c>
      <c r="BL243" s="81" t="s">
        <v>907</v>
      </c>
      <c r="BM243" s="81">
        <v>240</v>
      </c>
      <c r="BN243" s="81" t="str">
        <f t="shared" si="164"/>
        <v>='Augusti 38'!C12</v>
      </c>
      <c r="BP243" s="81" t="str">
        <f t="shared" ca="1" si="172"/>
        <v/>
      </c>
      <c r="BR243" s="84">
        <f t="shared" si="166"/>
        <v>0</v>
      </c>
      <c r="BS243" s="84">
        <f t="shared" si="167"/>
        <v>0</v>
      </c>
      <c r="CA243" s="81" t="s">
        <v>2</v>
      </c>
      <c r="CB243" s="81">
        <f t="shared" si="173"/>
        <v>0</v>
      </c>
      <c r="CC243" s="81">
        <f t="shared" si="174"/>
        <v>0</v>
      </c>
      <c r="CD243" s="81" t="s">
        <v>16</v>
      </c>
      <c r="CE243" s="81">
        <f t="shared" si="175"/>
        <v>0</v>
      </c>
      <c r="CF243" s="81">
        <f t="shared" si="176"/>
        <v>0</v>
      </c>
      <c r="CG243" s="81" t="s">
        <v>5</v>
      </c>
      <c r="CH243" s="81">
        <f t="shared" si="177"/>
        <v>0</v>
      </c>
      <c r="CI243" s="81">
        <f t="shared" si="178"/>
        <v>0</v>
      </c>
      <c r="CJ243" s="81" t="s">
        <v>18</v>
      </c>
      <c r="CK243" s="81">
        <f t="shared" si="179"/>
        <v>0</v>
      </c>
      <c r="CL243" s="81">
        <f t="shared" si="180"/>
        <v>0</v>
      </c>
      <c r="CM243" s="81" t="s">
        <v>4</v>
      </c>
      <c r="CN243" s="81">
        <f t="shared" si="181"/>
        <v>0</v>
      </c>
      <c r="CO243" s="81">
        <f t="shared" si="182"/>
        <v>0</v>
      </c>
      <c r="CP243" s="81" t="s">
        <v>22</v>
      </c>
      <c r="CQ243" s="81">
        <f t="shared" si="183"/>
        <v>0</v>
      </c>
      <c r="CR243" s="81">
        <f t="shared" si="184"/>
        <v>0</v>
      </c>
      <c r="CS243" s="81" t="s">
        <v>21</v>
      </c>
      <c r="CT243" s="81">
        <f t="shared" si="185"/>
        <v>0</v>
      </c>
      <c r="CU243" s="81">
        <f t="shared" si="186"/>
        <v>0</v>
      </c>
      <c r="CV243" s="81" t="s">
        <v>998</v>
      </c>
      <c r="CW243" s="81">
        <f t="shared" si="187"/>
        <v>0</v>
      </c>
      <c r="CX243" s="81">
        <f t="shared" si="188"/>
        <v>0</v>
      </c>
      <c r="CY243" s="81" t="s">
        <v>19</v>
      </c>
      <c r="CZ243" s="81">
        <f t="shared" si="189"/>
        <v>0</v>
      </c>
      <c r="DA243" s="81">
        <f t="shared" si="190"/>
        <v>0</v>
      </c>
      <c r="DB243" s="81" t="s">
        <v>20</v>
      </c>
      <c r="DC243" s="81">
        <f t="shared" si="191"/>
        <v>0</v>
      </c>
      <c r="DD243" s="81">
        <f t="shared" si="192"/>
        <v>0</v>
      </c>
      <c r="DE243" s="81" t="s">
        <v>23</v>
      </c>
      <c r="DF243" s="81">
        <f t="shared" si="193"/>
        <v>0</v>
      </c>
      <c r="DG243" s="81">
        <f t="shared" si="194"/>
        <v>0</v>
      </c>
      <c r="DH243" s="81" t="s">
        <v>15</v>
      </c>
      <c r="DI243" s="81">
        <f t="shared" si="195"/>
        <v>0</v>
      </c>
      <c r="DJ243" s="81">
        <f t="shared" si="196"/>
        <v>0</v>
      </c>
      <c r="DK243" s="81" t="s">
        <v>5465</v>
      </c>
      <c r="DL243" s="81">
        <f t="shared" si="197"/>
        <v>0</v>
      </c>
      <c r="DM243" s="81">
        <f t="shared" si="198"/>
        <v>0</v>
      </c>
      <c r="DN243" s="81" t="s">
        <v>7</v>
      </c>
      <c r="DO243" s="81">
        <f t="shared" si="199"/>
        <v>0</v>
      </c>
      <c r="DP243" s="81">
        <f t="shared" si="200"/>
        <v>0</v>
      </c>
      <c r="DQ243" s="81" t="s">
        <v>1</v>
      </c>
      <c r="DR243" s="81">
        <f t="shared" si="201"/>
        <v>0</v>
      </c>
      <c r="DS243" s="81">
        <f t="shared" si="202"/>
        <v>0</v>
      </c>
    </row>
    <row r="244" spans="14:123" x14ac:dyDescent="0.3">
      <c r="N244" s="81">
        <f>IF(Q245=0,IF(Q244=0,,"x"),)</f>
        <v>0</v>
      </c>
      <c r="O244" s="81">
        <f t="shared" si="203"/>
        <v>0</v>
      </c>
      <c r="P244" s="81">
        <f t="shared" si="168"/>
        <v>0</v>
      </c>
      <c r="Q244" s="81">
        <f t="shared" si="204"/>
        <v>0</v>
      </c>
      <c r="R244" s="81">
        <f>IF(W244="",,SUM($W$4:W244))</f>
        <v>0</v>
      </c>
      <c r="S244" s="81">
        <f t="shared" si="169"/>
        <v>0</v>
      </c>
      <c r="T244" s="81">
        <f t="shared" si="205"/>
        <v>0</v>
      </c>
      <c r="U244" s="81">
        <f t="shared" si="170"/>
        <v>0</v>
      </c>
      <c r="AE244" s="81">
        <v>244</v>
      </c>
      <c r="AI244" s="81">
        <v>241</v>
      </c>
      <c r="AJ244" s="81" t="str">
        <f t="shared" si="161"/>
        <v>September 38</v>
      </c>
      <c r="AK244" s="81" t="str">
        <f t="shared" si="207"/>
        <v>September</v>
      </c>
      <c r="AL244" s="81">
        <f t="shared" si="206"/>
        <v>38</v>
      </c>
      <c r="AM244" s="81" t="str">
        <f t="shared" si="171"/>
        <v>='September 38'!</v>
      </c>
      <c r="AN244" s="81" t="str">
        <f t="shared" si="165"/>
        <v>='September 38'!C27</v>
      </c>
      <c r="AO244" s="81" t="s">
        <v>1244</v>
      </c>
      <c r="AR244" s="81" t="s">
        <v>304</v>
      </c>
      <c r="AS244" s="83" t="str">
        <f t="shared" si="162"/>
        <v>='September 38'!C6</v>
      </c>
      <c r="AT244" s="83">
        <f t="shared" si="163"/>
        <v>0</v>
      </c>
      <c r="AV244" s="81" t="s">
        <v>605</v>
      </c>
      <c r="AW244" s="81" t="s">
        <v>3958</v>
      </c>
      <c r="AX244" s="81" t="s">
        <v>3959</v>
      </c>
      <c r="AY244" s="81" t="s">
        <v>3960</v>
      </c>
      <c r="AZ244" s="81" t="s">
        <v>3961</v>
      </c>
      <c r="BA244" s="81" t="s">
        <v>3962</v>
      </c>
      <c r="BB244" s="81" t="s">
        <v>3963</v>
      </c>
      <c r="BC244" s="81" t="s">
        <v>3964</v>
      </c>
      <c r="BD244" s="81" t="s">
        <v>3965</v>
      </c>
      <c r="BE244" s="81" t="s">
        <v>3966</v>
      </c>
      <c r="BF244" s="81" t="s">
        <v>3967</v>
      </c>
      <c r="BG244" s="81" t="s">
        <v>3968</v>
      </c>
      <c r="BH244" s="81" t="s">
        <v>4861</v>
      </c>
      <c r="BI244" s="81" t="s">
        <v>5165</v>
      </c>
      <c r="BJ244" s="81" t="s">
        <v>304</v>
      </c>
      <c r="BL244" s="81" t="s">
        <v>908</v>
      </c>
      <c r="BM244" s="81">
        <v>241</v>
      </c>
      <c r="BN244" s="81" t="str">
        <f t="shared" si="164"/>
        <v>='September 38'!C12</v>
      </c>
      <c r="BP244" s="81" t="str">
        <f t="shared" ca="1" si="172"/>
        <v/>
      </c>
      <c r="BR244" s="84">
        <f t="shared" si="166"/>
        <v>0</v>
      </c>
      <c r="BS244" s="84">
        <f t="shared" si="167"/>
        <v>0</v>
      </c>
      <c r="CA244" s="81" t="s">
        <v>2</v>
      </c>
      <c r="CB244" s="81">
        <f t="shared" si="173"/>
        <v>0</v>
      </c>
      <c r="CC244" s="81">
        <f t="shared" si="174"/>
        <v>0</v>
      </c>
      <c r="CD244" s="81" t="s">
        <v>16</v>
      </c>
      <c r="CE244" s="81">
        <f t="shared" si="175"/>
        <v>0</v>
      </c>
      <c r="CF244" s="81">
        <f t="shared" si="176"/>
        <v>0</v>
      </c>
      <c r="CG244" s="81" t="s">
        <v>5</v>
      </c>
      <c r="CH244" s="81">
        <f t="shared" si="177"/>
        <v>0</v>
      </c>
      <c r="CI244" s="81">
        <f t="shared" si="178"/>
        <v>0</v>
      </c>
      <c r="CJ244" s="81" t="s">
        <v>18</v>
      </c>
      <c r="CK244" s="81">
        <f t="shared" si="179"/>
        <v>0</v>
      </c>
      <c r="CL244" s="81">
        <f t="shared" si="180"/>
        <v>0</v>
      </c>
      <c r="CM244" s="81" t="s">
        <v>4</v>
      </c>
      <c r="CN244" s="81">
        <f t="shared" si="181"/>
        <v>0</v>
      </c>
      <c r="CO244" s="81">
        <f t="shared" si="182"/>
        <v>0</v>
      </c>
      <c r="CP244" s="81" t="s">
        <v>22</v>
      </c>
      <c r="CQ244" s="81">
        <f t="shared" si="183"/>
        <v>0</v>
      </c>
      <c r="CR244" s="81">
        <f t="shared" si="184"/>
        <v>0</v>
      </c>
      <c r="CS244" s="81" t="s">
        <v>21</v>
      </c>
      <c r="CT244" s="81">
        <f t="shared" si="185"/>
        <v>0</v>
      </c>
      <c r="CU244" s="81">
        <f t="shared" si="186"/>
        <v>0</v>
      </c>
      <c r="CV244" s="81" t="s">
        <v>998</v>
      </c>
      <c r="CW244" s="81">
        <f t="shared" si="187"/>
        <v>0</v>
      </c>
      <c r="CX244" s="81">
        <f t="shared" si="188"/>
        <v>0</v>
      </c>
      <c r="CY244" s="81" t="s">
        <v>19</v>
      </c>
      <c r="CZ244" s="81">
        <f t="shared" si="189"/>
        <v>0</v>
      </c>
      <c r="DA244" s="81">
        <f t="shared" si="190"/>
        <v>0</v>
      </c>
      <c r="DB244" s="81" t="s">
        <v>20</v>
      </c>
      <c r="DC244" s="81">
        <f t="shared" si="191"/>
        <v>0</v>
      </c>
      <c r="DD244" s="81">
        <f t="shared" si="192"/>
        <v>0</v>
      </c>
      <c r="DE244" s="81" t="s">
        <v>23</v>
      </c>
      <c r="DF244" s="81">
        <f t="shared" si="193"/>
        <v>0</v>
      </c>
      <c r="DG244" s="81">
        <f t="shared" si="194"/>
        <v>0</v>
      </c>
      <c r="DH244" s="81" t="s">
        <v>15</v>
      </c>
      <c r="DI244" s="81">
        <f t="shared" si="195"/>
        <v>0</v>
      </c>
      <c r="DJ244" s="81">
        <f t="shared" si="196"/>
        <v>0</v>
      </c>
      <c r="DK244" s="81" t="s">
        <v>5466</v>
      </c>
      <c r="DL244" s="81">
        <f t="shared" si="197"/>
        <v>0</v>
      </c>
      <c r="DM244" s="81">
        <f t="shared" si="198"/>
        <v>0</v>
      </c>
      <c r="DN244" s="81" t="s">
        <v>7</v>
      </c>
      <c r="DO244" s="81">
        <f t="shared" si="199"/>
        <v>0</v>
      </c>
      <c r="DP244" s="81">
        <f t="shared" si="200"/>
        <v>0</v>
      </c>
      <c r="DQ244" s="81" t="s">
        <v>1</v>
      </c>
      <c r="DR244" s="81">
        <f t="shared" si="201"/>
        <v>0</v>
      </c>
      <c r="DS244" s="81">
        <f t="shared" si="202"/>
        <v>0</v>
      </c>
    </row>
    <row r="245" spans="14:123" x14ac:dyDescent="0.3">
      <c r="N245" s="81">
        <f>IF(Q246=0,IF(Q245=0,,"x"),)</f>
        <v>0</v>
      </c>
      <c r="O245" s="81">
        <f t="shared" si="203"/>
        <v>0</v>
      </c>
      <c r="P245" s="81">
        <f t="shared" si="168"/>
        <v>0</v>
      </c>
      <c r="Q245" s="81">
        <f t="shared" si="204"/>
        <v>0</v>
      </c>
      <c r="R245" s="81">
        <f>IF(W245="",,SUM($W$4:W245))</f>
        <v>0</v>
      </c>
      <c r="S245" s="81">
        <f t="shared" si="169"/>
        <v>0</v>
      </c>
      <c r="T245" s="81">
        <f t="shared" si="205"/>
        <v>0</v>
      </c>
      <c r="U245" s="81">
        <f t="shared" si="170"/>
        <v>0</v>
      </c>
      <c r="AE245" s="81">
        <v>245</v>
      </c>
      <c r="AI245" s="81">
        <v>242</v>
      </c>
      <c r="AJ245" s="81" t="str">
        <f t="shared" si="161"/>
        <v>Oktober 38</v>
      </c>
      <c r="AK245" s="81" t="str">
        <f t="shared" si="207"/>
        <v>Oktober</v>
      </c>
      <c r="AL245" s="81">
        <f t="shared" si="206"/>
        <v>38</v>
      </c>
      <c r="AM245" s="81" t="str">
        <f t="shared" si="171"/>
        <v>='Oktober 38'!</v>
      </c>
      <c r="AN245" s="81" t="str">
        <f t="shared" si="165"/>
        <v>='Oktober 38'!C27</v>
      </c>
      <c r="AO245" s="81" t="s">
        <v>1245</v>
      </c>
      <c r="AR245" s="81" t="s">
        <v>305</v>
      </c>
      <c r="AS245" s="83" t="str">
        <f t="shared" si="162"/>
        <v>='Oktober 38'!C6</v>
      </c>
      <c r="AT245" s="83">
        <f t="shared" si="163"/>
        <v>0</v>
      </c>
      <c r="AV245" s="81" t="s">
        <v>606</v>
      </c>
      <c r="AW245" s="81" t="s">
        <v>3969</v>
      </c>
      <c r="AX245" s="81" t="s">
        <v>3970</v>
      </c>
      <c r="AY245" s="81" t="s">
        <v>3971</v>
      </c>
      <c r="AZ245" s="81" t="s">
        <v>3972</v>
      </c>
      <c r="BA245" s="81" t="s">
        <v>3973</v>
      </c>
      <c r="BB245" s="81" t="s">
        <v>3974</v>
      </c>
      <c r="BC245" s="81" t="s">
        <v>3975</v>
      </c>
      <c r="BD245" s="81" t="s">
        <v>3976</v>
      </c>
      <c r="BE245" s="81" t="s">
        <v>3977</v>
      </c>
      <c r="BF245" s="81" t="s">
        <v>3978</v>
      </c>
      <c r="BG245" s="81" t="s">
        <v>3979</v>
      </c>
      <c r="BH245" s="81" t="s">
        <v>4862</v>
      </c>
      <c r="BI245" s="81" t="s">
        <v>5166</v>
      </c>
      <c r="BJ245" s="81" t="s">
        <v>305</v>
      </c>
      <c r="BL245" s="81" t="s">
        <v>909</v>
      </c>
      <c r="BM245" s="81">
        <v>242</v>
      </c>
      <c r="BN245" s="81" t="str">
        <f t="shared" si="164"/>
        <v>='Oktober 38'!C12</v>
      </c>
      <c r="BP245" s="81" t="str">
        <f t="shared" ca="1" si="172"/>
        <v/>
      </c>
      <c r="BR245" s="84">
        <f t="shared" si="166"/>
        <v>0</v>
      </c>
      <c r="BS245" s="84">
        <f t="shared" si="167"/>
        <v>0</v>
      </c>
      <c r="CA245" s="81" t="s">
        <v>2</v>
      </c>
      <c r="CB245" s="81">
        <f t="shared" si="173"/>
        <v>0</v>
      </c>
      <c r="CC245" s="81">
        <f t="shared" si="174"/>
        <v>0</v>
      </c>
      <c r="CD245" s="81" t="s">
        <v>16</v>
      </c>
      <c r="CE245" s="81">
        <f t="shared" si="175"/>
        <v>0</v>
      </c>
      <c r="CF245" s="81">
        <f t="shared" si="176"/>
        <v>0</v>
      </c>
      <c r="CG245" s="81" t="s">
        <v>5</v>
      </c>
      <c r="CH245" s="81">
        <f t="shared" si="177"/>
        <v>0</v>
      </c>
      <c r="CI245" s="81">
        <f t="shared" si="178"/>
        <v>0</v>
      </c>
      <c r="CJ245" s="81" t="s">
        <v>18</v>
      </c>
      <c r="CK245" s="81">
        <f t="shared" si="179"/>
        <v>0</v>
      </c>
      <c r="CL245" s="81">
        <f t="shared" si="180"/>
        <v>0</v>
      </c>
      <c r="CM245" s="81" t="s">
        <v>4</v>
      </c>
      <c r="CN245" s="81">
        <f t="shared" si="181"/>
        <v>0</v>
      </c>
      <c r="CO245" s="81">
        <f t="shared" si="182"/>
        <v>0</v>
      </c>
      <c r="CP245" s="81" t="s">
        <v>22</v>
      </c>
      <c r="CQ245" s="81">
        <f t="shared" si="183"/>
        <v>0</v>
      </c>
      <c r="CR245" s="81">
        <f t="shared" si="184"/>
        <v>0</v>
      </c>
      <c r="CS245" s="81" t="s">
        <v>21</v>
      </c>
      <c r="CT245" s="81">
        <f t="shared" si="185"/>
        <v>0</v>
      </c>
      <c r="CU245" s="81">
        <f t="shared" si="186"/>
        <v>0</v>
      </c>
      <c r="CV245" s="81" t="s">
        <v>998</v>
      </c>
      <c r="CW245" s="81">
        <f t="shared" si="187"/>
        <v>0</v>
      </c>
      <c r="CX245" s="81">
        <f t="shared" si="188"/>
        <v>0</v>
      </c>
      <c r="CY245" s="81" t="s">
        <v>19</v>
      </c>
      <c r="CZ245" s="81">
        <f t="shared" si="189"/>
        <v>0</v>
      </c>
      <c r="DA245" s="81">
        <f t="shared" si="190"/>
        <v>0</v>
      </c>
      <c r="DB245" s="81" t="s">
        <v>20</v>
      </c>
      <c r="DC245" s="81">
        <f t="shared" si="191"/>
        <v>0</v>
      </c>
      <c r="DD245" s="81">
        <f t="shared" si="192"/>
        <v>0</v>
      </c>
      <c r="DE245" s="81" t="s">
        <v>23</v>
      </c>
      <c r="DF245" s="81">
        <f t="shared" si="193"/>
        <v>0</v>
      </c>
      <c r="DG245" s="81">
        <f t="shared" si="194"/>
        <v>0</v>
      </c>
      <c r="DH245" s="81" t="s">
        <v>15</v>
      </c>
      <c r="DI245" s="81">
        <f t="shared" si="195"/>
        <v>0</v>
      </c>
      <c r="DJ245" s="81">
        <f t="shared" si="196"/>
        <v>0</v>
      </c>
      <c r="DK245" s="81" t="s">
        <v>5467</v>
      </c>
      <c r="DL245" s="81">
        <f t="shared" si="197"/>
        <v>0</v>
      </c>
      <c r="DM245" s="81">
        <f t="shared" si="198"/>
        <v>0</v>
      </c>
      <c r="DN245" s="81" t="s">
        <v>7</v>
      </c>
      <c r="DO245" s="81">
        <f t="shared" si="199"/>
        <v>0</v>
      </c>
      <c r="DP245" s="81">
        <f t="shared" si="200"/>
        <v>0</v>
      </c>
      <c r="DQ245" s="81" t="s">
        <v>1</v>
      </c>
      <c r="DR245" s="81">
        <f t="shared" si="201"/>
        <v>0</v>
      </c>
      <c r="DS245" s="81">
        <f t="shared" si="202"/>
        <v>0</v>
      </c>
    </row>
    <row r="246" spans="14:123" x14ac:dyDescent="0.3">
      <c r="N246" s="81">
        <f>IF(Q247=0,IF(Q246=0,,"x"),)</f>
        <v>0</v>
      </c>
      <c r="O246" s="81">
        <f t="shared" si="203"/>
        <v>0</v>
      </c>
      <c r="P246" s="81">
        <f t="shared" si="168"/>
        <v>0</v>
      </c>
      <c r="Q246" s="81">
        <f t="shared" si="204"/>
        <v>0</v>
      </c>
      <c r="R246" s="81">
        <f>IF(W246="",,SUM($W$4:W246))</f>
        <v>0</v>
      </c>
      <c r="S246" s="81">
        <f t="shared" si="169"/>
        <v>0</v>
      </c>
      <c r="T246" s="81">
        <f t="shared" si="205"/>
        <v>0</v>
      </c>
      <c r="U246" s="81">
        <f t="shared" si="170"/>
        <v>0</v>
      </c>
      <c r="AE246" s="81">
        <v>246</v>
      </c>
      <c r="AI246" s="81">
        <v>243</v>
      </c>
      <c r="AJ246" s="81" t="str">
        <f t="shared" si="161"/>
        <v>November 38</v>
      </c>
      <c r="AK246" s="81" t="str">
        <f t="shared" si="207"/>
        <v>November</v>
      </c>
      <c r="AL246" s="81">
        <f t="shared" si="206"/>
        <v>38</v>
      </c>
      <c r="AM246" s="81" t="str">
        <f t="shared" si="171"/>
        <v>='November 38'!</v>
      </c>
      <c r="AN246" s="81" t="str">
        <f t="shared" si="165"/>
        <v>='November 38'!C27</v>
      </c>
      <c r="AO246" s="81" t="s">
        <v>1246</v>
      </c>
      <c r="AR246" s="81" t="s">
        <v>306</v>
      </c>
      <c r="AS246" s="83" t="str">
        <f t="shared" si="162"/>
        <v>='November 38'!C6</v>
      </c>
      <c r="AT246" s="83">
        <f t="shared" si="163"/>
        <v>0</v>
      </c>
      <c r="AV246" s="81" t="s">
        <v>607</v>
      </c>
      <c r="AW246" s="81" t="s">
        <v>3980</v>
      </c>
      <c r="AX246" s="81" t="s">
        <v>3981</v>
      </c>
      <c r="AY246" s="81" t="s">
        <v>3982</v>
      </c>
      <c r="AZ246" s="81" t="s">
        <v>3983</v>
      </c>
      <c r="BA246" s="81" t="s">
        <v>3984</v>
      </c>
      <c r="BB246" s="81" t="s">
        <v>3985</v>
      </c>
      <c r="BC246" s="81" t="s">
        <v>3986</v>
      </c>
      <c r="BD246" s="81" t="s">
        <v>3987</v>
      </c>
      <c r="BE246" s="81" t="s">
        <v>3988</v>
      </c>
      <c r="BF246" s="81" t="s">
        <v>3989</v>
      </c>
      <c r="BG246" s="81" t="s">
        <v>3990</v>
      </c>
      <c r="BH246" s="81" t="s">
        <v>4863</v>
      </c>
      <c r="BI246" s="81" t="s">
        <v>5167</v>
      </c>
      <c r="BJ246" s="81" t="s">
        <v>306</v>
      </c>
      <c r="BL246" s="81" t="s">
        <v>910</v>
      </c>
      <c r="BM246" s="81">
        <v>243</v>
      </c>
      <c r="BN246" s="81" t="str">
        <f t="shared" si="164"/>
        <v>='November 38'!C12</v>
      </c>
      <c r="BP246" s="81" t="str">
        <f t="shared" ca="1" si="172"/>
        <v/>
      </c>
      <c r="BR246" s="84">
        <f t="shared" si="166"/>
        <v>0</v>
      </c>
      <c r="BS246" s="84">
        <f t="shared" si="167"/>
        <v>0</v>
      </c>
      <c r="CA246" s="81" t="s">
        <v>2</v>
      </c>
      <c r="CB246" s="81">
        <f t="shared" si="173"/>
        <v>0</v>
      </c>
      <c r="CC246" s="81">
        <f t="shared" si="174"/>
        <v>0</v>
      </c>
      <c r="CD246" s="81" t="s">
        <v>16</v>
      </c>
      <c r="CE246" s="81">
        <f t="shared" si="175"/>
        <v>0</v>
      </c>
      <c r="CF246" s="81">
        <f t="shared" si="176"/>
        <v>0</v>
      </c>
      <c r="CG246" s="81" t="s">
        <v>5</v>
      </c>
      <c r="CH246" s="81">
        <f t="shared" si="177"/>
        <v>0</v>
      </c>
      <c r="CI246" s="81">
        <f t="shared" si="178"/>
        <v>0</v>
      </c>
      <c r="CJ246" s="81" t="s">
        <v>18</v>
      </c>
      <c r="CK246" s="81">
        <f t="shared" si="179"/>
        <v>0</v>
      </c>
      <c r="CL246" s="81">
        <f t="shared" si="180"/>
        <v>0</v>
      </c>
      <c r="CM246" s="81" t="s">
        <v>4</v>
      </c>
      <c r="CN246" s="81">
        <f t="shared" si="181"/>
        <v>0</v>
      </c>
      <c r="CO246" s="81">
        <f t="shared" si="182"/>
        <v>0</v>
      </c>
      <c r="CP246" s="81" t="s">
        <v>22</v>
      </c>
      <c r="CQ246" s="81">
        <f t="shared" si="183"/>
        <v>0</v>
      </c>
      <c r="CR246" s="81">
        <f t="shared" si="184"/>
        <v>0</v>
      </c>
      <c r="CS246" s="81" t="s">
        <v>21</v>
      </c>
      <c r="CT246" s="81">
        <f t="shared" si="185"/>
        <v>0</v>
      </c>
      <c r="CU246" s="81">
        <f t="shared" si="186"/>
        <v>0</v>
      </c>
      <c r="CV246" s="81" t="s">
        <v>998</v>
      </c>
      <c r="CW246" s="81">
        <f t="shared" si="187"/>
        <v>0</v>
      </c>
      <c r="CX246" s="81">
        <f t="shared" si="188"/>
        <v>0</v>
      </c>
      <c r="CY246" s="81" t="s">
        <v>19</v>
      </c>
      <c r="CZ246" s="81">
        <f t="shared" si="189"/>
        <v>0</v>
      </c>
      <c r="DA246" s="81">
        <f t="shared" si="190"/>
        <v>0</v>
      </c>
      <c r="DB246" s="81" t="s">
        <v>20</v>
      </c>
      <c r="DC246" s="81">
        <f t="shared" si="191"/>
        <v>0</v>
      </c>
      <c r="DD246" s="81">
        <f t="shared" si="192"/>
        <v>0</v>
      </c>
      <c r="DE246" s="81" t="s">
        <v>23</v>
      </c>
      <c r="DF246" s="81">
        <f t="shared" si="193"/>
        <v>0</v>
      </c>
      <c r="DG246" s="81">
        <f t="shared" si="194"/>
        <v>0</v>
      </c>
      <c r="DH246" s="81" t="s">
        <v>15</v>
      </c>
      <c r="DI246" s="81">
        <f t="shared" si="195"/>
        <v>0</v>
      </c>
      <c r="DJ246" s="81">
        <f t="shared" si="196"/>
        <v>0</v>
      </c>
      <c r="DK246" s="81" t="s">
        <v>5468</v>
      </c>
      <c r="DL246" s="81">
        <f t="shared" si="197"/>
        <v>0</v>
      </c>
      <c r="DM246" s="81">
        <f t="shared" si="198"/>
        <v>0</v>
      </c>
      <c r="DN246" s="81" t="s">
        <v>7</v>
      </c>
      <c r="DO246" s="81">
        <f t="shared" si="199"/>
        <v>0</v>
      </c>
      <c r="DP246" s="81">
        <f t="shared" si="200"/>
        <v>0</v>
      </c>
      <c r="DQ246" s="81" t="s">
        <v>1</v>
      </c>
      <c r="DR246" s="81">
        <f t="shared" si="201"/>
        <v>0</v>
      </c>
      <c r="DS246" s="81">
        <f t="shared" si="202"/>
        <v>0</v>
      </c>
    </row>
    <row r="247" spans="14:123" x14ac:dyDescent="0.3">
      <c r="N247" s="81">
        <f>IF(Q248=0,IF(Q247=0,,"x"),)</f>
        <v>0</v>
      </c>
      <c r="O247" s="81">
        <f t="shared" si="203"/>
        <v>0</v>
      </c>
      <c r="P247" s="81">
        <f t="shared" si="168"/>
        <v>0</v>
      </c>
      <c r="Q247" s="81">
        <f t="shared" si="204"/>
        <v>0</v>
      </c>
      <c r="R247" s="81">
        <f>IF(W247="",,SUM($W$4:W247))</f>
        <v>0</v>
      </c>
      <c r="S247" s="81">
        <f t="shared" si="169"/>
        <v>0</v>
      </c>
      <c r="T247" s="81">
        <f t="shared" si="205"/>
        <v>0</v>
      </c>
      <c r="U247" s="81">
        <f t="shared" si="170"/>
        <v>0</v>
      </c>
      <c r="AE247" s="81">
        <v>247</v>
      </c>
      <c r="AI247" s="81">
        <v>244</v>
      </c>
      <c r="AJ247" s="81" t="str">
        <f t="shared" si="161"/>
        <v>December 38</v>
      </c>
      <c r="AK247" s="81" t="str">
        <f t="shared" si="207"/>
        <v>December</v>
      </c>
      <c r="AL247" s="81">
        <f t="shared" si="206"/>
        <v>38</v>
      </c>
      <c r="AM247" s="81" t="str">
        <f t="shared" si="171"/>
        <v>='December 38'!</v>
      </c>
      <c r="AN247" s="81" t="str">
        <f t="shared" si="165"/>
        <v>='December 38'!C27</v>
      </c>
      <c r="AO247" s="81" t="s">
        <v>1247</v>
      </c>
      <c r="AR247" s="81" t="s">
        <v>307</v>
      </c>
      <c r="AS247" s="83" t="str">
        <f t="shared" si="162"/>
        <v>='December 38'!C6</v>
      </c>
      <c r="AT247" s="83">
        <f t="shared" si="163"/>
        <v>0</v>
      </c>
      <c r="AV247" s="81" t="s">
        <v>608</v>
      </c>
      <c r="AW247" s="81" t="s">
        <v>3991</v>
      </c>
      <c r="AX247" s="81" t="s">
        <v>3992</v>
      </c>
      <c r="AY247" s="81" t="s">
        <v>3993</v>
      </c>
      <c r="AZ247" s="81" t="s">
        <v>3994</v>
      </c>
      <c r="BA247" s="81" t="s">
        <v>3995</v>
      </c>
      <c r="BB247" s="81" t="s">
        <v>3996</v>
      </c>
      <c r="BC247" s="81" t="s">
        <v>3997</v>
      </c>
      <c r="BD247" s="81" t="s">
        <v>3998</v>
      </c>
      <c r="BE247" s="81" t="s">
        <v>3999</v>
      </c>
      <c r="BF247" s="81" t="s">
        <v>4000</v>
      </c>
      <c r="BG247" s="81" t="s">
        <v>4001</v>
      </c>
      <c r="BH247" s="81" t="s">
        <v>4864</v>
      </c>
      <c r="BI247" s="81" t="s">
        <v>5168</v>
      </c>
      <c r="BJ247" s="81" t="s">
        <v>307</v>
      </c>
      <c r="BL247" s="81" t="s">
        <v>911</v>
      </c>
      <c r="BM247" s="81">
        <v>244</v>
      </c>
      <c r="BN247" s="81" t="str">
        <f t="shared" si="164"/>
        <v>='December 38'!C12</v>
      </c>
      <c r="BP247" s="81" t="str">
        <f t="shared" ca="1" si="172"/>
        <v/>
      </c>
      <c r="BR247" s="84">
        <f t="shared" si="166"/>
        <v>0</v>
      </c>
      <c r="BS247" s="84">
        <f t="shared" si="167"/>
        <v>0</v>
      </c>
      <c r="CA247" s="81" t="s">
        <v>2</v>
      </c>
      <c r="CB247" s="81">
        <f t="shared" si="173"/>
        <v>0</v>
      </c>
      <c r="CC247" s="81">
        <f t="shared" si="174"/>
        <v>0</v>
      </c>
      <c r="CD247" s="81" t="s">
        <v>16</v>
      </c>
      <c r="CE247" s="81">
        <f t="shared" si="175"/>
        <v>0</v>
      </c>
      <c r="CF247" s="81">
        <f t="shared" si="176"/>
        <v>0</v>
      </c>
      <c r="CG247" s="81" t="s">
        <v>5</v>
      </c>
      <c r="CH247" s="81">
        <f t="shared" si="177"/>
        <v>0</v>
      </c>
      <c r="CI247" s="81">
        <f t="shared" si="178"/>
        <v>0</v>
      </c>
      <c r="CJ247" s="81" t="s">
        <v>18</v>
      </c>
      <c r="CK247" s="81">
        <f t="shared" si="179"/>
        <v>0</v>
      </c>
      <c r="CL247" s="81">
        <f t="shared" si="180"/>
        <v>0</v>
      </c>
      <c r="CM247" s="81" t="s">
        <v>4</v>
      </c>
      <c r="CN247" s="81">
        <f t="shared" si="181"/>
        <v>0</v>
      </c>
      <c r="CO247" s="81">
        <f t="shared" si="182"/>
        <v>0</v>
      </c>
      <c r="CP247" s="81" t="s">
        <v>22</v>
      </c>
      <c r="CQ247" s="81">
        <f t="shared" si="183"/>
        <v>0</v>
      </c>
      <c r="CR247" s="81">
        <f t="shared" si="184"/>
        <v>0</v>
      </c>
      <c r="CS247" s="81" t="s">
        <v>21</v>
      </c>
      <c r="CT247" s="81">
        <f t="shared" si="185"/>
        <v>0</v>
      </c>
      <c r="CU247" s="81">
        <f t="shared" si="186"/>
        <v>0</v>
      </c>
      <c r="CV247" s="81" t="s">
        <v>998</v>
      </c>
      <c r="CW247" s="81">
        <f t="shared" si="187"/>
        <v>0</v>
      </c>
      <c r="CX247" s="81">
        <f t="shared" si="188"/>
        <v>0</v>
      </c>
      <c r="CY247" s="81" t="s">
        <v>19</v>
      </c>
      <c r="CZ247" s="81">
        <f t="shared" si="189"/>
        <v>0</v>
      </c>
      <c r="DA247" s="81">
        <f t="shared" si="190"/>
        <v>0</v>
      </c>
      <c r="DB247" s="81" t="s">
        <v>20</v>
      </c>
      <c r="DC247" s="81">
        <f t="shared" si="191"/>
        <v>0</v>
      </c>
      <c r="DD247" s="81">
        <f t="shared" si="192"/>
        <v>0</v>
      </c>
      <c r="DE247" s="81" t="s">
        <v>23</v>
      </c>
      <c r="DF247" s="81">
        <f t="shared" si="193"/>
        <v>0</v>
      </c>
      <c r="DG247" s="81">
        <f t="shared" si="194"/>
        <v>0</v>
      </c>
      <c r="DH247" s="81" t="s">
        <v>15</v>
      </c>
      <c r="DI247" s="81">
        <f t="shared" si="195"/>
        <v>0</v>
      </c>
      <c r="DJ247" s="81">
        <f t="shared" si="196"/>
        <v>0</v>
      </c>
      <c r="DK247" s="81" t="s">
        <v>5469</v>
      </c>
      <c r="DL247" s="81">
        <f t="shared" si="197"/>
        <v>0</v>
      </c>
      <c r="DM247" s="81">
        <f t="shared" si="198"/>
        <v>0</v>
      </c>
      <c r="DN247" s="81" t="s">
        <v>7</v>
      </c>
      <c r="DO247" s="81">
        <f t="shared" si="199"/>
        <v>0</v>
      </c>
      <c r="DP247" s="81">
        <f t="shared" si="200"/>
        <v>0</v>
      </c>
      <c r="DQ247" s="81" t="s">
        <v>1</v>
      </c>
      <c r="DR247" s="81">
        <f t="shared" si="201"/>
        <v>0</v>
      </c>
      <c r="DS247" s="81">
        <f t="shared" si="202"/>
        <v>0</v>
      </c>
    </row>
    <row r="248" spans="14:123" x14ac:dyDescent="0.3">
      <c r="N248" s="81">
        <f>IF(Q249=0,IF(Q248=0,,"x"),)</f>
        <v>0</v>
      </c>
      <c r="O248" s="81">
        <f t="shared" si="203"/>
        <v>0</v>
      </c>
      <c r="P248" s="81">
        <f t="shared" si="168"/>
        <v>0</v>
      </c>
      <c r="Q248" s="81">
        <f t="shared" si="204"/>
        <v>0</v>
      </c>
      <c r="R248" s="81">
        <f>IF(W248="",,SUM($W$4:W248))</f>
        <v>0</v>
      </c>
      <c r="S248" s="81">
        <f t="shared" si="169"/>
        <v>0</v>
      </c>
      <c r="T248" s="81">
        <f t="shared" si="205"/>
        <v>0</v>
      </c>
      <c r="U248" s="81">
        <f t="shared" si="170"/>
        <v>0</v>
      </c>
      <c r="AE248" s="81">
        <v>248</v>
      </c>
      <c r="AI248" s="81">
        <v>245</v>
      </c>
      <c r="AJ248" s="81" t="str">
        <f t="shared" si="161"/>
        <v>Januari 39</v>
      </c>
      <c r="AK248" s="81" t="str">
        <f t="shared" si="207"/>
        <v>Januari</v>
      </c>
      <c r="AL248" s="81">
        <f t="shared" si="206"/>
        <v>39</v>
      </c>
      <c r="AM248" s="81" t="str">
        <f t="shared" si="171"/>
        <v>='Januari 39'!</v>
      </c>
      <c r="AN248" s="81" t="str">
        <f t="shared" si="165"/>
        <v>='Januari 39'!C27</v>
      </c>
      <c r="AO248" s="81" t="s">
        <v>1248</v>
      </c>
      <c r="AR248" s="81" t="s">
        <v>308</v>
      </c>
      <c r="AS248" s="83" t="str">
        <f t="shared" si="162"/>
        <v>='Januari 39'!C6</v>
      </c>
      <c r="AT248" s="83">
        <f t="shared" si="163"/>
        <v>0</v>
      </c>
      <c r="AV248" s="81" t="s">
        <v>609</v>
      </c>
      <c r="AW248" s="81" t="s">
        <v>4002</v>
      </c>
      <c r="AX248" s="81" t="s">
        <v>4003</v>
      </c>
      <c r="AY248" s="81" t="s">
        <v>4004</v>
      </c>
      <c r="AZ248" s="81" t="s">
        <v>4005</v>
      </c>
      <c r="BA248" s="81" t="s">
        <v>4006</v>
      </c>
      <c r="BB248" s="81" t="s">
        <v>4007</v>
      </c>
      <c r="BC248" s="81" t="s">
        <v>4008</v>
      </c>
      <c r="BD248" s="81" t="s">
        <v>4009</v>
      </c>
      <c r="BE248" s="81" t="s">
        <v>4010</v>
      </c>
      <c r="BF248" s="81" t="s">
        <v>4011</v>
      </c>
      <c r="BG248" s="81" t="s">
        <v>4012</v>
      </c>
      <c r="BH248" s="81" t="s">
        <v>4865</v>
      </c>
      <c r="BI248" s="81" t="s">
        <v>5169</v>
      </c>
      <c r="BJ248" s="81" t="s">
        <v>308</v>
      </c>
      <c r="BL248" s="81" t="s">
        <v>912</v>
      </c>
      <c r="BM248" s="81">
        <v>245</v>
      </c>
      <c r="BN248" s="81" t="str">
        <f t="shared" si="164"/>
        <v>='Januari 39'!C12</v>
      </c>
      <c r="BP248" s="81" t="str">
        <f t="shared" ca="1" si="172"/>
        <v/>
      </c>
      <c r="BR248" s="84">
        <f t="shared" si="166"/>
        <v>0</v>
      </c>
      <c r="BS248" s="84">
        <f t="shared" si="167"/>
        <v>0</v>
      </c>
      <c r="CA248" s="81" t="s">
        <v>2</v>
      </c>
      <c r="CB248" s="81">
        <f t="shared" si="173"/>
        <v>0</v>
      </c>
      <c r="CC248" s="81">
        <f t="shared" si="174"/>
        <v>0</v>
      </c>
      <c r="CD248" s="81" t="s">
        <v>16</v>
      </c>
      <c r="CE248" s="81">
        <f t="shared" si="175"/>
        <v>0</v>
      </c>
      <c r="CF248" s="81">
        <f t="shared" si="176"/>
        <v>0</v>
      </c>
      <c r="CG248" s="81" t="s">
        <v>5</v>
      </c>
      <c r="CH248" s="81">
        <f t="shared" si="177"/>
        <v>0</v>
      </c>
      <c r="CI248" s="81">
        <f t="shared" si="178"/>
        <v>0</v>
      </c>
      <c r="CJ248" s="81" t="s">
        <v>18</v>
      </c>
      <c r="CK248" s="81">
        <f t="shared" si="179"/>
        <v>0</v>
      </c>
      <c r="CL248" s="81">
        <f t="shared" si="180"/>
        <v>0</v>
      </c>
      <c r="CM248" s="81" t="s">
        <v>4</v>
      </c>
      <c r="CN248" s="81">
        <f t="shared" si="181"/>
        <v>0</v>
      </c>
      <c r="CO248" s="81">
        <f t="shared" si="182"/>
        <v>0</v>
      </c>
      <c r="CP248" s="81" t="s">
        <v>22</v>
      </c>
      <c r="CQ248" s="81">
        <f t="shared" si="183"/>
        <v>0</v>
      </c>
      <c r="CR248" s="81">
        <f t="shared" si="184"/>
        <v>0</v>
      </c>
      <c r="CS248" s="81" t="s">
        <v>21</v>
      </c>
      <c r="CT248" s="81">
        <f t="shared" si="185"/>
        <v>0</v>
      </c>
      <c r="CU248" s="81">
        <f t="shared" si="186"/>
        <v>0</v>
      </c>
      <c r="CV248" s="81" t="s">
        <v>998</v>
      </c>
      <c r="CW248" s="81">
        <f t="shared" si="187"/>
        <v>0</v>
      </c>
      <c r="CX248" s="81">
        <f t="shared" si="188"/>
        <v>0</v>
      </c>
      <c r="CY248" s="81" t="s">
        <v>19</v>
      </c>
      <c r="CZ248" s="81">
        <f t="shared" si="189"/>
        <v>0</v>
      </c>
      <c r="DA248" s="81">
        <f t="shared" si="190"/>
        <v>0</v>
      </c>
      <c r="DB248" s="81" t="s">
        <v>20</v>
      </c>
      <c r="DC248" s="81">
        <f t="shared" si="191"/>
        <v>0</v>
      </c>
      <c r="DD248" s="81">
        <f t="shared" si="192"/>
        <v>0</v>
      </c>
      <c r="DE248" s="81" t="s">
        <v>23</v>
      </c>
      <c r="DF248" s="81">
        <f t="shared" si="193"/>
        <v>0</v>
      </c>
      <c r="DG248" s="81">
        <f t="shared" si="194"/>
        <v>0</v>
      </c>
      <c r="DH248" s="81" t="s">
        <v>15</v>
      </c>
      <c r="DI248" s="81">
        <f t="shared" si="195"/>
        <v>0</v>
      </c>
      <c r="DJ248" s="81">
        <f t="shared" si="196"/>
        <v>0</v>
      </c>
      <c r="DK248" s="81" t="s">
        <v>5470</v>
      </c>
      <c r="DL248" s="81">
        <f t="shared" si="197"/>
        <v>0</v>
      </c>
      <c r="DM248" s="81">
        <f t="shared" si="198"/>
        <v>0</v>
      </c>
      <c r="DN248" s="81" t="s">
        <v>7</v>
      </c>
      <c r="DO248" s="81">
        <f t="shared" si="199"/>
        <v>0</v>
      </c>
      <c r="DP248" s="81">
        <f t="shared" si="200"/>
        <v>0</v>
      </c>
      <c r="DQ248" s="81" t="s">
        <v>1</v>
      </c>
      <c r="DR248" s="81">
        <f t="shared" si="201"/>
        <v>0</v>
      </c>
      <c r="DS248" s="81">
        <f t="shared" si="202"/>
        <v>0</v>
      </c>
    </row>
    <row r="249" spans="14:123" x14ac:dyDescent="0.3">
      <c r="N249" s="81">
        <f>IF(Q250=0,IF(Q249=0,,"x"),)</f>
        <v>0</v>
      </c>
      <c r="O249" s="81">
        <f t="shared" si="203"/>
        <v>0</v>
      </c>
      <c r="P249" s="81">
        <f t="shared" si="168"/>
        <v>0</v>
      </c>
      <c r="Q249" s="81">
        <f t="shared" si="204"/>
        <v>0</v>
      </c>
      <c r="R249" s="81">
        <f>IF(W249="",,SUM($W$4:W249))</f>
        <v>0</v>
      </c>
      <c r="S249" s="81">
        <f t="shared" si="169"/>
        <v>0</v>
      </c>
      <c r="T249" s="81">
        <f t="shared" si="205"/>
        <v>0</v>
      </c>
      <c r="U249" s="81">
        <f t="shared" si="170"/>
        <v>0</v>
      </c>
      <c r="AE249" s="81">
        <v>249</v>
      </c>
      <c r="AI249" s="81">
        <v>246</v>
      </c>
      <c r="AJ249" s="81" t="str">
        <f t="shared" si="161"/>
        <v>Februari 39</v>
      </c>
      <c r="AK249" s="81" t="str">
        <f t="shared" si="207"/>
        <v>Februari</v>
      </c>
      <c r="AL249" s="81">
        <f t="shared" si="206"/>
        <v>39</v>
      </c>
      <c r="AM249" s="81" t="str">
        <f t="shared" si="171"/>
        <v>='Februari 39'!</v>
      </c>
      <c r="AN249" s="81" t="str">
        <f t="shared" si="165"/>
        <v>='Februari 39'!C27</v>
      </c>
      <c r="AO249" s="81" t="s">
        <v>1249</v>
      </c>
      <c r="AR249" s="81" t="s">
        <v>309</v>
      </c>
      <c r="AS249" s="83" t="str">
        <f t="shared" si="162"/>
        <v>='Februari 39'!C6</v>
      </c>
      <c r="AT249" s="83">
        <f t="shared" si="163"/>
        <v>0</v>
      </c>
      <c r="AV249" s="81" t="s">
        <v>610</v>
      </c>
      <c r="AW249" s="81" t="s">
        <v>4013</v>
      </c>
      <c r="AX249" s="81" t="s">
        <v>4014</v>
      </c>
      <c r="AY249" s="81" t="s">
        <v>4015</v>
      </c>
      <c r="AZ249" s="81" t="s">
        <v>4016</v>
      </c>
      <c r="BA249" s="81" t="s">
        <v>4017</v>
      </c>
      <c r="BB249" s="81" t="s">
        <v>4018</v>
      </c>
      <c r="BC249" s="81" t="s">
        <v>4019</v>
      </c>
      <c r="BD249" s="81" t="s">
        <v>4020</v>
      </c>
      <c r="BE249" s="81" t="s">
        <v>4021</v>
      </c>
      <c r="BF249" s="81" t="s">
        <v>4022</v>
      </c>
      <c r="BG249" s="81" t="s">
        <v>4023</v>
      </c>
      <c r="BH249" s="81" t="s">
        <v>4866</v>
      </c>
      <c r="BI249" s="81" t="s">
        <v>5170</v>
      </c>
      <c r="BJ249" s="81" t="s">
        <v>309</v>
      </c>
      <c r="BL249" s="81" t="s">
        <v>913</v>
      </c>
      <c r="BM249" s="81">
        <v>246</v>
      </c>
      <c r="BN249" s="81" t="str">
        <f t="shared" si="164"/>
        <v>='Februari 39'!C12</v>
      </c>
      <c r="BP249" s="81" t="str">
        <f t="shared" ca="1" si="172"/>
        <v/>
      </c>
      <c r="BR249" s="84">
        <f t="shared" si="166"/>
        <v>0</v>
      </c>
      <c r="BS249" s="84">
        <f t="shared" si="167"/>
        <v>0</v>
      </c>
      <c r="CA249" s="81" t="s">
        <v>2</v>
      </c>
      <c r="CB249" s="81">
        <f t="shared" si="173"/>
        <v>0</v>
      </c>
      <c r="CC249" s="81">
        <f t="shared" si="174"/>
        <v>0</v>
      </c>
      <c r="CD249" s="81" t="s">
        <v>16</v>
      </c>
      <c r="CE249" s="81">
        <f t="shared" si="175"/>
        <v>0</v>
      </c>
      <c r="CF249" s="81">
        <f t="shared" si="176"/>
        <v>0</v>
      </c>
      <c r="CG249" s="81" t="s">
        <v>5</v>
      </c>
      <c r="CH249" s="81">
        <f t="shared" si="177"/>
        <v>0</v>
      </c>
      <c r="CI249" s="81">
        <f t="shared" si="178"/>
        <v>0</v>
      </c>
      <c r="CJ249" s="81" t="s">
        <v>18</v>
      </c>
      <c r="CK249" s="81">
        <f t="shared" si="179"/>
        <v>0</v>
      </c>
      <c r="CL249" s="81">
        <f t="shared" si="180"/>
        <v>0</v>
      </c>
      <c r="CM249" s="81" t="s">
        <v>4</v>
      </c>
      <c r="CN249" s="81">
        <f t="shared" si="181"/>
        <v>0</v>
      </c>
      <c r="CO249" s="81">
        <f t="shared" si="182"/>
        <v>0</v>
      </c>
      <c r="CP249" s="81" t="s">
        <v>22</v>
      </c>
      <c r="CQ249" s="81">
        <f t="shared" si="183"/>
        <v>0</v>
      </c>
      <c r="CR249" s="81">
        <f t="shared" si="184"/>
        <v>0</v>
      </c>
      <c r="CS249" s="81" t="s">
        <v>21</v>
      </c>
      <c r="CT249" s="81">
        <f t="shared" si="185"/>
        <v>0</v>
      </c>
      <c r="CU249" s="81">
        <f t="shared" si="186"/>
        <v>0</v>
      </c>
      <c r="CV249" s="81" t="s">
        <v>998</v>
      </c>
      <c r="CW249" s="81">
        <f t="shared" si="187"/>
        <v>0</v>
      </c>
      <c r="CX249" s="81">
        <f t="shared" si="188"/>
        <v>0</v>
      </c>
      <c r="CY249" s="81" t="s">
        <v>19</v>
      </c>
      <c r="CZ249" s="81">
        <f t="shared" si="189"/>
        <v>0</v>
      </c>
      <c r="DA249" s="81">
        <f t="shared" si="190"/>
        <v>0</v>
      </c>
      <c r="DB249" s="81" t="s">
        <v>20</v>
      </c>
      <c r="DC249" s="81">
        <f t="shared" si="191"/>
        <v>0</v>
      </c>
      <c r="DD249" s="81">
        <f t="shared" si="192"/>
        <v>0</v>
      </c>
      <c r="DE249" s="81" t="s">
        <v>23</v>
      </c>
      <c r="DF249" s="81">
        <f t="shared" si="193"/>
        <v>0</v>
      </c>
      <c r="DG249" s="81">
        <f t="shared" si="194"/>
        <v>0</v>
      </c>
      <c r="DH249" s="81" t="s">
        <v>15</v>
      </c>
      <c r="DI249" s="81">
        <f t="shared" si="195"/>
        <v>0</v>
      </c>
      <c r="DJ249" s="81">
        <f t="shared" si="196"/>
        <v>0</v>
      </c>
      <c r="DK249" s="81" t="s">
        <v>5471</v>
      </c>
      <c r="DL249" s="81">
        <f t="shared" si="197"/>
        <v>0</v>
      </c>
      <c r="DM249" s="81">
        <f t="shared" si="198"/>
        <v>0</v>
      </c>
      <c r="DN249" s="81" t="s">
        <v>7</v>
      </c>
      <c r="DO249" s="81">
        <f t="shared" si="199"/>
        <v>0</v>
      </c>
      <c r="DP249" s="81">
        <f t="shared" si="200"/>
        <v>0</v>
      </c>
      <c r="DQ249" s="81" t="s">
        <v>1</v>
      </c>
      <c r="DR249" s="81">
        <f t="shared" si="201"/>
        <v>0</v>
      </c>
      <c r="DS249" s="81">
        <f t="shared" si="202"/>
        <v>0</v>
      </c>
    </row>
    <row r="250" spans="14:123" x14ac:dyDescent="0.3">
      <c r="N250" s="81">
        <f>IF(Q251=0,IF(Q250=0,,"x"),)</f>
        <v>0</v>
      </c>
      <c r="O250" s="81">
        <f t="shared" si="203"/>
        <v>0</v>
      </c>
      <c r="P250" s="81">
        <f t="shared" si="168"/>
        <v>0</v>
      </c>
      <c r="Q250" s="81">
        <f t="shared" si="204"/>
        <v>0</v>
      </c>
      <c r="R250" s="81">
        <f>IF(W250="",,SUM($W$4:W250))</f>
        <v>0</v>
      </c>
      <c r="S250" s="81">
        <f t="shared" si="169"/>
        <v>0</v>
      </c>
      <c r="T250" s="81">
        <f t="shared" si="205"/>
        <v>0</v>
      </c>
      <c r="U250" s="81">
        <f t="shared" si="170"/>
        <v>0</v>
      </c>
      <c r="AE250" s="81">
        <v>250</v>
      </c>
      <c r="AI250" s="81">
        <v>247</v>
      </c>
      <c r="AJ250" s="81" t="str">
        <f t="shared" si="161"/>
        <v>Mars 39</v>
      </c>
      <c r="AK250" s="81" t="str">
        <f t="shared" si="207"/>
        <v>Mars</v>
      </c>
      <c r="AL250" s="81">
        <f t="shared" si="206"/>
        <v>39</v>
      </c>
      <c r="AM250" s="81" t="str">
        <f t="shared" si="171"/>
        <v>='Mars 39'!</v>
      </c>
      <c r="AN250" s="81" t="str">
        <f t="shared" si="165"/>
        <v>='Mars 39'!C27</v>
      </c>
      <c r="AO250" s="81" t="s">
        <v>1250</v>
      </c>
      <c r="AR250" s="81" t="s">
        <v>310</v>
      </c>
      <c r="AS250" s="83" t="str">
        <f t="shared" si="162"/>
        <v>='Mars 39'!C6</v>
      </c>
      <c r="AT250" s="83">
        <f t="shared" si="163"/>
        <v>0</v>
      </c>
      <c r="AV250" s="81" t="s">
        <v>611</v>
      </c>
      <c r="AW250" s="81" t="s">
        <v>4024</v>
      </c>
      <c r="AX250" s="81" t="s">
        <v>4025</v>
      </c>
      <c r="AY250" s="81" t="s">
        <v>4026</v>
      </c>
      <c r="AZ250" s="81" t="s">
        <v>4027</v>
      </c>
      <c r="BA250" s="81" t="s">
        <v>4028</v>
      </c>
      <c r="BB250" s="81" t="s">
        <v>4029</v>
      </c>
      <c r="BC250" s="81" t="s">
        <v>4030</v>
      </c>
      <c r="BD250" s="81" t="s">
        <v>4031</v>
      </c>
      <c r="BE250" s="81" t="s">
        <v>4032</v>
      </c>
      <c r="BF250" s="81" t="s">
        <v>4033</v>
      </c>
      <c r="BG250" s="81" t="s">
        <v>4034</v>
      </c>
      <c r="BH250" s="81" t="s">
        <v>4867</v>
      </c>
      <c r="BI250" s="81" t="s">
        <v>5171</v>
      </c>
      <c r="BJ250" s="81" t="s">
        <v>310</v>
      </c>
      <c r="BL250" s="81" t="s">
        <v>914</v>
      </c>
      <c r="BM250" s="81">
        <v>247</v>
      </c>
      <c r="BN250" s="81" t="str">
        <f t="shared" si="164"/>
        <v>='Mars 39'!C12</v>
      </c>
      <c r="BP250" s="81" t="str">
        <f t="shared" ca="1" si="172"/>
        <v/>
      </c>
      <c r="BR250" s="84">
        <f t="shared" si="166"/>
        <v>0</v>
      </c>
      <c r="BS250" s="84">
        <f t="shared" si="167"/>
        <v>0</v>
      </c>
      <c r="CA250" s="81" t="s">
        <v>2</v>
      </c>
      <c r="CB250" s="81">
        <f t="shared" si="173"/>
        <v>0</v>
      </c>
      <c r="CC250" s="81">
        <f t="shared" si="174"/>
        <v>0</v>
      </c>
      <c r="CD250" s="81" t="s">
        <v>16</v>
      </c>
      <c r="CE250" s="81">
        <f t="shared" si="175"/>
        <v>0</v>
      </c>
      <c r="CF250" s="81">
        <f t="shared" si="176"/>
        <v>0</v>
      </c>
      <c r="CG250" s="81" t="s">
        <v>5</v>
      </c>
      <c r="CH250" s="81">
        <f t="shared" si="177"/>
        <v>0</v>
      </c>
      <c r="CI250" s="81">
        <f t="shared" si="178"/>
        <v>0</v>
      </c>
      <c r="CJ250" s="81" t="s">
        <v>18</v>
      </c>
      <c r="CK250" s="81">
        <f t="shared" si="179"/>
        <v>0</v>
      </c>
      <c r="CL250" s="81">
        <f t="shared" si="180"/>
        <v>0</v>
      </c>
      <c r="CM250" s="81" t="s">
        <v>4</v>
      </c>
      <c r="CN250" s="81">
        <f t="shared" si="181"/>
        <v>0</v>
      </c>
      <c r="CO250" s="81">
        <f t="shared" si="182"/>
        <v>0</v>
      </c>
      <c r="CP250" s="81" t="s">
        <v>22</v>
      </c>
      <c r="CQ250" s="81">
        <f t="shared" si="183"/>
        <v>0</v>
      </c>
      <c r="CR250" s="81">
        <f t="shared" si="184"/>
        <v>0</v>
      </c>
      <c r="CS250" s="81" t="s">
        <v>21</v>
      </c>
      <c r="CT250" s="81">
        <f t="shared" si="185"/>
        <v>0</v>
      </c>
      <c r="CU250" s="81">
        <f t="shared" si="186"/>
        <v>0</v>
      </c>
      <c r="CV250" s="81" t="s">
        <v>998</v>
      </c>
      <c r="CW250" s="81">
        <f t="shared" si="187"/>
        <v>0</v>
      </c>
      <c r="CX250" s="81">
        <f t="shared" si="188"/>
        <v>0</v>
      </c>
      <c r="CY250" s="81" t="s">
        <v>19</v>
      </c>
      <c r="CZ250" s="81">
        <f t="shared" si="189"/>
        <v>0</v>
      </c>
      <c r="DA250" s="81">
        <f t="shared" si="190"/>
        <v>0</v>
      </c>
      <c r="DB250" s="81" t="s">
        <v>20</v>
      </c>
      <c r="DC250" s="81">
        <f t="shared" si="191"/>
        <v>0</v>
      </c>
      <c r="DD250" s="81">
        <f t="shared" si="192"/>
        <v>0</v>
      </c>
      <c r="DE250" s="81" t="s">
        <v>23</v>
      </c>
      <c r="DF250" s="81">
        <f t="shared" si="193"/>
        <v>0</v>
      </c>
      <c r="DG250" s="81">
        <f t="shared" si="194"/>
        <v>0</v>
      </c>
      <c r="DH250" s="81" t="s">
        <v>15</v>
      </c>
      <c r="DI250" s="81">
        <f t="shared" si="195"/>
        <v>0</v>
      </c>
      <c r="DJ250" s="81">
        <f t="shared" si="196"/>
        <v>0</v>
      </c>
      <c r="DK250" s="81" t="s">
        <v>5472</v>
      </c>
      <c r="DL250" s="81">
        <f t="shared" si="197"/>
        <v>0</v>
      </c>
      <c r="DM250" s="81">
        <f t="shared" si="198"/>
        <v>0</v>
      </c>
      <c r="DN250" s="81" t="s">
        <v>7</v>
      </c>
      <c r="DO250" s="81">
        <f t="shared" si="199"/>
        <v>0</v>
      </c>
      <c r="DP250" s="81">
        <f t="shared" si="200"/>
        <v>0</v>
      </c>
      <c r="DQ250" s="81" t="s">
        <v>1</v>
      </c>
      <c r="DR250" s="81">
        <f t="shared" si="201"/>
        <v>0</v>
      </c>
      <c r="DS250" s="81">
        <f t="shared" si="202"/>
        <v>0</v>
      </c>
    </row>
    <row r="251" spans="14:123" x14ac:dyDescent="0.3">
      <c r="N251" s="81">
        <f>IF(Q252=0,IF(Q251=0,,"x"),)</f>
        <v>0</v>
      </c>
      <c r="O251" s="81">
        <f t="shared" si="203"/>
        <v>0</v>
      </c>
      <c r="P251" s="81">
        <f t="shared" si="168"/>
        <v>0</v>
      </c>
      <c r="Q251" s="81">
        <f t="shared" si="204"/>
        <v>0</v>
      </c>
      <c r="R251" s="81">
        <f>IF(W251="",,SUM($W$4:W251))</f>
        <v>0</v>
      </c>
      <c r="S251" s="81">
        <f t="shared" si="169"/>
        <v>0</v>
      </c>
      <c r="T251" s="81">
        <f t="shared" si="205"/>
        <v>0</v>
      </c>
      <c r="U251" s="81">
        <f t="shared" si="170"/>
        <v>0</v>
      </c>
      <c r="AE251" s="81">
        <v>251</v>
      </c>
      <c r="AI251" s="81">
        <v>248</v>
      </c>
      <c r="AJ251" s="81" t="str">
        <f t="shared" si="161"/>
        <v>April 39</v>
      </c>
      <c r="AK251" s="81" t="str">
        <f t="shared" si="207"/>
        <v>April</v>
      </c>
      <c r="AL251" s="81">
        <f t="shared" si="206"/>
        <v>39</v>
      </c>
      <c r="AM251" s="81" t="str">
        <f t="shared" si="171"/>
        <v>='April 39'!</v>
      </c>
      <c r="AN251" s="81" t="str">
        <f t="shared" si="165"/>
        <v>='April 39'!C27</v>
      </c>
      <c r="AO251" s="81" t="s">
        <v>1251</v>
      </c>
      <c r="AR251" s="81" t="s">
        <v>311</v>
      </c>
      <c r="AS251" s="83" t="str">
        <f t="shared" si="162"/>
        <v>='April 39'!C6</v>
      </c>
      <c r="AT251" s="83">
        <f t="shared" si="163"/>
        <v>0</v>
      </c>
      <c r="AV251" s="81" t="s">
        <v>612</v>
      </c>
      <c r="AW251" s="81" t="s">
        <v>4035</v>
      </c>
      <c r="AX251" s="81" t="s">
        <v>4036</v>
      </c>
      <c r="AY251" s="81" t="s">
        <v>4037</v>
      </c>
      <c r="AZ251" s="81" t="s">
        <v>4038</v>
      </c>
      <c r="BA251" s="81" t="s">
        <v>4039</v>
      </c>
      <c r="BB251" s="81" t="s">
        <v>4040</v>
      </c>
      <c r="BC251" s="81" t="s">
        <v>4041</v>
      </c>
      <c r="BD251" s="81" t="s">
        <v>4042</v>
      </c>
      <c r="BE251" s="81" t="s">
        <v>4043</v>
      </c>
      <c r="BF251" s="81" t="s">
        <v>4044</v>
      </c>
      <c r="BG251" s="81" t="s">
        <v>4045</v>
      </c>
      <c r="BH251" s="81" t="s">
        <v>4868</v>
      </c>
      <c r="BI251" s="81" t="s">
        <v>5172</v>
      </c>
      <c r="BJ251" s="81" t="s">
        <v>311</v>
      </c>
      <c r="BL251" s="81" t="s">
        <v>915</v>
      </c>
      <c r="BM251" s="81">
        <v>248</v>
      </c>
      <c r="BN251" s="81" t="str">
        <f t="shared" si="164"/>
        <v>='April 39'!C12</v>
      </c>
      <c r="BP251" s="81" t="str">
        <f t="shared" ca="1" si="172"/>
        <v/>
      </c>
      <c r="BR251" s="84">
        <f t="shared" si="166"/>
        <v>0</v>
      </c>
      <c r="BS251" s="84">
        <f t="shared" si="167"/>
        <v>0</v>
      </c>
      <c r="CA251" s="81" t="s">
        <v>2</v>
      </c>
      <c r="CB251" s="81">
        <f t="shared" si="173"/>
        <v>0</v>
      </c>
      <c r="CC251" s="81">
        <f t="shared" si="174"/>
        <v>0</v>
      </c>
      <c r="CD251" s="81" t="s">
        <v>16</v>
      </c>
      <c r="CE251" s="81">
        <f t="shared" si="175"/>
        <v>0</v>
      </c>
      <c r="CF251" s="81">
        <f t="shared" si="176"/>
        <v>0</v>
      </c>
      <c r="CG251" s="81" t="s">
        <v>5</v>
      </c>
      <c r="CH251" s="81">
        <f t="shared" si="177"/>
        <v>0</v>
      </c>
      <c r="CI251" s="81">
        <f t="shared" si="178"/>
        <v>0</v>
      </c>
      <c r="CJ251" s="81" t="s">
        <v>18</v>
      </c>
      <c r="CK251" s="81">
        <f t="shared" si="179"/>
        <v>0</v>
      </c>
      <c r="CL251" s="81">
        <f t="shared" si="180"/>
        <v>0</v>
      </c>
      <c r="CM251" s="81" t="s">
        <v>4</v>
      </c>
      <c r="CN251" s="81">
        <f t="shared" si="181"/>
        <v>0</v>
      </c>
      <c r="CO251" s="81">
        <f t="shared" si="182"/>
        <v>0</v>
      </c>
      <c r="CP251" s="81" t="s">
        <v>22</v>
      </c>
      <c r="CQ251" s="81">
        <f t="shared" si="183"/>
        <v>0</v>
      </c>
      <c r="CR251" s="81">
        <f t="shared" si="184"/>
        <v>0</v>
      </c>
      <c r="CS251" s="81" t="s">
        <v>21</v>
      </c>
      <c r="CT251" s="81">
        <f t="shared" si="185"/>
        <v>0</v>
      </c>
      <c r="CU251" s="81">
        <f t="shared" si="186"/>
        <v>0</v>
      </c>
      <c r="CV251" s="81" t="s">
        <v>998</v>
      </c>
      <c r="CW251" s="81">
        <f t="shared" si="187"/>
        <v>0</v>
      </c>
      <c r="CX251" s="81">
        <f t="shared" si="188"/>
        <v>0</v>
      </c>
      <c r="CY251" s="81" t="s">
        <v>19</v>
      </c>
      <c r="CZ251" s="81">
        <f t="shared" si="189"/>
        <v>0</v>
      </c>
      <c r="DA251" s="81">
        <f t="shared" si="190"/>
        <v>0</v>
      </c>
      <c r="DB251" s="81" t="s">
        <v>20</v>
      </c>
      <c r="DC251" s="81">
        <f t="shared" si="191"/>
        <v>0</v>
      </c>
      <c r="DD251" s="81">
        <f t="shared" si="192"/>
        <v>0</v>
      </c>
      <c r="DE251" s="81" t="s">
        <v>23</v>
      </c>
      <c r="DF251" s="81">
        <f t="shared" si="193"/>
        <v>0</v>
      </c>
      <c r="DG251" s="81">
        <f t="shared" si="194"/>
        <v>0</v>
      </c>
      <c r="DH251" s="81" t="s">
        <v>15</v>
      </c>
      <c r="DI251" s="81">
        <f t="shared" si="195"/>
        <v>0</v>
      </c>
      <c r="DJ251" s="81">
        <f t="shared" si="196"/>
        <v>0</v>
      </c>
      <c r="DK251" s="81" t="s">
        <v>5473</v>
      </c>
      <c r="DL251" s="81">
        <f t="shared" si="197"/>
        <v>0</v>
      </c>
      <c r="DM251" s="81">
        <f t="shared" si="198"/>
        <v>0</v>
      </c>
      <c r="DN251" s="81" t="s">
        <v>7</v>
      </c>
      <c r="DO251" s="81">
        <f t="shared" si="199"/>
        <v>0</v>
      </c>
      <c r="DP251" s="81">
        <f t="shared" si="200"/>
        <v>0</v>
      </c>
      <c r="DQ251" s="81" t="s">
        <v>1</v>
      </c>
      <c r="DR251" s="81">
        <f t="shared" si="201"/>
        <v>0</v>
      </c>
      <c r="DS251" s="81">
        <f t="shared" si="202"/>
        <v>0</v>
      </c>
    </row>
    <row r="252" spans="14:123" x14ac:dyDescent="0.3">
      <c r="N252" s="81">
        <f>IF(Q253=0,IF(Q252=0,,"x"),)</f>
        <v>0</v>
      </c>
      <c r="O252" s="81">
        <f t="shared" si="203"/>
        <v>0</v>
      </c>
      <c r="P252" s="81">
        <f t="shared" si="168"/>
        <v>0</v>
      </c>
      <c r="Q252" s="81">
        <f t="shared" si="204"/>
        <v>0</v>
      </c>
      <c r="R252" s="81">
        <f>IF(W252="",,SUM($W$4:W252))</f>
        <v>0</v>
      </c>
      <c r="S252" s="81">
        <f t="shared" si="169"/>
        <v>0</v>
      </c>
      <c r="T252" s="81">
        <f t="shared" si="205"/>
        <v>0</v>
      </c>
      <c r="U252" s="81">
        <f t="shared" si="170"/>
        <v>0</v>
      </c>
      <c r="AE252" s="81">
        <v>252</v>
      </c>
      <c r="AI252" s="81">
        <v>249</v>
      </c>
      <c r="AJ252" s="81" t="str">
        <f t="shared" si="161"/>
        <v>Maj 39</v>
      </c>
      <c r="AK252" s="81" t="str">
        <f t="shared" si="207"/>
        <v>Maj</v>
      </c>
      <c r="AL252" s="81">
        <f t="shared" si="206"/>
        <v>39</v>
      </c>
      <c r="AM252" s="81" t="str">
        <f t="shared" si="171"/>
        <v>='Maj 39'!</v>
      </c>
      <c r="AN252" s="81" t="str">
        <f t="shared" si="165"/>
        <v>='Maj 39'!C27</v>
      </c>
      <c r="AO252" s="81" t="s">
        <v>1252</v>
      </c>
      <c r="AR252" s="81" t="s">
        <v>312</v>
      </c>
      <c r="AS252" s="83" t="str">
        <f t="shared" si="162"/>
        <v>='Maj 39'!C6</v>
      </c>
      <c r="AT252" s="83">
        <f t="shared" si="163"/>
        <v>0</v>
      </c>
      <c r="AV252" s="81" t="s">
        <v>613</v>
      </c>
      <c r="AW252" s="81" t="s">
        <v>4046</v>
      </c>
      <c r="AX252" s="81" t="s">
        <v>4047</v>
      </c>
      <c r="AY252" s="81" t="s">
        <v>4048</v>
      </c>
      <c r="AZ252" s="81" t="s">
        <v>4049</v>
      </c>
      <c r="BA252" s="81" t="s">
        <v>4050</v>
      </c>
      <c r="BB252" s="81" t="s">
        <v>4051</v>
      </c>
      <c r="BC252" s="81" t="s">
        <v>4052</v>
      </c>
      <c r="BD252" s="81" t="s">
        <v>4053</v>
      </c>
      <c r="BE252" s="81" t="s">
        <v>4054</v>
      </c>
      <c r="BF252" s="81" t="s">
        <v>4055</v>
      </c>
      <c r="BG252" s="81" t="s">
        <v>4056</v>
      </c>
      <c r="BH252" s="81" t="s">
        <v>4869</v>
      </c>
      <c r="BI252" s="81" t="s">
        <v>5173</v>
      </c>
      <c r="BJ252" s="81" t="s">
        <v>312</v>
      </c>
      <c r="BL252" s="81" t="s">
        <v>916</v>
      </c>
      <c r="BM252" s="81">
        <v>249</v>
      </c>
      <c r="BN252" s="81" t="str">
        <f t="shared" si="164"/>
        <v>='Maj 39'!C12</v>
      </c>
      <c r="BP252" s="81" t="str">
        <f t="shared" ca="1" si="172"/>
        <v/>
      </c>
      <c r="BR252" s="84">
        <f t="shared" si="166"/>
        <v>0</v>
      </c>
      <c r="BS252" s="84">
        <f t="shared" si="167"/>
        <v>0</v>
      </c>
      <c r="CA252" s="81" t="s">
        <v>2</v>
      </c>
      <c r="CB252" s="81">
        <f t="shared" si="173"/>
        <v>0</v>
      </c>
      <c r="CC252" s="81">
        <f t="shared" si="174"/>
        <v>0</v>
      </c>
      <c r="CD252" s="81" t="s">
        <v>16</v>
      </c>
      <c r="CE252" s="81">
        <f t="shared" si="175"/>
        <v>0</v>
      </c>
      <c r="CF252" s="81">
        <f t="shared" si="176"/>
        <v>0</v>
      </c>
      <c r="CG252" s="81" t="s">
        <v>5</v>
      </c>
      <c r="CH252" s="81">
        <f t="shared" si="177"/>
        <v>0</v>
      </c>
      <c r="CI252" s="81">
        <f t="shared" si="178"/>
        <v>0</v>
      </c>
      <c r="CJ252" s="81" t="s">
        <v>18</v>
      </c>
      <c r="CK252" s="81">
        <f t="shared" si="179"/>
        <v>0</v>
      </c>
      <c r="CL252" s="81">
        <f t="shared" si="180"/>
        <v>0</v>
      </c>
      <c r="CM252" s="81" t="s">
        <v>4</v>
      </c>
      <c r="CN252" s="81">
        <f t="shared" si="181"/>
        <v>0</v>
      </c>
      <c r="CO252" s="81">
        <f t="shared" si="182"/>
        <v>0</v>
      </c>
      <c r="CP252" s="81" t="s">
        <v>22</v>
      </c>
      <c r="CQ252" s="81">
        <f t="shared" si="183"/>
        <v>0</v>
      </c>
      <c r="CR252" s="81">
        <f t="shared" si="184"/>
        <v>0</v>
      </c>
      <c r="CS252" s="81" t="s">
        <v>21</v>
      </c>
      <c r="CT252" s="81">
        <f t="shared" si="185"/>
        <v>0</v>
      </c>
      <c r="CU252" s="81">
        <f t="shared" si="186"/>
        <v>0</v>
      </c>
      <c r="CV252" s="81" t="s">
        <v>998</v>
      </c>
      <c r="CW252" s="81">
        <f t="shared" si="187"/>
        <v>0</v>
      </c>
      <c r="CX252" s="81">
        <f t="shared" si="188"/>
        <v>0</v>
      </c>
      <c r="CY252" s="81" t="s">
        <v>19</v>
      </c>
      <c r="CZ252" s="81">
        <f t="shared" si="189"/>
        <v>0</v>
      </c>
      <c r="DA252" s="81">
        <f t="shared" si="190"/>
        <v>0</v>
      </c>
      <c r="DB252" s="81" t="s">
        <v>20</v>
      </c>
      <c r="DC252" s="81">
        <f t="shared" si="191"/>
        <v>0</v>
      </c>
      <c r="DD252" s="81">
        <f t="shared" si="192"/>
        <v>0</v>
      </c>
      <c r="DE252" s="81" t="s">
        <v>23</v>
      </c>
      <c r="DF252" s="81">
        <f t="shared" si="193"/>
        <v>0</v>
      </c>
      <c r="DG252" s="81">
        <f t="shared" si="194"/>
        <v>0</v>
      </c>
      <c r="DH252" s="81" t="s">
        <v>15</v>
      </c>
      <c r="DI252" s="81">
        <f t="shared" si="195"/>
        <v>0</v>
      </c>
      <c r="DJ252" s="81">
        <f t="shared" si="196"/>
        <v>0</v>
      </c>
      <c r="DK252" s="81" t="s">
        <v>5474</v>
      </c>
      <c r="DL252" s="81">
        <f t="shared" si="197"/>
        <v>0</v>
      </c>
      <c r="DM252" s="81">
        <f t="shared" si="198"/>
        <v>0</v>
      </c>
      <c r="DN252" s="81" t="s">
        <v>7</v>
      </c>
      <c r="DO252" s="81">
        <f t="shared" si="199"/>
        <v>0</v>
      </c>
      <c r="DP252" s="81">
        <f t="shared" si="200"/>
        <v>0</v>
      </c>
      <c r="DQ252" s="81" t="s">
        <v>1</v>
      </c>
      <c r="DR252" s="81">
        <f t="shared" si="201"/>
        <v>0</v>
      </c>
      <c r="DS252" s="81">
        <f t="shared" si="202"/>
        <v>0</v>
      </c>
    </row>
    <row r="253" spans="14:123" x14ac:dyDescent="0.3">
      <c r="N253" s="81">
        <f>IF(Q254=0,IF(Q253=0,,"x"),)</f>
        <v>0</v>
      </c>
      <c r="O253" s="81">
        <f t="shared" si="203"/>
        <v>0</v>
      </c>
      <c r="P253" s="81">
        <f t="shared" si="168"/>
        <v>0</v>
      </c>
      <c r="Q253" s="81">
        <f t="shared" si="204"/>
        <v>0</v>
      </c>
      <c r="R253" s="81">
        <f>IF(W253="",,SUM($W$4:W253))</f>
        <v>0</v>
      </c>
      <c r="S253" s="81">
        <f t="shared" si="169"/>
        <v>0</v>
      </c>
      <c r="T253" s="81">
        <f t="shared" si="205"/>
        <v>0</v>
      </c>
      <c r="U253" s="81">
        <f t="shared" si="170"/>
        <v>0</v>
      </c>
      <c r="AE253" s="81">
        <v>253</v>
      </c>
      <c r="AI253" s="81">
        <v>250</v>
      </c>
      <c r="AJ253" s="81" t="str">
        <f t="shared" si="161"/>
        <v>Juni 39</v>
      </c>
      <c r="AK253" s="81" t="str">
        <f t="shared" si="207"/>
        <v>Juni</v>
      </c>
      <c r="AL253" s="81">
        <f t="shared" si="206"/>
        <v>39</v>
      </c>
      <c r="AM253" s="81" t="str">
        <f t="shared" si="171"/>
        <v>='Juni 39'!</v>
      </c>
      <c r="AN253" s="81" t="str">
        <f t="shared" si="165"/>
        <v>='Juni 39'!C27</v>
      </c>
      <c r="AO253" s="81" t="s">
        <v>1253</v>
      </c>
      <c r="AR253" s="81" t="s">
        <v>313</v>
      </c>
      <c r="AS253" s="83" t="str">
        <f t="shared" si="162"/>
        <v>='Juni 39'!C6</v>
      </c>
      <c r="AT253" s="83">
        <f t="shared" si="163"/>
        <v>0</v>
      </c>
      <c r="AV253" s="81" t="s">
        <v>614</v>
      </c>
      <c r="AW253" s="81" t="s">
        <v>4057</v>
      </c>
      <c r="AX253" s="81" t="s">
        <v>4058</v>
      </c>
      <c r="AY253" s="81" t="s">
        <v>4059</v>
      </c>
      <c r="AZ253" s="81" t="s">
        <v>4060</v>
      </c>
      <c r="BA253" s="81" t="s">
        <v>4061</v>
      </c>
      <c r="BB253" s="81" t="s">
        <v>4062</v>
      </c>
      <c r="BC253" s="81" t="s">
        <v>4063</v>
      </c>
      <c r="BD253" s="81" t="s">
        <v>4064</v>
      </c>
      <c r="BE253" s="81" t="s">
        <v>4065</v>
      </c>
      <c r="BF253" s="81" t="s">
        <v>4066</v>
      </c>
      <c r="BG253" s="81" t="s">
        <v>4067</v>
      </c>
      <c r="BH253" s="81" t="s">
        <v>4870</v>
      </c>
      <c r="BI253" s="81" t="s">
        <v>5174</v>
      </c>
      <c r="BJ253" s="81" t="s">
        <v>313</v>
      </c>
      <c r="BL253" s="81" t="s">
        <v>917</v>
      </c>
      <c r="BM253" s="81">
        <v>250</v>
      </c>
      <c r="BN253" s="81" t="str">
        <f t="shared" si="164"/>
        <v>='Juni 39'!C12</v>
      </c>
      <c r="BP253" s="81" t="str">
        <f t="shared" ca="1" si="172"/>
        <v/>
      </c>
      <c r="BR253" s="84">
        <f t="shared" si="166"/>
        <v>0</v>
      </c>
      <c r="BS253" s="84">
        <f t="shared" si="167"/>
        <v>0</v>
      </c>
      <c r="CA253" s="81" t="s">
        <v>2</v>
      </c>
      <c r="CB253" s="81">
        <f t="shared" si="173"/>
        <v>0</v>
      </c>
      <c r="CC253" s="81">
        <f t="shared" si="174"/>
        <v>0</v>
      </c>
      <c r="CD253" s="81" t="s">
        <v>16</v>
      </c>
      <c r="CE253" s="81">
        <f t="shared" si="175"/>
        <v>0</v>
      </c>
      <c r="CF253" s="81">
        <f t="shared" si="176"/>
        <v>0</v>
      </c>
      <c r="CG253" s="81" t="s">
        <v>5</v>
      </c>
      <c r="CH253" s="81">
        <f t="shared" si="177"/>
        <v>0</v>
      </c>
      <c r="CI253" s="81">
        <f t="shared" si="178"/>
        <v>0</v>
      </c>
      <c r="CJ253" s="81" t="s">
        <v>18</v>
      </c>
      <c r="CK253" s="81">
        <f t="shared" si="179"/>
        <v>0</v>
      </c>
      <c r="CL253" s="81">
        <f t="shared" si="180"/>
        <v>0</v>
      </c>
      <c r="CM253" s="81" t="s">
        <v>4</v>
      </c>
      <c r="CN253" s="81">
        <f t="shared" si="181"/>
        <v>0</v>
      </c>
      <c r="CO253" s="81">
        <f t="shared" si="182"/>
        <v>0</v>
      </c>
      <c r="CP253" s="81" t="s">
        <v>22</v>
      </c>
      <c r="CQ253" s="81">
        <f t="shared" si="183"/>
        <v>0</v>
      </c>
      <c r="CR253" s="81">
        <f t="shared" si="184"/>
        <v>0</v>
      </c>
      <c r="CS253" s="81" t="s">
        <v>21</v>
      </c>
      <c r="CT253" s="81">
        <f t="shared" si="185"/>
        <v>0</v>
      </c>
      <c r="CU253" s="81">
        <f t="shared" si="186"/>
        <v>0</v>
      </c>
      <c r="CV253" s="81" t="s">
        <v>998</v>
      </c>
      <c r="CW253" s="81">
        <f t="shared" si="187"/>
        <v>0</v>
      </c>
      <c r="CX253" s="81">
        <f t="shared" si="188"/>
        <v>0</v>
      </c>
      <c r="CY253" s="81" t="s">
        <v>19</v>
      </c>
      <c r="CZ253" s="81">
        <f t="shared" si="189"/>
        <v>0</v>
      </c>
      <c r="DA253" s="81">
        <f t="shared" si="190"/>
        <v>0</v>
      </c>
      <c r="DB253" s="81" t="s">
        <v>20</v>
      </c>
      <c r="DC253" s="81">
        <f t="shared" si="191"/>
        <v>0</v>
      </c>
      <c r="DD253" s="81">
        <f t="shared" si="192"/>
        <v>0</v>
      </c>
      <c r="DE253" s="81" t="s">
        <v>23</v>
      </c>
      <c r="DF253" s="81">
        <f t="shared" si="193"/>
        <v>0</v>
      </c>
      <c r="DG253" s="81">
        <f t="shared" si="194"/>
        <v>0</v>
      </c>
      <c r="DH253" s="81" t="s">
        <v>15</v>
      </c>
      <c r="DI253" s="81">
        <f t="shared" si="195"/>
        <v>0</v>
      </c>
      <c r="DJ253" s="81">
        <f t="shared" si="196"/>
        <v>0</v>
      </c>
      <c r="DK253" s="81" t="s">
        <v>5475</v>
      </c>
      <c r="DL253" s="81">
        <f t="shared" si="197"/>
        <v>0</v>
      </c>
      <c r="DM253" s="81">
        <f t="shared" si="198"/>
        <v>0</v>
      </c>
      <c r="DN253" s="81" t="s">
        <v>7</v>
      </c>
      <c r="DO253" s="81">
        <f t="shared" si="199"/>
        <v>0</v>
      </c>
      <c r="DP253" s="81">
        <f t="shared" si="200"/>
        <v>0</v>
      </c>
      <c r="DQ253" s="81" t="s">
        <v>1</v>
      </c>
      <c r="DR253" s="81">
        <f t="shared" si="201"/>
        <v>0</v>
      </c>
      <c r="DS253" s="81">
        <f t="shared" si="202"/>
        <v>0</v>
      </c>
    </row>
    <row r="254" spans="14:123" x14ac:dyDescent="0.3">
      <c r="N254" s="81">
        <f>IF(Q255=0,IF(Q254=0,,"x"),)</f>
        <v>0</v>
      </c>
      <c r="O254" s="81">
        <f t="shared" si="203"/>
        <v>0</v>
      </c>
      <c r="P254" s="81">
        <f t="shared" si="168"/>
        <v>0</v>
      </c>
      <c r="Q254" s="81">
        <f t="shared" si="204"/>
        <v>0</v>
      </c>
      <c r="R254" s="81">
        <f>IF(W254="",,SUM($W$4:W254))</f>
        <v>0</v>
      </c>
      <c r="S254" s="81">
        <f t="shared" si="169"/>
        <v>0</v>
      </c>
      <c r="T254" s="81">
        <f t="shared" si="205"/>
        <v>0</v>
      </c>
      <c r="U254" s="81">
        <f t="shared" si="170"/>
        <v>0</v>
      </c>
      <c r="AE254" s="81">
        <v>254</v>
      </c>
      <c r="AI254" s="81">
        <v>251</v>
      </c>
      <c r="AJ254" s="81" t="str">
        <f t="shared" si="161"/>
        <v>Juli 39</v>
      </c>
      <c r="AK254" s="81" t="str">
        <f t="shared" si="207"/>
        <v>Juli</v>
      </c>
      <c r="AL254" s="81">
        <f t="shared" si="206"/>
        <v>39</v>
      </c>
      <c r="AM254" s="81" t="str">
        <f t="shared" si="171"/>
        <v>='Juli 39'!</v>
      </c>
      <c r="AN254" s="81" t="str">
        <f t="shared" si="165"/>
        <v>='Juli 39'!C27</v>
      </c>
      <c r="AO254" s="81" t="s">
        <v>1254</v>
      </c>
      <c r="AR254" s="81" t="s">
        <v>314</v>
      </c>
      <c r="AS254" s="83" t="str">
        <f t="shared" si="162"/>
        <v>='Juli 39'!C6</v>
      </c>
      <c r="AT254" s="83">
        <f t="shared" si="163"/>
        <v>0</v>
      </c>
      <c r="AV254" s="81" t="s">
        <v>615</v>
      </c>
      <c r="AW254" s="81" t="s">
        <v>4068</v>
      </c>
      <c r="AX254" s="81" t="s">
        <v>4069</v>
      </c>
      <c r="AY254" s="81" t="s">
        <v>4070</v>
      </c>
      <c r="AZ254" s="81" t="s">
        <v>4071</v>
      </c>
      <c r="BA254" s="81" t="s">
        <v>4072</v>
      </c>
      <c r="BB254" s="81" t="s">
        <v>4073</v>
      </c>
      <c r="BC254" s="81" t="s">
        <v>4074</v>
      </c>
      <c r="BD254" s="81" t="s">
        <v>4075</v>
      </c>
      <c r="BE254" s="81" t="s">
        <v>4076</v>
      </c>
      <c r="BF254" s="81" t="s">
        <v>4077</v>
      </c>
      <c r="BG254" s="81" t="s">
        <v>4078</v>
      </c>
      <c r="BH254" s="81" t="s">
        <v>4871</v>
      </c>
      <c r="BI254" s="81" t="s">
        <v>5175</v>
      </c>
      <c r="BJ254" s="81" t="s">
        <v>314</v>
      </c>
      <c r="BL254" s="81" t="s">
        <v>918</v>
      </c>
      <c r="BM254" s="81">
        <v>251</v>
      </c>
      <c r="BN254" s="81" t="str">
        <f t="shared" si="164"/>
        <v>='Juli 39'!C12</v>
      </c>
      <c r="BP254" s="81" t="str">
        <f t="shared" ca="1" si="172"/>
        <v/>
      </c>
      <c r="BR254" s="84">
        <f t="shared" si="166"/>
        <v>0</v>
      </c>
      <c r="BS254" s="84">
        <f t="shared" si="167"/>
        <v>0</v>
      </c>
      <c r="CA254" s="81" t="s">
        <v>2</v>
      </c>
      <c r="CB254" s="81">
        <f t="shared" si="173"/>
        <v>0</v>
      </c>
      <c r="CC254" s="81">
        <f t="shared" si="174"/>
        <v>0</v>
      </c>
      <c r="CD254" s="81" t="s">
        <v>16</v>
      </c>
      <c r="CE254" s="81">
        <f t="shared" si="175"/>
        <v>0</v>
      </c>
      <c r="CF254" s="81">
        <f t="shared" si="176"/>
        <v>0</v>
      </c>
      <c r="CG254" s="81" t="s">
        <v>5</v>
      </c>
      <c r="CH254" s="81">
        <f t="shared" si="177"/>
        <v>0</v>
      </c>
      <c r="CI254" s="81">
        <f t="shared" si="178"/>
        <v>0</v>
      </c>
      <c r="CJ254" s="81" t="s">
        <v>18</v>
      </c>
      <c r="CK254" s="81">
        <f t="shared" si="179"/>
        <v>0</v>
      </c>
      <c r="CL254" s="81">
        <f t="shared" si="180"/>
        <v>0</v>
      </c>
      <c r="CM254" s="81" t="s">
        <v>4</v>
      </c>
      <c r="CN254" s="81">
        <f t="shared" si="181"/>
        <v>0</v>
      </c>
      <c r="CO254" s="81">
        <f t="shared" si="182"/>
        <v>0</v>
      </c>
      <c r="CP254" s="81" t="s">
        <v>22</v>
      </c>
      <c r="CQ254" s="81">
        <f t="shared" si="183"/>
        <v>0</v>
      </c>
      <c r="CR254" s="81">
        <f t="shared" si="184"/>
        <v>0</v>
      </c>
      <c r="CS254" s="81" t="s">
        <v>21</v>
      </c>
      <c r="CT254" s="81">
        <f t="shared" si="185"/>
        <v>0</v>
      </c>
      <c r="CU254" s="81">
        <f t="shared" si="186"/>
        <v>0</v>
      </c>
      <c r="CV254" s="81" t="s">
        <v>998</v>
      </c>
      <c r="CW254" s="81">
        <f t="shared" si="187"/>
        <v>0</v>
      </c>
      <c r="CX254" s="81">
        <f t="shared" si="188"/>
        <v>0</v>
      </c>
      <c r="CY254" s="81" t="s">
        <v>19</v>
      </c>
      <c r="CZ254" s="81">
        <f t="shared" si="189"/>
        <v>0</v>
      </c>
      <c r="DA254" s="81">
        <f t="shared" si="190"/>
        <v>0</v>
      </c>
      <c r="DB254" s="81" t="s">
        <v>20</v>
      </c>
      <c r="DC254" s="81">
        <f t="shared" si="191"/>
        <v>0</v>
      </c>
      <c r="DD254" s="81">
        <f t="shared" si="192"/>
        <v>0</v>
      </c>
      <c r="DE254" s="81" t="s">
        <v>23</v>
      </c>
      <c r="DF254" s="81">
        <f t="shared" si="193"/>
        <v>0</v>
      </c>
      <c r="DG254" s="81">
        <f t="shared" si="194"/>
        <v>0</v>
      </c>
      <c r="DH254" s="81" t="s">
        <v>15</v>
      </c>
      <c r="DI254" s="81">
        <f t="shared" si="195"/>
        <v>0</v>
      </c>
      <c r="DJ254" s="81">
        <f t="shared" si="196"/>
        <v>0</v>
      </c>
      <c r="DK254" s="81" t="s">
        <v>5476</v>
      </c>
      <c r="DL254" s="81">
        <f t="shared" si="197"/>
        <v>0</v>
      </c>
      <c r="DM254" s="81">
        <f t="shared" si="198"/>
        <v>0</v>
      </c>
      <c r="DN254" s="81" t="s">
        <v>7</v>
      </c>
      <c r="DO254" s="81">
        <f t="shared" si="199"/>
        <v>0</v>
      </c>
      <c r="DP254" s="81">
        <f t="shared" si="200"/>
        <v>0</v>
      </c>
      <c r="DQ254" s="81" t="s">
        <v>1</v>
      </c>
      <c r="DR254" s="81">
        <f t="shared" si="201"/>
        <v>0</v>
      </c>
      <c r="DS254" s="81">
        <f t="shared" si="202"/>
        <v>0</v>
      </c>
    </row>
    <row r="255" spans="14:123" x14ac:dyDescent="0.3">
      <c r="N255" s="81">
        <f>IF(Q256=0,IF(Q255=0,,"x"),)</f>
        <v>0</v>
      </c>
      <c r="O255" s="81">
        <f t="shared" si="203"/>
        <v>0</v>
      </c>
      <c r="P255" s="81">
        <f t="shared" si="168"/>
        <v>0</v>
      </c>
      <c r="Q255" s="81">
        <f t="shared" si="204"/>
        <v>0</v>
      </c>
      <c r="R255" s="81">
        <f>IF(W255="",,SUM($W$4:W255))</f>
        <v>0</v>
      </c>
      <c r="S255" s="81">
        <f t="shared" si="169"/>
        <v>0</v>
      </c>
      <c r="T255" s="81">
        <f t="shared" si="205"/>
        <v>0</v>
      </c>
      <c r="U255" s="81">
        <f t="shared" si="170"/>
        <v>0</v>
      </c>
      <c r="AE255" s="81">
        <v>255</v>
      </c>
      <c r="AI255" s="81">
        <v>252</v>
      </c>
      <c r="AJ255" s="81" t="str">
        <f t="shared" si="161"/>
        <v>Augusti 39</v>
      </c>
      <c r="AK255" s="81" t="str">
        <f t="shared" si="207"/>
        <v>Augusti</v>
      </c>
      <c r="AL255" s="81">
        <f t="shared" si="206"/>
        <v>39</v>
      </c>
      <c r="AM255" s="81" t="str">
        <f t="shared" si="171"/>
        <v>='Augusti 39'!</v>
      </c>
      <c r="AN255" s="81" t="str">
        <f t="shared" si="165"/>
        <v>='Augusti 39'!C27</v>
      </c>
      <c r="AO255" s="81" t="s">
        <v>1255</v>
      </c>
      <c r="AR255" s="81" t="s">
        <v>315</v>
      </c>
      <c r="AS255" s="83" t="str">
        <f t="shared" si="162"/>
        <v>='Augusti 39'!C6</v>
      </c>
      <c r="AT255" s="83">
        <f t="shared" si="163"/>
        <v>0</v>
      </c>
      <c r="AV255" s="81" t="s">
        <v>616</v>
      </c>
      <c r="AW255" s="81" t="s">
        <v>4079</v>
      </c>
      <c r="AX255" s="81" t="s">
        <v>4080</v>
      </c>
      <c r="AY255" s="81" t="s">
        <v>4081</v>
      </c>
      <c r="AZ255" s="81" t="s">
        <v>4082</v>
      </c>
      <c r="BA255" s="81" t="s">
        <v>4083</v>
      </c>
      <c r="BB255" s="81" t="s">
        <v>4084</v>
      </c>
      <c r="BC255" s="81" t="s">
        <v>4085</v>
      </c>
      <c r="BD255" s="81" t="s">
        <v>4086</v>
      </c>
      <c r="BE255" s="81" t="s">
        <v>4087</v>
      </c>
      <c r="BF255" s="81" t="s">
        <v>4088</v>
      </c>
      <c r="BG255" s="81" t="s">
        <v>4089</v>
      </c>
      <c r="BH255" s="81" t="s">
        <v>4872</v>
      </c>
      <c r="BI255" s="81" t="s">
        <v>5176</v>
      </c>
      <c r="BJ255" s="81" t="s">
        <v>315</v>
      </c>
      <c r="BL255" s="81" t="s">
        <v>919</v>
      </c>
      <c r="BM255" s="81">
        <v>252</v>
      </c>
      <c r="BN255" s="81" t="str">
        <f t="shared" si="164"/>
        <v>='Augusti 39'!C12</v>
      </c>
      <c r="BP255" s="81" t="str">
        <f t="shared" ca="1" si="172"/>
        <v/>
      </c>
      <c r="BR255" s="84">
        <f t="shared" si="166"/>
        <v>0</v>
      </c>
      <c r="BS255" s="84">
        <f t="shared" si="167"/>
        <v>0</v>
      </c>
      <c r="CA255" s="81" t="s">
        <v>2</v>
      </c>
      <c r="CB255" s="81">
        <f t="shared" si="173"/>
        <v>0</v>
      </c>
      <c r="CC255" s="81">
        <f t="shared" si="174"/>
        <v>0</v>
      </c>
      <c r="CD255" s="81" t="s">
        <v>16</v>
      </c>
      <c r="CE255" s="81">
        <f t="shared" si="175"/>
        <v>0</v>
      </c>
      <c r="CF255" s="81">
        <f t="shared" si="176"/>
        <v>0</v>
      </c>
      <c r="CG255" s="81" t="s">
        <v>5</v>
      </c>
      <c r="CH255" s="81">
        <f t="shared" si="177"/>
        <v>0</v>
      </c>
      <c r="CI255" s="81">
        <f t="shared" si="178"/>
        <v>0</v>
      </c>
      <c r="CJ255" s="81" t="s">
        <v>18</v>
      </c>
      <c r="CK255" s="81">
        <f t="shared" si="179"/>
        <v>0</v>
      </c>
      <c r="CL255" s="81">
        <f t="shared" si="180"/>
        <v>0</v>
      </c>
      <c r="CM255" s="81" t="s">
        <v>4</v>
      </c>
      <c r="CN255" s="81">
        <f t="shared" si="181"/>
        <v>0</v>
      </c>
      <c r="CO255" s="81">
        <f t="shared" si="182"/>
        <v>0</v>
      </c>
      <c r="CP255" s="81" t="s">
        <v>22</v>
      </c>
      <c r="CQ255" s="81">
        <f t="shared" si="183"/>
        <v>0</v>
      </c>
      <c r="CR255" s="81">
        <f t="shared" si="184"/>
        <v>0</v>
      </c>
      <c r="CS255" s="81" t="s">
        <v>21</v>
      </c>
      <c r="CT255" s="81">
        <f t="shared" si="185"/>
        <v>0</v>
      </c>
      <c r="CU255" s="81">
        <f t="shared" si="186"/>
        <v>0</v>
      </c>
      <c r="CV255" s="81" t="s">
        <v>998</v>
      </c>
      <c r="CW255" s="81">
        <f t="shared" si="187"/>
        <v>0</v>
      </c>
      <c r="CX255" s="81">
        <f t="shared" si="188"/>
        <v>0</v>
      </c>
      <c r="CY255" s="81" t="s">
        <v>19</v>
      </c>
      <c r="CZ255" s="81">
        <f t="shared" si="189"/>
        <v>0</v>
      </c>
      <c r="DA255" s="81">
        <f t="shared" si="190"/>
        <v>0</v>
      </c>
      <c r="DB255" s="81" t="s">
        <v>20</v>
      </c>
      <c r="DC255" s="81">
        <f t="shared" si="191"/>
        <v>0</v>
      </c>
      <c r="DD255" s="81">
        <f t="shared" si="192"/>
        <v>0</v>
      </c>
      <c r="DE255" s="81" t="s">
        <v>23</v>
      </c>
      <c r="DF255" s="81">
        <f t="shared" si="193"/>
        <v>0</v>
      </c>
      <c r="DG255" s="81">
        <f t="shared" si="194"/>
        <v>0</v>
      </c>
      <c r="DH255" s="81" t="s">
        <v>15</v>
      </c>
      <c r="DI255" s="81">
        <f t="shared" si="195"/>
        <v>0</v>
      </c>
      <c r="DJ255" s="81">
        <f t="shared" si="196"/>
        <v>0</v>
      </c>
      <c r="DK255" s="81" t="s">
        <v>5477</v>
      </c>
      <c r="DL255" s="81">
        <f t="shared" si="197"/>
        <v>0</v>
      </c>
      <c r="DM255" s="81">
        <f t="shared" si="198"/>
        <v>0</v>
      </c>
      <c r="DN255" s="81" t="s">
        <v>7</v>
      </c>
      <c r="DO255" s="81">
        <f t="shared" si="199"/>
        <v>0</v>
      </c>
      <c r="DP255" s="81">
        <f t="shared" si="200"/>
        <v>0</v>
      </c>
      <c r="DQ255" s="81" t="s">
        <v>1</v>
      </c>
      <c r="DR255" s="81">
        <f t="shared" si="201"/>
        <v>0</v>
      </c>
      <c r="DS255" s="81">
        <f t="shared" si="202"/>
        <v>0</v>
      </c>
    </row>
    <row r="256" spans="14:123" x14ac:dyDescent="0.3">
      <c r="N256" s="81">
        <f>IF(Q257=0,IF(Q256=0,,"x"),)</f>
        <v>0</v>
      </c>
      <c r="O256" s="81">
        <f t="shared" si="203"/>
        <v>0</v>
      </c>
      <c r="P256" s="81">
        <f t="shared" si="168"/>
        <v>0</v>
      </c>
      <c r="Q256" s="81">
        <f t="shared" si="204"/>
        <v>0</v>
      </c>
      <c r="R256" s="81">
        <f>IF(W256="",,SUM($W$4:W256))</f>
        <v>0</v>
      </c>
      <c r="S256" s="81">
        <f t="shared" si="169"/>
        <v>0</v>
      </c>
      <c r="T256" s="81">
        <f t="shared" si="205"/>
        <v>0</v>
      </c>
      <c r="U256" s="81">
        <f t="shared" si="170"/>
        <v>0</v>
      </c>
      <c r="AE256" s="81">
        <v>256</v>
      </c>
      <c r="AI256" s="81">
        <v>253</v>
      </c>
      <c r="AJ256" s="81" t="str">
        <f t="shared" si="161"/>
        <v>September 39</v>
      </c>
      <c r="AK256" s="81" t="str">
        <f t="shared" si="207"/>
        <v>September</v>
      </c>
      <c r="AL256" s="81">
        <f t="shared" si="206"/>
        <v>39</v>
      </c>
      <c r="AM256" s="81" t="str">
        <f t="shared" si="171"/>
        <v>='September 39'!</v>
      </c>
      <c r="AN256" s="81" t="str">
        <f t="shared" si="165"/>
        <v>='September 39'!C27</v>
      </c>
      <c r="AO256" s="81" t="s">
        <v>1256</v>
      </c>
      <c r="AR256" s="81" t="s">
        <v>316</v>
      </c>
      <c r="AS256" s="83" t="str">
        <f t="shared" si="162"/>
        <v>='September 39'!C6</v>
      </c>
      <c r="AT256" s="83">
        <f t="shared" si="163"/>
        <v>0</v>
      </c>
      <c r="AV256" s="81" t="s">
        <v>617</v>
      </c>
      <c r="AW256" s="81" t="s">
        <v>4090</v>
      </c>
      <c r="AX256" s="81" t="s">
        <v>4091</v>
      </c>
      <c r="AY256" s="81" t="s">
        <v>4092</v>
      </c>
      <c r="AZ256" s="81" t="s">
        <v>4093</v>
      </c>
      <c r="BA256" s="81" t="s">
        <v>4094</v>
      </c>
      <c r="BB256" s="81" t="s">
        <v>4095</v>
      </c>
      <c r="BC256" s="81" t="s">
        <v>4096</v>
      </c>
      <c r="BD256" s="81" t="s">
        <v>4097</v>
      </c>
      <c r="BE256" s="81" t="s">
        <v>4098</v>
      </c>
      <c r="BF256" s="81" t="s">
        <v>4099</v>
      </c>
      <c r="BG256" s="81" t="s">
        <v>4100</v>
      </c>
      <c r="BH256" s="81" t="s">
        <v>4873</v>
      </c>
      <c r="BI256" s="81" t="s">
        <v>5177</v>
      </c>
      <c r="BJ256" s="81" t="s">
        <v>316</v>
      </c>
      <c r="BL256" s="81" t="s">
        <v>920</v>
      </c>
      <c r="BM256" s="81">
        <v>253</v>
      </c>
      <c r="BN256" s="81" t="str">
        <f t="shared" si="164"/>
        <v>='September 39'!C12</v>
      </c>
      <c r="BP256" s="81" t="str">
        <f t="shared" ca="1" si="172"/>
        <v/>
      </c>
      <c r="BR256" s="84">
        <f t="shared" si="166"/>
        <v>0</v>
      </c>
      <c r="BS256" s="84">
        <f t="shared" si="167"/>
        <v>0</v>
      </c>
      <c r="CA256" s="81" t="s">
        <v>2</v>
      </c>
      <c r="CB256" s="81">
        <f t="shared" si="173"/>
        <v>0</v>
      </c>
      <c r="CC256" s="81">
        <f t="shared" si="174"/>
        <v>0</v>
      </c>
      <c r="CD256" s="81" t="s">
        <v>16</v>
      </c>
      <c r="CE256" s="81">
        <f t="shared" si="175"/>
        <v>0</v>
      </c>
      <c r="CF256" s="81">
        <f t="shared" si="176"/>
        <v>0</v>
      </c>
      <c r="CG256" s="81" t="s">
        <v>5</v>
      </c>
      <c r="CH256" s="81">
        <f t="shared" si="177"/>
        <v>0</v>
      </c>
      <c r="CI256" s="81">
        <f t="shared" si="178"/>
        <v>0</v>
      </c>
      <c r="CJ256" s="81" t="s">
        <v>18</v>
      </c>
      <c r="CK256" s="81">
        <f t="shared" si="179"/>
        <v>0</v>
      </c>
      <c r="CL256" s="81">
        <f t="shared" si="180"/>
        <v>0</v>
      </c>
      <c r="CM256" s="81" t="s">
        <v>4</v>
      </c>
      <c r="CN256" s="81">
        <f t="shared" si="181"/>
        <v>0</v>
      </c>
      <c r="CO256" s="81">
        <f t="shared" si="182"/>
        <v>0</v>
      </c>
      <c r="CP256" s="81" t="s">
        <v>22</v>
      </c>
      <c r="CQ256" s="81">
        <f t="shared" si="183"/>
        <v>0</v>
      </c>
      <c r="CR256" s="81">
        <f t="shared" si="184"/>
        <v>0</v>
      </c>
      <c r="CS256" s="81" t="s">
        <v>21</v>
      </c>
      <c r="CT256" s="81">
        <f t="shared" si="185"/>
        <v>0</v>
      </c>
      <c r="CU256" s="81">
        <f t="shared" si="186"/>
        <v>0</v>
      </c>
      <c r="CV256" s="81" t="s">
        <v>998</v>
      </c>
      <c r="CW256" s="81">
        <f t="shared" si="187"/>
        <v>0</v>
      </c>
      <c r="CX256" s="81">
        <f t="shared" si="188"/>
        <v>0</v>
      </c>
      <c r="CY256" s="81" t="s">
        <v>19</v>
      </c>
      <c r="CZ256" s="81">
        <f t="shared" si="189"/>
        <v>0</v>
      </c>
      <c r="DA256" s="81">
        <f t="shared" si="190"/>
        <v>0</v>
      </c>
      <c r="DB256" s="81" t="s">
        <v>20</v>
      </c>
      <c r="DC256" s="81">
        <f t="shared" si="191"/>
        <v>0</v>
      </c>
      <c r="DD256" s="81">
        <f t="shared" si="192"/>
        <v>0</v>
      </c>
      <c r="DE256" s="81" t="s">
        <v>23</v>
      </c>
      <c r="DF256" s="81">
        <f t="shared" si="193"/>
        <v>0</v>
      </c>
      <c r="DG256" s="81">
        <f t="shared" si="194"/>
        <v>0</v>
      </c>
      <c r="DH256" s="81" t="s">
        <v>15</v>
      </c>
      <c r="DI256" s="81">
        <f t="shared" si="195"/>
        <v>0</v>
      </c>
      <c r="DJ256" s="81">
        <f t="shared" si="196"/>
        <v>0</v>
      </c>
      <c r="DK256" s="81" t="s">
        <v>5478</v>
      </c>
      <c r="DL256" s="81">
        <f t="shared" si="197"/>
        <v>0</v>
      </c>
      <c r="DM256" s="81">
        <f t="shared" si="198"/>
        <v>0</v>
      </c>
      <c r="DN256" s="81" t="s">
        <v>7</v>
      </c>
      <c r="DO256" s="81">
        <f t="shared" si="199"/>
        <v>0</v>
      </c>
      <c r="DP256" s="81">
        <f t="shared" si="200"/>
        <v>0</v>
      </c>
      <c r="DQ256" s="81" t="s">
        <v>1</v>
      </c>
      <c r="DR256" s="81">
        <f t="shared" si="201"/>
        <v>0</v>
      </c>
      <c r="DS256" s="81">
        <f t="shared" si="202"/>
        <v>0</v>
      </c>
    </row>
    <row r="257" spans="14:123" x14ac:dyDescent="0.3">
      <c r="N257" s="81">
        <f>IF(Q258=0,IF(Q257=0,,"x"),)</f>
        <v>0</v>
      </c>
      <c r="O257" s="81">
        <f t="shared" si="203"/>
        <v>0</v>
      </c>
      <c r="P257" s="81">
        <f t="shared" si="168"/>
        <v>0</v>
      </c>
      <c r="Q257" s="81">
        <f t="shared" si="204"/>
        <v>0</v>
      </c>
      <c r="R257" s="81">
        <f>IF(W257="",,SUM($W$4:W257))</f>
        <v>0</v>
      </c>
      <c r="S257" s="81">
        <f t="shared" si="169"/>
        <v>0</v>
      </c>
      <c r="T257" s="81">
        <f t="shared" si="205"/>
        <v>0</v>
      </c>
      <c r="U257" s="81">
        <f t="shared" si="170"/>
        <v>0</v>
      </c>
      <c r="AE257" s="81">
        <v>257</v>
      </c>
      <c r="AI257" s="81">
        <v>254</v>
      </c>
      <c r="AJ257" s="81" t="str">
        <f t="shared" si="161"/>
        <v>Oktober 39</v>
      </c>
      <c r="AK257" s="81" t="str">
        <f t="shared" si="207"/>
        <v>Oktober</v>
      </c>
      <c r="AL257" s="81">
        <f t="shared" si="206"/>
        <v>39</v>
      </c>
      <c r="AM257" s="81" t="str">
        <f t="shared" si="171"/>
        <v>='Oktober 39'!</v>
      </c>
      <c r="AN257" s="81" t="str">
        <f t="shared" si="165"/>
        <v>='Oktober 39'!C27</v>
      </c>
      <c r="AO257" s="81" t="s">
        <v>1257</v>
      </c>
      <c r="AR257" s="81" t="s">
        <v>317</v>
      </c>
      <c r="AS257" s="83" t="str">
        <f t="shared" si="162"/>
        <v>='Oktober 39'!C6</v>
      </c>
      <c r="AT257" s="83">
        <f t="shared" si="163"/>
        <v>0</v>
      </c>
      <c r="AV257" s="81" t="s">
        <v>618</v>
      </c>
      <c r="AW257" s="81" t="s">
        <v>4101</v>
      </c>
      <c r="AX257" s="81" t="s">
        <v>4102</v>
      </c>
      <c r="AY257" s="81" t="s">
        <v>4103</v>
      </c>
      <c r="AZ257" s="81" t="s">
        <v>4104</v>
      </c>
      <c r="BA257" s="81" t="s">
        <v>4105</v>
      </c>
      <c r="BB257" s="81" t="s">
        <v>4106</v>
      </c>
      <c r="BC257" s="81" t="s">
        <v>4107</v>
      </c>
      <c r="BD257" s="81" t="s">
        <v>4108</v>
      </c>
      <c r="BE257" s="81" t="s">
        <v>4109</v>
      </c>
      <c r="BF257" s="81" t="s">
        <v>4110</v>
      </c>
      <c r="BG257" s="81" t="s">
        <v>4111</v>
      </c>
      <c r="BH257" s="81" t="s">
        <v>4874</v>
      </c>
      <c r="BI257" s="81" t="s">
        <v>5178</v>
      </c>
      <c r="BJ257" s="81" t="s">
        <v>317</v>
      </c>
      <c r="BL257" s="81" t="s">
        <v>921</v>
      </c>
      <c r="BM257" s="81">
        <v>254</v>
      </c>
      <c r="BN257" s="81" t="str">
        <f t="shared" si="164"/>
        <v>='Oktober 39'!C12</v>
      </c>
      <c r="BP257" s="81" t="str">
        <f t="shared" ca="1" si="172"/>
        <v/>
      </c>
      <c r="BR257" s="84">
        <f t="shared" si="166"/>
        <v>0</v>
      </c>
      <c r="BS257" s="84">
        <f t="shared" si="167"/>
        <v>0</v>
      </c>
      <c r="CA257" s="81" t="s">
        <v>2</v>
      </c>
      <c r="CB257" s="81">
        <f t="shared" si="173"/>
        <v>0</v>
      </c>
      <c r="CC257" s="81">
        <f t="shared" si="174"/>
        <v>0</v>
      </c>
      <c r="CD257" s="81" t="s">
        <v>16</v>
      </c>
      <c r="CE257" s="81">
        <f t="shared" si="175"/>
        <v>0</v>
      </c>
      <c r="CF257" s="81">
        <f t="shared" si="176"/>
        <v>0</v>
      </c>
      <c r="CG257" s="81" t="s">
        <v>5</v>
      </c>
      <c r="CH257" s="81">
        <f t="shared" si="177"/>
        <v>0</v>
      </c>
      <c r="CI257" s="81">
        <f t="shared" si="178"/>
        <v>0</v>
      </c>
      <c r="CJ257" s="81" t="s">
        <v>18</v>
      </c>
      <c r="CK257" s="81">
        <f t="shared" si="179"/>
        <v>0</v>
      </c>
      <c r="CL257" s="81">
        <f t="shared" si="180"/>
        <v>0</v>
      </c>
      <c r="CM257" s="81" t="s">
        <v>4</v>
      </c>
      <c r="CN257" s="81">
        <f t="shared" si="181"/>
        <v>0</v>
      </c>
      <c r="CO257" s="81">
        <f t="shared" si="182"/>
        <v>0</v>
      </c>
      <c r="CP257" s="81" t="s">
        <v>22</v>
      </c>
      <c r="CQ257" s="81">
        <f t="shared" si="183"/>
        <v>0</v>
      </c>
      <c r="CR257" s="81">
        <f t="shared" si="184"/>
        <v>0</v>
      </c>
      <c r="CS257" s="81" t="s">
        <v>21</v>
      </c>
      <c r="CT257" s="81">
        <f t="shared" si="185"/>
        <v>0</v>
      </c>
      <c r="CU257" s="81">
        <f t="shared" si="186"/>
        <v>0</v>
      </c>
      <c r="CV257" s="81" t="s">
        <v>998</v>
      </c>
      <c r="CW257" s="81">
        <f t="shared" si="187"/>
        <v>0</v>
      </c>
      <c r="CX257" s="81">
        <f t="shared" si="188"/>
        <v>0</v>
      </c>
      <c r="CY257" s="81" t="s">
        <v>19</v>
      </c>
      <c r="CZ257" s="81">
        <f t="shared" si="189"/>
        <v>0</v>
      </c>
      <c r="DA257" s="81">
        <f t="shared" si="190"/>
        <v>0</v>
      </c>
      <c r="DB257" s="81" t="s">
        <v>20</v>
      </c>
      <c r="DC257" s="81">
        <f t="shared" si="191"/>
        <v>0</v>
      </c>
      <c r="DD257" s="81">
        <f t="shared" si="192"/>
        <v>0</v>
      </c>
      <c r="DE257" s="81" t="s">
        <v>23</v>
      </c>
      <c r="DF257" s="81">
        <f t="shared" si="193"/>
        <v>0</v>
      </c>
      <c r="DG257" s="81">
        <f t="shared" si="194"/>
        <v>0</v>
      </c>
      <c r="DH257" s="81" t="s">
        <v>15</v>
      </c>
      <c r="DI257" s="81">
        <f t="shared" si="195"/>
        <v>0</v>
      </c>
      <c r="DJ257" s="81">
        <f t="shared" si="196"/>
        <v>0</v>
      </c>
      <c r="DK257" s="81" t="s">
        <v>5479</v>
      </c>
      <c r="DL257" s="81">
        <f t="shared" si="197"/>
        <v>0</v>
      </c>
      <c r="DM257" s="81">
        <f t="shared" si="198"/>
        <v>0</v>
      </c>
      <c r="DN257" s="81" t="s">
        <v>7</v>
      </c>
      <c r="DO257" s="81">
        <f t="shared" si="199"/>
        <v>0</v>
      </c>
      <c r="DP257" s="81">
        <f t="shared" si="200"/>
        <v>0</v>
      </c>
      <c r="DQ257" s="81" t="s">
        <v>1</v>
      </c>
      <c r="DR257" s="81">
        <f t="shared" si="201"/>
        <v>0</v>
      </c>
      <c r="DS257" s="81">
        <f t="shared" si="202"/>
        <v>0</v>
      </c>
    </row>
    <row r="258" spans="14:123" x14ac:dyDescent="0.3">
      <c r="N258" s="81">
        <f>IF(Q259=0,IF(Q258=0,,"x"),)</f>
        <v>0</v>
      </c>
      <c r="O258" s="81">
        <f t="shared" si="203"/>
        <v>0</v>
      </c>
      <c r="P258" s="81">
        <f t="shared" si="168"/>
        <v>0</v>
      </c>
      <c r="Q258" s="81">
        <f t="shared" si="204"/>
        <v>0</v>
      </c>
      <c r="R258" s="81">
        <f>IF(W258="",,SUM($W$4:W258))</f>
        <v>0</v>
      </c>
      <c r="S258" s="81">
        <f t="shared" si="169"/>
        <v>0</v>
      </c>
      <c r="T258" s="81">
        <f t="shared" si="205"/>
        <v>0</v>
      </c>
      <c r="U258" s="81">
        <f t="shared" si="170"/>
        <v>0</v>
      </c>
      <c r="AE258" s="81">
        <v>258</v>
      </c>
      <c r="AI258" s="81">
        <v>255</v>
      </c>
      <c r="AJ258" s="81" t="str">
        <f t="shared" si="161"/>
        <v>November 39</v>
      </c>
      <c r="AK258" s="81" t="str">
        <f t="shared" si="207"/>
        <v>November</v>
      </c>
      <c r="AL258" s="81">
        <f t="shared" si="206"/>
        <v>39</v>
      </c>
      <c r="AM258" s="81" t="str">
        <f t="shared" si="171"/>
        <v>='November 39'!</v>
      </c>
      <c r="AN258" s="81" t="str">
        <f t="shared" si="165"/>
        <v>='November 39'!C27</v>
      </c>
      <c r="AO258" s="81" t="s">
        <v>1258</v>
      </c>
      <c r="AR258" s="81" t="s">
        <v>318</v>
      </c>
      <c r="AS258" s="83" t="str">
        <f t="shared" si="162"/>
        <v>='November 39'!C6</v>
      </c>
      <c r="AT258" s="83">
        <f t="shared" si="163"/>
        <v>0</v>
      </c>
      <c r="AV258" s="81" t="s">
        <v>619</v>
      </c>
      <c r="AW258" s="81" t="s">
        <v>4112</v>
      </c>
      <c r="AX258" s="81" t="s">
        <v>4113</v>
      </c>
      <c r="AY258" s="81" t="s">
        <v>4114</v>
      </c>
      <c r="AZ258" s="81" t="s">
        <v>4115</v>
      </c>
      <c r="BA258" s="81" t="s">
        <v>4116</v>
      </c>
      <c r="BB258" s="81" t="s">
        <v>4117</v>
      </c>
      <c r="BC258" s="81" t="s">
        <v>4118</v>
      </c>
      <c r="BD258" s="81" t="s">
        <v>4119</v>
      </c>
      <c r="BE258" s="81" t="s">
        <v>4120</v>
      </c>
      <c r="BF258" s="81" t="s">
        <v>4121</v>
      </c>
      <c r="BG258" s="81" t="s">
        <v>4122</v>
      </c>
      <c r="BH258" s="81" t="s">
        <v>4875</v>
      </c>
      <c r="BI258" s="81" t="s">
        <v>5179</v>
      </c>
      <c r="BJ258" s="81" t="s">
        <v>318</v>
      </c>
      <c r="BL258" s="81" t="s">
        <v>922</v>
      </c>
      <c r="BM258" s="81">
        <v>255</v>
      </c>
      <c r="BN258" s="81" t="str">
        <f t="shared" si="164"/>
        <v>='November 39'!C12</v>
      </c>
      <c r="BP258" s="81" t="str">
        <f t="shared" ca="1" si="172"/>
        <v/>
      </c>
      <c r="BR258" s="84">
        <f t="shared" si="166"/>
        <v>0</v>
      </c>
      <c r="BS258" s="84">
        <f t="shared" si="167"/>
        <v>0</v>
      </c>
      <c r="CA258" s="81" t="s">
        <v>2</v>
      </c>
      <c r="CB258" s="81">
        <f t="shared" si="173"/>
        <v>0</v>
      </c>
      <c r="CC258" s="81">
        <f t="shared" si="174"/>
        <v>0</v>
      </c>
      <c r="CD258" s="81" t="s">
        <v>16</v>
      </c>
      <c r="CE258" s="81">
        <f t="shared" si="175"/>
        <v>0</v>
      </c>
      <c r="CF258" s="81">
        <f t="shared" si="176"/>
        <v>0</v>
      </c>
      <c r="CG258" s="81" t="s">
        <v>5</v>
      </c>
      <c r="CH258" s="81">
        <f t="shared" si="177"/>
        <v>0</v>
      </c>
      <c r="CI258" s="81">
        <f t="shared" si="178"/>
        <v>0</v>
      </c>
      <c r="CJ258" s="81" t="s">
        <v>18</v>
      </c>
      <c r="CK258" s="81">
        <f t="shared" si="179"/>
        <v>0</v>
      </c>
      <c r="CL258" s="81">
        <f t="shared" si="180"/>
        <v>0</v>
      </c>
      <c r="CM258" s="81" t="s">
        <v>4</v>
      </c>
      <c r="CN258" s="81">
        <f t="shared" si="181"/>
        <v>0</v>
      </c>
      <c r="CO258" s="81">
        <f t="shared" si="182"/>
        <v>0</v>
      </c>
      <c r="CP258" s="81" t="s">
        <v>22</v>
      </c>
      <c r="CQ258" s="81">
        <f t="shared" si="183"/>
        <v>0</v>
      </c>
      <c r="CR258" s="81">
        <f t="shared" si="184"/>
        <v>0</v>
      </c>
      <c r="CS258" s="81" t="s">
        <v>21</v>
      </c>
      <c r="CT258" s="81">
        <f t="shared" si="185"/>
        <v>0</v>
      </c>
      <c r="CU258" s="81">
        <f t="shared" si="186"/>
        <v>0</v>
      </c>
      <c r="CV258" s="81" t="s">
        <v>998</v>
      </c>
      <c r="CW258" s="81">
        <f t="shared" si="187"/>
        <v>0</v>
      </c>
      <c r="CX258" s="81">
        <f t="shared" si="188"/>
        <v>0</v>
      </c>
      <c r="CY258" s="81" t="s">
        <v>19</v>
      </c>
      <c r="CZ258" s="81">
        <f t="shared" si="189"/>
        <v>0</v>
      </c>
      <c r="DA258" s="81">
        <f t="shared" si="190"/>
        <v>0</v>
      </c>
      <c r="DB258" s="81" t="s">
        <v>20</v>
      </c>
      <c r="DC258" s="81">
        <f t="shared" si="191"/>
        <v>0</v>
      </c>
      <c r="DD258" s="81">
        <f t="shared" si="192"/>
        <v>0</v>
      </c>
      <c r="DE258" s="81" t="s">
        <v>23</v>
      </c>
      <c r="DF258" s="81">
        <f t="shared" si="193"/>
        <v>0</v>
      </c>
      <c r="DG258" s="81">
        <f t="shared" si="194"/>
        <v>0</v>
      </c>
      <c r="DH258" s="81" t="s">
        <v>15</v>
      </c>
      <c r="DI258" s="81">
        <f t="shared" si="195"/>
        <v>0</v>
      </c>
      <c r="DJ258" s="81">
        <f t="shared" si="196"/>
        <v>0</v>
      </c>
      <c r="DK258" s="81" t="s">
        <v>5480</v>
      </c>
      <c r="DL258" s="81">
        <f t="shared" si="197"/>
        <v>0</v>
      </c>
      <c r="DM258" s="81">
        <f t="shared" si="198"/>
        <v>0</v>
      </c>
      <c r="DN258" s="81" t="s">
        <v>7</v>
      </c>
      <c r="DO258" s="81">
        <f t="shared" si="199"/>
        <v>0</v>
      </c>
      <c r="DP258" s="81">
        <f t="shared" si="200"/>
        <v>0</v>
      </c>
      <c r="DQ258" s="81" t="s">
        <v>1</v>
      </c>
      <c r="DR258" s="81">
        <f t="shared" si="201"/>
        <v>0</v>
      </c>
      <c r="DS258" s="81">
        <f t="shared" si="202"/>
        <v>0</v>
      </c>
    </row>
    <row r="259" spans="14:123" x14ac:dyDescent="0.3">
      <c r="N259" s="81">
        <f>IF(Q260=0,IF(Q259=0,,"x"),)</f>
        <v>0</v>
      </c>
      <c r="O259" s="81">
        <f t="shared" si="203"/>
        <v>0</v>
      </c>
      <c r="P259" s="81">
        <f t="shared" si="168"/>
        <v>0</v>
      </c>
      <c r="Q259" s="81">
        <f t="shared" si="204"/>
        <v>0</v>
      </c>
      <c r="R259" s="81">
        <f>IF(W259="",,SUM($W$4:W259))</f>
        <v>0</v>
      </c>
      <c r="S259" s="81">
        <f t="shared" si="169"/>
        <v>0</v>
      </c>
      <c r="T259" s="81">
        <f t="shared" si="205"/>
        <v>0</v>
      </c>
      <c r="U259" s="81">
        <f t="shared" si="170"/>
        <v>0</v>
      </c>
      <c r="AE259" s="81">
        <v>259</v>
      </c>
      <c r="AI259" s="81">
        <v>256</v>
      </c>
      <c r="AJ259" s="81" t="str">
        <f t="shared" ref="AJ259:AJ322" si="208">AK259&amp;" "&amp;AL259</f>
        <v>December 39</v>
      </c>
      <c r="AK259" s="81" t="str">
        <f t="shared" si="207"/>
        <v>December</v>
      </c>
      <c r="AL259" s="81">
        <f t="shared" si="206"/>
        <v>39</v>
      </c>
      <c r="AM259" s="81" t="str">
        <f t="shared" si="171"/>
        <v>='December 39'!</v>
      </c>
      <c r="AN259" s="81" t="str">
        <f t="shared" si="165"/>
        <v>='December 39'!C27</v>
      </c>
      <c r="AO259" s="81" t="s">
        <v>1259</v>
      </c>
      <c r="AR259" s="81" t="s">
        <v>319</v>
      </c>
      <c r="AS259" s="83" t="str">
        <f t="shared" ref="AS259:AS303" si="209">IF(AR259&gt;$B$12*(1+$C$12),AR259,0)</f>
        <v>='December 39'!C6</v>
      </c>
      <c r="AT259" s="83">
        <f t="shared" ref="AT259:AT303" si="210">IF(AR259&lt;$B$12*(1-$C$12),AR259,0)</f>
        <v>0</v>
      </c>
      <c r="AV259" s="81" t="s">
        <v>620</v>
      </c>
      <c r="AW259" s="81" t="s">
        <v>4123</v>
      </c>
      <c r="AX259" s="81" t="s">
        <v>4124</v>
      </c>
      <c r="AY259" s="81" t="s">
        <v>4125</v>
      </c>
      <c r="AZ259" s="81" t="s">
        <v>4126</v>
      </c>
      <c r="BA259" s="81" t="s">
        <v>4127</v>
      </c>
      <c r="BB259" s="81" t="s">
        <v>4128</v>
      </c>
      <c r="BC259" s="81" t="s">
        <v>4129</v>
      </c>
      <c r="BD259" s="81" t="s">
        <v>4130</v>
      </c>
      <c r="BE259" s="81" t="s">
        <v>4131</v>
      </c>
      <c r="BF259" s="81" t="s">
        <v>4132</v>
      </c>
      <c r="BG259" s="81" t="s">
        <v>4133</v>
      </c>
      <c r="BH259" s="81" t="s">
        <v>4876</v>
      </c>
      <c r="BI259" s="81" t="s">
        <v>5180</v>
      </c>
      <c r="BJ259" s="81" t="s">
        <v>319</v>
      </c>
      <c r="BL259" s="81" t="s">
        <v>923</v>
      </c>
      <c r="BM259" s="81">
        <v>256</v>
      </c>
      <c r="BN259" s="81" t="str">
        <f t="shared" ref="BN259:BN322" si="211">IF($A$5=$A$18,AV259,IF($A$5=$A$19,AW259,IF($A$5=$A$20,AX259,IF($A$5=$A$21,AY259,IF($A$5=$A$22,AZ259,IF($A$5=$A$23,BA259,IF($A$5=$A$24,BB259,IF($A$5=$A$25,BC259,IF($A$5=$A$26,BD259,IF($A$5=$A$27,BE259,IF($A$5=$A$28,BF259,IF($A$5=$A$29,BG259,IF($A$5=$A$30,BH259,IF($A$5=$A$12,BJ259,IF($A$5=$A$31,BI259,"")))))))))))))))</f>
        <v>='December 39'!C12</v>
      </c>
      <c r="BP259" s="81" t="str">
        <f t="shared" ca="1" si="172"/>
        <v/>
      </c>
      <c r="BR259" s="84">
        <f t="shared" si="166"/>
        <v>0</v>
      </c>
      <c r="BS259" s="84">
        <f t="shared" si="167"/>
        <v>0</v>
      </c>
      <c r="CA259" s="81" t="s">
        <v>2</v>
      </c>
      <c r="CB259" s="81">
        <f t="shared" si="173"/>
        <v>0</v>
      </c>
      <c r="CC259" s="81">
        <f t="shared" si="174"/>
        <v>0</v>
      </c>
      <c r="CD259" s="81" t="s">
        <v>16</v>
      </c>
      <c r="CE259" s="81">
        <f t="shared" si="175"/>
        <v>0</v>
      </c>
      <c r="CF259" s="81">
        <f t="shared" si="176"/>
        <v>0</v>
      </c>
      <c r="CG259" s="81" t="s">
        <v>5</v>
      </c>
      <c r="CH259" s="81">
        <f t="shared" si="177"/>
        <v>0</v>
      </c>
      <c r="CI259" s="81">
        <f t="shared" si="178"/>
        <v>0</v>
      </c>
      <c r="CJ259" s="81" t="s">
        <v>18</v>
      </c>
      <c r="CK259" s="81">
        <f t="shared" si="179"/>
        <v>0</v>
      </c>
      <c r="CL259" s="81">
        <f t="shared" si="180"/>
        <v>0</v>
      </c>
      <c r="CM259" s="81" t="s">
        <v>4</v>
      </c>
      <c r="CN259" s="81">
        <f t="shared" si="181"/>
        <v>0</v>
      </c>
      <c r="CO259" s="81">
        <f t="shared" si="182"/>
        <v>0</v>
      </c>
      <c r="CP259" s="81" t="s">
        <v>22</v>
      </c>
      <c r="CQ259" s="81">
        <f t="shared" si="183"/>
        <v>0</v>
      </c>
      <c r="CR259" s="81">
        <f t="shared" si="184"/>
        <v>0</v>
      </c>
      <c r="CS259" s="81" t="s">
        <v>21</v>
      </c>
      <c r="CT259" s="81">
        <f t="shared" si="185"/>
        <v>0</v>
      </c>
      <c r="CU259" s="81">
        <f t="shared" si="186"/>
        <v>0</v>
      </c>
      <c r="CV259" s="81" t="s">
        <v>998</v>
      </c>
      <c r="CW259" s="81">
        <f t="shared" si="187"/>
        <v>0</v>
      </c>
      <c r="CX259" s="81">
        <f t="shared" si="188"/>
        <v>0</v>
      </c>
      <c r="CY259" s="81" t="s">
        <v>19</v>
      </c>
      <c r="CZ259" s="81">
        <f t="shared" si="189"/>
        <v>0</v>
      </c>
      <c r="DA259" s="81">
        <f t="shared" si="190"/>
        <v>0</v>
      </c>
      <c r="DB259" s="81" t="s">
        <v>20</v>
      </c>
      <c r="DC259" s="81">
        <f t="shared" si="191"/>
        <v>0</v>
      </c>
      <c r="DD259" s="81">
        <f t="shared" si="192"/>
        <v>0</v>
      </c>
      <c r="DE259" s="81" t="s">
        <v>23</v>
      </c>
      <c r="DF259" s="81">
        <f t="shared" si="193"/>
        <v>0</v>
      </c>
      <c r="DG259" s="81">
        <f t="shared" si="194"/>
        <v>0</v>
      </c>
      <c r="DH259" s="81" t="s">
        <v>15</v>
      </c>
      <c r="DI259" s="81">
        <f t="shared" si="195"/>
        <v>0</v>
      </c>
      <c r="DJ259" s="81">
        <f t="shared" si="196"/>
        <v>0</v>
      </c>
      <c r="DK259" s="81" t="s">
        <v>5481</v>
      </c>
      <c r="DL259" s="81">
        <f t="shared" si="197"/>
        <v>0</v>
      </c>
      <c r="DM259" s="81">
        <f t="shared" si="198"/>
        <v>0</v>
      </c>
      <c r="DN259" s="81" t="s">
        <v>7</v>
      </c>
      <c r="DO259" s="81">
        <f t="shared" si="199"/>
        <v>0</v>
      </c>
      <c r="DP259" s="81">
        <f t="shared" si="200"/>
        <v>0</v>
      </c>
      <c r="DQ259" s="81" t="s">
        <v>1</v>
      </c>
      <c r="DR259" s="81">
        <f t="shared" si="201"/>
        <v>0</v>
      </c>
      <c r="DS259" s="81">
        <f t="shared" si="202"/>
        <v>0</v>
      </c>
    </row>
    <row r="260" spans="14:123" x14ac:dyDescent="0.3">
      <c r="N260" s="81">
        <f>IF(Q261=0,IF(Q260=0,,"x"),)</f>
        <v>0</v>
      </c>
      <c r="O260" s="81">
        <f t="shared" si="203"/>
        <v>0</v>
      </c>
      <c r="P260" s="81">
        <f t="shared" si="168"/>
        <v>0</v>
      </c>
      <c r="Q260" s="81">
        <f t="shared" si="204"/>
        <v>0</v>
      </c>
      <c r="R260" s="81">
        <f>IF(W260="",,SUM($W$4:W260))</f>
        <v>0</v>
      </c>
      <c r="S260" s="81">
        <f t="shared" si="169"/>
        <v>0</v>
      </c>
      <c r="T260" s="81">
        <f t="shared" si="205"/>
        <v>0</v>
      </c>
      <c r="U260" s="81">
        <f t="shared" si="170"/>
        <v>0</v>
      </c>
      <c r="AE260" s="81">
        <v>260</v>
      </c>
      <c r="AI260" s="81">
        <v>257</v>
      </c>
      <c r="AJ260" s="81" t="str">
        <f t="shared" si="208"/>
        <v>Januari 40</v>
      </c>
      <c r="AK260" s="81" t="str">
        <f t="shared" si="207"/>
        <v>Januari</v>
      </c>
      <c r="AL260" s="81">
        <f t="shared" si="206"/>
        <v>40</v>
      </c>
      <c r="AM260" s="81" t="str">
        <f t="shared" si="171"/>
        <v>='Januari 40'!</v>
      </c>
      <c r="AN260" s="81" t="str">
        <f t="shared" ref="AN260:AN303" si="212">AM260&amp;"C27"</f>
        <v>='Januari 40'!C27</v>
      </c>
      <c r="AO260" s="81" t="s">
        <v>1260</v>
      </c>
      <c r="AR260" s="81" t="s">
        <v>320</v>
      </c>
      <c r="AS260" s="83" t="str">
        <f t="shared" si="209"/>
        <v>='Januari 40'!C6</v>
      </c>
      <c r="AT260" s="83">
        <f t="shared" si="210"/>
        <v>0</v>
      </c>
      <c r="AV260" s="81" t="s">
        <v>621</v>
      </c>
      <c r="AW260" s="81" t="s">
        <v>4134</v>
      </c>
      <c r="AX260" s="81" t="s">
        <v>4135</v>
      </c>
      <c r="AY260" s="81" t="s">
        <v>4136</v>
      </c>
      <c r="AZ260" s="81" t="s">
        <v>4137</v>
      </c>
      <c r="BA260" s="81" t="s">
        <v>4138</v>
      </c>
      <c r="BB260" s="81" t="s">
        <v>4139</v>
      </c>
      <c r="BC260" s="81" t="s">
        <v>4140</v>
      </c>
      <c r="BD260" s="81" t="s">
        <v>4141</v>
      </c>
      <c r="BE260" s="81" t="s">
        <v>4142</v>
      </c>
      <c r="BF260" s="81" t="s">
        <v>4143</v>
      </c>
      <c r="BG260" s="81" t="s">
        <v>4144</v>
      </c>
      <c r="BH260" s="81" t="s">
        <v>4877</v>
      </c>
      <c r="BI260" s="81" t="s">
        <v>5181</v>
      </c>
      <c r="BJ260" s="81" t="s">
        <v>320</v>
      </c>
      <c r="BL260" s="81" t="s">
        <v>924</v>
      </c>
      <c r="BM260" s="81">
        <v>257</v>
      </c>
      <c r="BN260" s="81" t="str">
        <f t="shared" si="211"/>
        <v>='Januari 40'!C12</v>
      </c>
      <c r="BP260" s="81" t="str">
        <f t="shared" ca="1" si="172"/>
        <v/>
      </c>
      <c r="BR260" s="84">
        <f t="shared" ref="BR260:BR279" si="213">IF($A$5=$A$18,CB260,IF($A$5=$A$19,CE260,IF($A$5=$A$20,CH260,IF($A$5=$A$21,CK260,IF($A$5=$A$22,CN260,IF($A$5=$A$23,CQ260,IF($A$5=$A$24,CT260,IF($A$5=$A$25,CW260,IF($A$5=$A$26,CZ260,IF($A$5=$A$27,DC260,IF($A$5=$A$28,DF260,IF($A$5=$A$29,DI260,IF($A$5=$A$30,DL260,IF($A$5=$A$30,DO260,IF($A$5=$A$12,DR260,"")))))))))))))))</f>
        <v>0</v>
      </c>
      <c r="BS260" s="84">
        <f t="shared" ref="BS260:BS279" si="214">IF($A$5=$A$18,CC260,IF($A$5=$A$19,CF260,IF($A$5=$A$20,CI260,IF($A$5=$A$21,CL260,IF($A$5=$A$22,CO260,IF($A$5=$A$23,CR260,IF($A$5=$A$24,CU260,IF($A$5=$A$25,CX260,IF($A$5=$A$26,DA260,IF($A$5=$A$27,DD260,IF($A$5=$A$28,DG260,IF($A$5=$A$29,DJ260,IF($A$5=$A$30,DM260,IF($A$5=$A$30,DP260,IF($A$5=$A$12,DS260,"")))))))))))))))</f>
        <v>0</v>
      </c>
      <c r="CA260" s="81" t="s">
        <v>2</v>
      </c>
      <c r="CB260" s="81">
        <f t="shared" si="173"/>
        <v>0</v>
      </c>
      <c r="CC260" s="81">
        <f t="shared" si="174"/>
        <v>0</v>
      </c>
      <c r="CD260" s="81" t="s">
        <v>16</v>
      </c>
      <c r="CE260" s="81">
        <f t="shared" si="175"/>
        <v>0</v>
      </c>
      <c r="CF260" s="81">
        <f t="shared" si="176"/>
        <v>0</v>
      </c>
      <c r="CG260" s="81" t="s">
        <v>5</v>
      </c>
      <c r="CH260" s="81">
        <f t="shared" si="177"/>
        <v>0</v>
      </c>
      <c r="CI260" s="81">
        <f t="shared" si="178"/>
        <v>0</v>
      </c>
      <c r="CJ260" s="81" t="s">
        <v>18</v>
      </c>
      <c r="CK260" s="81">
        <f t="shared" si="179"/>
        <v>0</v>
      </c>
      <c r="CL260" s="81">
        <f t="shared" si="180"/>
        <v>0</v>
      </c>
      <c r="CM260" s="81" t="s">
        <v>4</v>
      </c>
      <c r="CN260" s="81">
        <f t="shared" si="181"/>
        <v>0</v>
      </c>
      <c r="CO260" s="81">
        <f t="shared" si="182"/>
        <v>0</v>
      </c>
      <c r="CP260" s="81" t="s">
        <v>22</v>
      </c>
      <c r="CQ260" s="81">
        <f t="shared" si="183"/>
        <v>0</v>
      </c>
      <c r="CR260" s="81">
        <f t="shared" si="184"/>
        <v>0</v>
      </c>
      <c r="CS260" s="81" t="s">
        <v>21</v>
      </c>
      <c r="CT260" s="81">
        <f t="shared" si="185"/>
        <v>0</v>
      </c>
      <c r="CU260" s="81">
        <f t="shared" si="186"/>
        <v>0</v>
      </c>
      <c r="CV260" s="81" t="s">
        <v>998</v>
      </c>
      <c r="CW260" s="81">
        <f t="shared" si="187"/>
        <v>0</v>
      </c>
      <c r="CX260" s="81">
        <f t="shared" si="188"/>
        <v>0</v>
      </c>
      <c r="CY260" s="81" t="s">
        <v>19</v>
      </c>
      <c r="CZ260" s="81">
        <f t="shared" si="189"/>
        <v>0</v>
      </c>
      <c r="DA260" s="81">
        <f t="shared" si="190"/>
        <v>0</v>
      </c>
      <c r="DB260" s="81" t="s">
        <v>20</v>
      </c>
      <c r="DC260" s="81">
        <f t="shared" si="191"/>
        <v>0</v>
      </c>
      <c r="DD260" s="81">
        <f t="shared" si="192"/>
        <v>0</v>
      </c>
      <c r="DE260" s="81" t="s">
        <v>23</v>
      </c>
      <c r="DF260" s="81">
        <f t="shared" si="193"/>
        <v>0</v>
      </c>
      <c r="DG260" s="81">
        <f t="shared" si="194"/>
        <v>0</v>
      </c>
      <c r="DH260" s="81" t="s">
        <v>15</v>
      </c>
      <c r="DI260" s="81">
        <f t="shared" si="195"/>
        <v>0</v>
      </c>
      <c r="DJ260" s="81">
        <f t="shared" si="196"/>
        <v>0</v>
      </c>
      <c r="DK260" s="81" t="s">
        <v>5482</v>
      </c>
      <c r="DL260" s="81">
        <f t="shared" si="197"/>
        <v>0</v>
      </c>
      <c r="DM260" s="81">
        <f t="shared" si="198"/>
        <v>0</v>
      </c>
      <c r="DN260" s="81" t="s">
        <v>7</v>
      </c>
      <c r="DO260" s="81">
        <f t="shared" si="199"/>
        <v>0</v>
      </c>
      <c r="DP260" s="81">
        <f t="shared" si="200"/>
        <v>0</v>
      </c>
      <c r="DQ260" s="81" t="s">
        <v>1</v>
      </c>
      <c r="DR260" s="81">
        <f t="shared" si="201"/>
        <v>0</v>
      </c>
      <c r="DS260" s="81">
        <f t="shared" si="202"/>
        <v>0</v>
      </c>
    </row>
    <row r="261" spans="14:123" x14ac:dyDescent="0.3">
      <c r="N261" s="81">
        <f>IF(Q262=0,IF(Q261=0,,"x"),)</f>
        <v>0</v>
      </c>
      <c r="O261" s="81">
        <f t="shared" si="203"/>
        <v>0</v>
      </c>
      <c r="P261" s="81">
        <f t="shared" ref="P261:P293" si="215">O261-R261</f>
        <v>0</v>
      </c>
      <c r="Q261" s="81">
        <f t="shared" si="204"/>
        <v>0</v>
      </c>
      <c r="R261" s="81">
        <f>IF(W261="",,SUM($W$4:W261))</f>
        <v>0</v>
      </c>
      <c r="S261" s="81">
        <f t="shared" ref="S261:S292" si="216">Q261-R261</f>
        <v>0</v>
      </c>
      <c r="T261" s="81">
        <f t="shared" si="205"/>
        <v>0</v>
      </c>
      <c r="U261" s="81">
        <f t="shared" ref="U261:U292" si="217">T261-R261</f>
        <v>0</v>
      </c>
      <c r="AE261" s="81">
        <v>261</v>
      </c>
      <c r="AI261" s="81">
        <v>258</v>
      </c>
      <c r="AJ261" s="81" t="str">
        <f t="shared" si="208"/>
        <v>Februari 40</v>
      </c>
      <c r="AK261" s="81" t="str">
        <f t="shared" si="207"/>
        <v>Februari</v>
      </c>
      <c r="AL261" s="81">
        <f t="shared" si="206"/>
        <v>40</v>
      </c>
      <c r="AM261" s="81" t="str">
        <f t="shared" ref="AM261:AM303" si="218">"="&amp;"'"&amp;AJ261&amp;"'"&amp;"!"</f>
        <v>='Februari 40'!</v>
      </c>
      <c r="AN261" s="81" t="str">
        <f t="shared" si="212"/>
        <v>='Februari 40'!C27</v>
      </c>
      <c r="AO261" s="81" t="s">
        <v>1261</v>
      </c>
      <c r="AR261" s="81" t="s">
        <v>321</v>
      </c>
      <c r="AS261" s="83" t="str">
        <f t="shared" si="209"/>
        <v>='Februari 40'!C6</v>
      </c>
      <c r="AT261" s="83">
        <f t="shared" si="210"/>
        <v>0</v>
      </c>
      <c r="AV261" s="81" t="s">
        <v>622</v>
      </c>
      <c r="AW261" s="81" t="s">
        <v>4145</v>
      </c>
      <c r="AX261" s="81" t="s">
        <v>4146</v>
      </c>
      <c r="AY261" s="81" t="s">
        <v>4147</v>
      </c>
      <c r="AZ261" s="81" t="s">
        <v>4148</v>
      </c>
      <c r="BA261" s="81" t="s">
        <v>4149</v>
      </c>
      <c r="BB261" s="81" t="s">
        <v>4150</v>
      </c>
      <c r="BC261" s="81" t="s">
        <v>4151</v>
      </c>
      <c r="BD261" s="81" t="s">
        <v>4152</v>
      </c>
      <c r="BE261" s="81" t="s">
        <v>4153</v>
      </c>
      <c r="BF261" s="81" t="s">
        <v>4154</v>
      </c>
      <c r="BG261" s="81" t="s">
        <v>4155</v>
      </c>
      <c r="BH261" s="81" t="s">
        <v>4878</v>
      </c>
      <c r="BI261" s="81" t="s">
        <v>5182</v>
      </c>
      <c r="BJ261" s="81" t="s">
        <v>321</v>
      </c>
      <c r="BL261" s="81" t="s">
        <v>925</v>
      </c>
      <c r="BM261" s="81">
        <v>258</v>
      </c>
      <c r="BN261" s="81" t="str">
        <f t="shared" si="211"/>
        <v>='Februari 40'!C12</v>
      </c>
      <c r="BP261" s="81" t="str">
        <f t="shared" ref="BP261:BP279" ca="1" si="219">IF($AG$6&gt;=AE258,AJ261,"")</f>
        <v/>
      </c>
      <c r="BR261" s="84">
        <f t="shared" si="213"/>
        <v>0</v>
      </c>
      <c r="BS261" s="84">
        <f t="shared" si="214"/>
        <v>0</v>
      </c>
      <c r="CA261" s="81" t="s">
        <v>2</v>
      </c>
      <c r="CB261" s="81">
        <f t="shared" ref="CB261:CB324" si="220">ROUND(IF(BQ261&lt;$BV$4*(1-$BW$4),BQ261,0),0)</f>
        <v>0</v>
      </c>
      <c r="CC261" s="81">
        <f t="shared" ref="CC261:CC324" si="221">IF(BQ261&gt;$BV$4*(1+$BW$4),BQ261,0)</f>
        <v>0</v>
      </c>
      <c r="CD261" s="81" t="s">
        <v>16</v>
      </c>
      <c r="CE261" s="81">
        <f t="shared" ref="CE261:CE324" si="222">IF(BQ261&lt;$BV$5*(1-$BW$5),BQ261,0)</f>
        <v>0</v>
      </c>
      <c r="CF261" s="81">
        <f t="shared" ref="CF261:CF324" si="223">IF(BQ261&gt;$BV$5*(1+$BW$5),BQ261,0)</f>
        <v>0</v>
      </c>
      <c r="CG261" s="81" t="s">
        <v>5</v>
      </c>
      <c r="CH261" s="81">
        <f t="shared" ref="CH261:CH324" si="224">IF(BQ261&lt;$BV$6*(1-$BW$6),BQ261,0)</f>
        <v>0</v>
      </c>
      <c r="CI261" s="81">
        <f t="shared" ref="CI261:CI324" si="225">IF(BQ261&gt;$BV$6*(1+$BW$6),BQ261,0)</f>
        <v>0</v>
      </c>
      <c r="CJ261" s="81" t="s">
        <v>18</v>
      </c>
      <c r="CK261" s="81">
        <f t="shared" ref="CK261:CK324" si="226">IF(BQ261&lt;$BV$7*(1-$BW$7),BQ261,0)</f>
        <v>0</v>
      </c>
      <c r="CL261" s="81">
        <f t="shared" ref="CL261:CL324" si="227">ROUND(IF(BQ261&gt;$BV$7*(1+$BW$7),BQ261,0),0)</f>
        <v>0</v>
      </c>
      <c r="CM261" s="81" t="s">
        <v>4</v>
      </c>
      <c r="CN261" s="81">
        <f t="shared" ref="CN261:CN324" si="228">IF(BQ261&lt;$BV$8*(1-$BW$8),BQ261,0)</f>
        <v>0</v>
      </c>
      <c r="CO261" s="81">
        <f t="shared" ref="CO261:CO324" si="229">IF(BQ261&gt;$BV$8*(1+$BW$8),BQ261,0)</f>
        <v>0</v>
      </c>
      <c r="CP261" s="81" t="s">
        <v>22</v>
      </c>
      <c r="CQ261" s="81">
        <f t="shared" ref="CQ261:CQ324" si="230">IF(BQ261&lt;$BV$9*(1-$BW$9),BQ261,0)</f>
        <v>0</v>
      </c>
      <c r="CR261" s="81">
        <f t="shared" ref="CR261:CR324" si="231">IF(BQ261&gt;$BV$9*(1+$BW$9),BQ261,0)</f>
        <v>0</v>
      </c>
      <c r="CS261" s="81" t="s">
        <v>21</v>
      </c>
      <c r="CT261" s="81">
        <f t="shared" ref="CT261:CT324" si="232">IF(BQ261&lt;$BV$10*(1-$BW$10),BQ261,0)</f>
        <v>0</v>
      </c>
      <c r="CU261" s="81">
        <f t="shared" ref="CU261:CU324" si="233">IF(BQ261&gt;$BV$10*(1+$BW$10),BQ261,0)</f>
        <v>0</v>
      </c>
      <c r="CV261" s="81" t="s">
        <v>998</v>
      </c>
      <c r="CW261" s="81">
        <f t="shared" ref="CW261:CW324" si="234">IF(BQ261&lt;$BV$11*(1-$BW$11),BQ261,0)</f>
        <v>0</v>
      </c>
      <c r="CX261" s="81">
        <f t="shared" ref="CX261:CX324" si="235">IF(BQ261&gt;$BV$11*(1+$BW$11),BQ261,0)</f>
        <v>0</v>
      </c>
      <c r="CY261" s="81" t="s">
        <v>19</v>
      </c>
      <c r="CZ261" s="81">
        <f t="shared" ref="CZ261:CZ324" si="236">IF(BQ261&lt;$BV$12*(1-$BW$12),BQ261,0)</f>
        <v>0</v>
      </c>
      <c r="DA261" s="81">
        <f t="shared" ref="DA261:DA324" si="237">IF(BQ261&gt;$BV$12*(1+$BW$12),BQ261,0)</f>
        <v>0</v>
      </c>
      <c r="DB261" s="81" t="s">
        <v>20</v>
      </c>
      <c r="DC261" s="81">
        <f t="shared" ref="DC261:DC324" si="238">IF(BQ261&lt;$BV$13*(1-$BW$13),BQ261,0)</f>
        <v>0</v>
      </c>
      <c r="DD261" s="81">
        <f t="shared" ref="DD261:DD324" si="239">IF(BQ261&gt;$BV$13*(1+$BW$13),BQ261,0)</f>
        <v>0</v>
      </c>
      <c r="DE261" s="81" t="s">
        <v>23</v>
      </c>
      <c r="DF261" s="81">
        <f t="shared" ref="DF261:DF324" si="240">IF(BQ261&lt;$BV$14*(1-$BW$14),BQ261,0)</f>
        <v>0</v>
      </c>
      <c r="DG261" s="81">
        <f t="shared" ref="DG261:DG324" si="241">IF(BQ261&gt;$BV$14*(1+$BW$14),BQ261,0)</f>
        <v>0</v>
      </c>
      <c r="DH261" s="81" t="s">
        <v>15</v>
      </c>
      <c r="DI261" s="81">
        <f t="shared" ref="DI261:DI324" si="242">IF(BQ261&lt;$BV$15*(1-$BW$15),BQ261,0)</f>
        <v>0</v>
      </c>
      <c r="DJ261" s="81">
        <f t="shared" ref="DJ261:DJ324" si="243">IF(BQ261&gt;$BV$15*(1+$BW$15),BQ261,0)</f>
        <v>0</v>
      </c>
      <c r="DK261" s="81" t="s">
        <v>5483</v>
      </c>
      <c r="DL261" s="81">
        <f t="shared" ref="DL261:DL324" si="244">IF(BQ261&lt;$BV$16*(1-$BW$16),BQ261,0)</f>
        <v>0</v>
      </c>
      <c r="DM261" s="81">
        <f t="shared" ref="DM261:DM324" si="245">IF(BQ261&gt;$BV$16*(1+$BW$16),BQ261,0)</f>
        <v>0</v>
      </c>
      <c r="DN261" s="81" t="s">
        <v>7</v>
      </c>
      <c r="DO261" s="81">
        <f t="shared" ref="DO261:DO324" si="246">IF(BQ261&lt;$BV$17*(1-$BW$17),BQ261,0)</f>
        <v>0</v>
      </c>
      <c r="DP261" s="81">
        <f t="shared" ref="DP261:DP324" si="247">IF(BQ261&gt;$BV$17*(1+$BW$17),BQ261,0)</f>
        <v>0</v>
      </c>
      <c r="DQ261" s="81" t="s">
        <v>1</v>
      </c>
      <c r="DR261" s="81">
        <f t="shared" ref="DR261:DR324" si="248">IF(BQ261&gt;$BV$18*(1+$BW$18),BQ261,0)</f>
        <v>0</v>
      </c>
      <c r="DS261" s="81">
        <f t="shared" ref="DS261:DS324" si="249">IF(BQ261&lt;$BV$18*(1-$BW$18),BQ261,0)</f>
        <v>0</v>
      </c>
    </row>
    <row r="262" spans="14:123" x14ac:dyDescent="0.3">
      <c r="N262" s="81">
        <f>IF(Q263=0,IF(Q262=0,,"x"),)</f>
        <v>0</v>
      </c>
      <c r="O262" s="81">
        <f t="shared" ref="O262:O293" si="250">IF(W262="",,ROUND(O261*(1+0.045/12)+W262,0))</f>
        <v>0</v>
      </c>
      <c r="P262" s="81">
        <f t="shared" si="215"/>
        <v>0</v>
      </c>
      <c r="Q262" s="81">
        <f t="shared" ref="Q262:Q292" si="251">IF(W262="",,ROUND(Q261*(1+0.06/12)+W262,0))</f>
        <v>0</v>
      </c>
      <c r="R262" s="81">
        <f>IF(W262="",,SUM($W$4:W262))</f>
        <v>0</v>
      </c>
      <c r="S262" s="81">
        <f t="shared" si="216"/>
        <v>0</v>
      </c>
      <c r="T262" s="81">
        <f t="shared" ref="T262:T292" si="252">IF(W262="",,ROUND(T261*(1+0.025/12)+W262,0))</f>
        <v>0</v>
      </c>
      <c r="U262" s="81">
        <f t="shared" si="217"/>
        <v>0</v>
      </c>
      <c r="AE262" s="81">
        <v>262</v>
      </c>
      <c r="AI262" s="81">
        <v>259</v>
      </c>
      <c r="AJ262" s="81" t="str">
        <f t="shared" si="208"/>
        <v>Mars 40</v>
      </c>
      <c r="AK262" s="81" t="str">
        <f t="shared" si="207"/>
        <v>Mars</v>
      </c>
      <c r="AL262" s="81">
        <f t="shared" si="206"/>
        <v>40</v>
      </c>
      <c r="AM262" s="81" t="str">
        <f t="shared" si="218"/>
        <v>='Mars 40'!</v>
      </c>
      <c r="AN262" s="81" t="str">
        <f t="shared" si="212"/>
        <v>='Mars 40'!C27</v>
      </c>
      <c r="AO262" s="81" t="s">
        <v>1262</v>
      </c>
      <c r="AR262" s="81" t="s">
        <v>322</v>
      </c>
      <c r="AS262" s="83" t="str">
        <f t="shared" si="209"/>
        <v>='Mars 40'!C6</v>
      </c>
      <c r="AT262" s="83">
        <f t="shared" si="210"/>
        <v>0</v>
      </c>
      <c r="AV262" s="81" t="s">
        <v>623</v>
      </c>
      <c r="AW262" s="81" t="s">
        <v>4156</v>
      </c>
      <c r="AX262" s="81" t="s">
        <v>4157</v>
      </c>
      <c r="AY262" s="81" t="s">
        <v>4158</v>
      </c>
      <c r="AZ262" s="81" t="s">
        <v>4159</v>
      </c>
      <c r="BA262" s="81" t="s">
        <v>4160</v>
      </c>
      <c r="BB262" s="81" t="s">
        <v>4161</v>
      </c>
      <c r="BC262" s="81" t="s">
        <v>4162</v>
      </c>
      <c r="BD262" s="81" t="s">
        <v>4163</v>
      </c>
      <c r="BE262" s="81" t="s">
        <v>4164</v>
      </c>
      <c r="BF262" s="81" t="s">
        <v>4165</v>
      </c>
      <c r="BG262" s="81" t="s">
        <v>4166</v>
      </c>
      <c r="BH262" s="81" t="s">
        <v>4879</v>
      </c>
      <c r="BI262" s="81" t="s">
        <v>5183</v>
      </c>
      <c r="BJ262" s="81" t="s">
        <v>322</v>
      </c>
      <c r="BL262" s="81" t="s">
        <v>926</v>
      </c>
      <c r="BM262" s="81">
        <v>259</v>
      </c>
      <c r="BN262" s="81" t="str">
        <f t="shared" si="211"/>
        <v>='Mars 40'!C12</v>
      </c>
      <c r="BP262" s="81" t="str">
        <f t="shared" ca="1" si="219"/>
        <v/>
      </c>
      <c r="BR262" s="84">
        <f t="shared" si="213"/>
        <v>0</v>
      </c>
      <c r="BS262" s="84">
        <f t="shared" si="214"/>
        <v>0</v>
      </c>
      <c r="CA262" s="81" t="s">
        <v>2</v>
      </c>
      <c r="CB262" s="81">
        <f t="shared" si="220"/>
        <v>0</v>
      </c>
      <c r="CC262" s="81">
        <f t="shared" si="221"/>
        <v>0</v>
      </c>
      <c r="CD262" s="81" t="s">
        <v>16</v>
      </c>
      <c r="CE262" s="81">
        <f t="shared" si="222"/>
        <v>0</v>
      </c>
      <c r="CF262" s="81">
        <f t="shared" si="223"/>
        <v>0</v>
      </c>
      <c r="CG262" s="81" t="s">
        <v>5</v>
      </c>
      <c r="CH262" s="81">
        <f t="shared" si="224"/>
        <v>0</v>
      </c>
      <c r="CI262" s="81">
        <f t="shared" si="225"/>
        <v>0</v>
      </c>
      <c r="CJ262" s="81" t="s">
        <v>18</v>
      </c>
      <c r="CK262" s="81">
        <f t="shared" si="226"/>
        <v>0</v>
      </c>
      <c r="CL262" s="81">
        <f t="shared" si="227"/>
        <v>0</v>
      </c>
      <c r="CM262" s="81" t="s">
        <v>4</v>
      </c>
      <c r="CN262" s="81">
        <f t="shared" si="228"/>
        <v>0</v>
      </c>
      <c r="CO262" s="81">
        <f t="shared" si="229"/>
        <v>0</v>
      </c>
      <c r="CP262" s="81" t="s">
        <v>22</v>
      </c>
      <c r="CQ262" s="81">
        <f t="shared" si="230"/>
        <v>0</v>
      </c>
      <c r="CR262" s="81">
        <f t="shared" si="231"/>
        <v>0</v>
      </c>
      <c r="CS262" s="81" t="s">
        <v>21</v>
      </c>
      <c r="CT262" s="81">
        <f t="shared" si="232"/>
        <v>0</v>
      </c>
      <c r="CU262" s="81">
        <f t="shared" si="233"/>
        <v>0</v>
      </c>
      <c r="CV262" s="81" t="s">
        <v>998</v>
      </c>
      <c r="CW262" s="81">
        <f t="shared" si="234"/>
        <v>0</v>
      </c>
      <c r="CX262" s="81">
        <f t="shared" si="235"/>
        <v>0</v>
      </c>
      <c r="CY262" s="81" t="s">
        <v>19</v>
      </c>
      <c r="CZ262" s="81">
        <f t="shared" si="236"/>
        <v>0</v>
      </c>
      <c r="DA262" s="81">
        <f t="shared" si="237"/>
        <v>0</v>
      </c>
      <c r="DB262" s="81" t="s">
        <v>20</v>
      </c>
      <c r="DC262" s="81">
        <f t="shared" si="238"/>
        <v>0</v>
      </c>
      <c r="DD262" s="81">
        <f t="shared" si="239"/>
        <v>0</v>
      </c>
      <c r="DE262" s="81" t="s">
        <v>23</v>
      </c>
      <c r="DF262" s="81">
        <f t="shared" si="240"/>
        <v>0</v>
      </c>
      <c r="DG262" s="81">
        <f t="shared" si="241"/>
        <v>0</v>
      </c>
      <c r="DH262" s="81" t="s">
        <v>15</v>
      </c>
      <c r="DI262" s="81">
        <f t="shared" si="242"/>
        <v>0</v>
      </c>
      <c r="DJ262" s="81">
        <f t="shared" si="243"/>
        <v>0</v>
      </c>
      <c r="DK262" s="81" t="s">
        <v>5484</v>
      </c>
      <c r="DL262" s="81">
        <f t="shared" si="244"/>
        <v>0</v>
      </c>
      <c r="DM262" s="81">
        <f t="shared" si="245"/>
        <v>0</v>
      </c>
      <c r="DN262" s="81" t="s">
        <v>7</v>
      </c>
      <c r="DO262" s="81">
        <f t="shared" si="246"/>
        <v>0</v>
      </c>
      <c r="DP262" s="81">
        <f t="shared" si="247"/>
        <v>0</v>
      </c>
      <c r="DQ262" s="81" t="s">
        <v>1</v>
      </c>
      <c r="DR262" s="81">
        <f t="shared" si="248"/>
        <v>0</v>
      </c>
      <c r="DS262" s="81">
        <f t="shared" si="249"/>
        <v>0</v>
      </c>
    </row>
    <row r="263" spans="14:123" x14ac:dyDescent="0.3">
      <c r="N263" s="81">
        <f>IF(Q264=0,IF(Q263=0,,"x"),)</f>
        <v>0</v>
      </c>
      <c r="O263" s="81">
        <f t="shared" si="250"/>
        <v>0</v>
      </c>
      <c r="P263" s="81">
        <f t="shared" si="215"/>
        <v>0</v>
      </c>
      <c r="Q263" s="81">
        <f t="shared" si="251"/>
        <v>0</v>
      </c>
      <c r="R263" s="81">
        <f>IF(W263="",,SUM($W$4:W263))</f>
        <v>0</v>
      </c>
      <c r="S263" s="81">
        <f t="shared" si="216"/>
        <v>0</v>
      </c>
      <c r="T263" s="81">
        <f t="shared" si="252"/>
        <v>0</v>
      </c>
      <c r="U263" s="81">
        <f t="shared" si="217"/>
        <v>0</v>
      </c>
      <c r="AE263" s="81">
        <v>263</v>
      </c>
      <c r="AI263" s="81">
        <v>260</v>
      </c>
      <c r="AJ263" s="81" t="str">
        <f t="shared" si="208"/>
        <v>April 40</v>
      </c>
      <c r="AK263" s="81" t="str">
        <f t="shared" si="207"/>
        <v>April</v>
      </c>
      <c r="AL263" s="81">
        <f t="shared" si="206"/>
        <v>40</v>
      </c>
      <c r="AM263" s="81" t="str">
        <f t="shared" si="218"/>
        <v>='April 40'!</v>
      </c>
      <c r="AN263" s="81" t="str">
        <f t="shared" si="212"/>
        <v>='April 40'!C27</v>
      </c>
      <c r="AO263" s="81" t="s">
        <v>1263</v>
      </c>
      <c r="AR263" s="81" t="s">
        <v>323</v>
      </c>
      <c r="AS263" s="83" t="str">
        <f t="shared" si="209"/>
        <v>='April 40'!C6</v>
      </c>
      <c r="AT263" s="83">
        <f t="shared" si="210"/>
        <v>0</v>
      </c>
      <c r="AV263" s="81" t="s">
        <v>624</v>
      </c>
      <c r="AW263" s="81" t="s">
        <v>4167</v>
      </c>
      <c r="AX263" s="81" t="s">
        <v>4168</v>
      </c>
      <c r="AY263" s="81" t="s">
        <v>4169</v>
      </c>
      <c r="AZ263" s="81" t="s">
        <v>4170</v>
      </c>
      <c r="BA263" s="81" t="s">
        <v>4171</v>
      </c>
      <c r="BB263" s="81" t="s">
        <v>4172</v>
      </c>
      <c r="BC263" s="81" t="s">
        <v>4173</v>
      </c>
      <c r="BD263" s="81" t="s">
        <v>4174</v>
      </c>
      <c r="BE263" s="81" t="s">
        <v>4175</v>
      </c>
      <c r="BF263" s="81" t="s">
        <v>4176</v>
      </c>
      <c r="BG263" s="81" t="s">
        <v>4177</v>
      </c>
      <c r="BH263" s="81" t="s">
        <v>4880</v>
      </c>
      <c r="BI263" s="81" t="s">
        <v>5184</v>
      </c>
      <c r="BJ263" s="81" t="s">
        <v>323</v>
      </c>
      <c r="BL263" s="81" t="s">
        <v>927</v>
      </c>
      <c r="BM263" s="81">
        <v>260</v>
      </c>
      <c r="BN263" s="81" t="str">
        <f t="shared" si="211"/>
        <v>='April 40'!C12</v>
      </c>
      <c r="BP263" s="81" t="str">
        <f t="shared" ca="1" si="219"/>
        <v/>
      </c>
      <c r="BR263" s="84">
        <f t="shared" si="213"/>
        <v>0</v>
      </c>
      <c r="BS263" s="84">
        <f t="shared" si="214"/>
        <v>0</v>
      </c>
      <c r="CA263" s="81" t="s">
        <v>2</v>
      </c>
      <c r="CB263" s="81">
        <f t="shared" si="220"/>
        <v>0</v>
      </c>
      <c r="CC263" s="81">
        <f t="shared" si="221"/>
        <v>0</v>
      </c>
      <c r="CD263" s="81" t="s">
        <v>16</v>
      </c>
      <c r="CE263" s="81">
        <f t="shared" si="222"/>
        <v>0</v>
      </c>
      <c r="CF263" s="81">
        <f t="shared" si="223"/>
        <v>0</v>
      </c>
      <c r="CG263" s="81" t="s">
        <v>5</v>
      </c>
      <c r="CH263" s="81">
        <f t="shared" si="224"/>
        <v>0</v>
      </c>
      <c r="CI263" s="81">
        <f t="shared" si="225"/>
        <v>0</v>
      </c>
      <c r="CJ263" s="81" t="s">
        <v>18</v>
      </c>
      <c r="CK263" s="81">
        <f t="shared" si="226"/>
        <v>0</v>
      </c>
      <c r="CL263" s="81">
        <f t="shared" si="227"/>
        <v>0</v>
      </c>
      <c r="CM263" s="81" t="s">
        <v>4</v>
      </c>
      <c r="CN263" s="81">
        <f t="shared" si="228"/>
        <v>0</v>
      </c>
      <c r="CO263" s="81">
        <f t="shared" si="229"/>
        <v>0</v>
      </c>
      <c r="CP263" s="81" t="s">
        <v>22</v>
      </c>
      <c r="CQ263" s="81">
        <f t="shared" si="230"/>
        <v>0</v>
      </c>
      <c r="CR263" s="81">
        <f t="shared" si="231"/>
        <v>0</v>
      </c>
      <c r="CS263" s="81" t="s">
        <v>21</v>
      </c>
      <c r="CT263" s="81">
        <f t="shared" si="232"/>
        <v>0</v>
      </c>
      <c r="CU263" s="81">
        <f t="shared" si="233"/>
        <v>0</v>
      </c>
      <c r="CV263" s="81" t="s">
        <v>998</v>
      </c>
      <c r="CW263" s="81">
        <f t="shared" si="234"/>
        <v>0</v>
      </c>
      <c r="CX263" s="81">
        <f t="shared" si="235"/>
        <v>0</v>
      </c>
      <c r="CY263" s="81" t="s">
        <v>19</v>
      </c>
      <c r="CZ263" s="81">
        <f t="shared" si="236"/>
        <v>0</v>
      </c>
      <c r="DA263" s="81">
        <f t="shared" si="237"/>
        <v>0</v>
      </c>
      <c r="DB263" s="81" t="s">
        <v>20</v>
      </c>
      <c r="DC263" s="81">
        <f t="shared" si="238"/>
        <v>0</v>
      </c>
      <c r="DD263" s="81">
        <f t="shared" si="239"/>
        <v>0</v>
      </c>
      <c r="DE263" s="81" t="s">
        <v>23</v>
      </c>
      <c r="DF263" s="81">
        <f t="shared" si="240"/>
        <v>0</v>
      </c>
      <c r="DG263" s="81">
        <f t="shared" si="241"/>
        <v>0</v>
      </c>
      <c r="DH263" s="81" t="s">
        <v>15</v>
      </c>
      <c r="DI263" s="81">
        <f t="shared" si="242"/>
        <v>0</v>
      </c>
      <c r="DJ263" s="81">
        <f t="shared" si="243"/>
        <v>0</v>
      </c>
      <c r="DK263" s="81" t="s">
        <v>5485</v>
      </c>
      <c r="DL263" s="81">
        <f t="shared" si="244"/>
        <v>0</v>
      </c>
      <c r="DM263" s="81">
        <f t="shared" si="245"/>
        <v>0</v>
      </c>
      <c r="DN263" s="81" t="s">
        <v>7</v>
      </c>
      <c r="DO263" s="81">
        <f t="shared" si="246"/>
        <v>0</v>
      </c>
      <c r="DP263" s="81">
        <f t="shared" si="247"/>
        <v>0</v>
      </c>
      <c r="DQ263" s="81" t="s">
        <v>1</v>
      </c>
      <c r="DR263" s="81">
        <f t="shared" si="248"/>
        <v>0</v>
      </c>
      <c r="DS263" s="81">
        <f t="shared" si="249"/>
        <v>0</v>
      </c>
    </row>
    <row r="264" spans="14:123" x14ac:dyDescent="0.3">
      <c r="N264" s="81">
        <f>IF(Q265=0,IF(Q264=0,,"x"),)</f>
        <v>0</v>
      </c>
      <c r="O264" s="81">
        <f t="shared" si="250"/>
        <v>0</v>
      </c>
      <c r="P264" s="81">
        <f t="shared" si="215"/>
        <v>0</v>
      </c>
      <c r="Q264" s="81">
        <f t="shared" si="251"/>
        <v>0</v>
      </c>
      <c r="R264" s="81">
        <f>IF(W264="",,SUM($W$4:W264))</f>
        <v>0</v>
      </c>
      <c r="S264" s="81">
        <f t="shared" si="216"/>
        <v>0</v>
      </c>
      <c r="T264" s="81">
        <f t="shared" si="252"/>
        <v>0</v>
      </c>
      <c r="U264" s="81">
        <f t="shared" si="217"/>
        <v>0</v>
      </c>
      <c r="AE264" s="81">
        <v>264</v>
      </c>
      <c r="AI264" s="81">
        <v>261</v>
      </c>
      <c r="AJ264" s="81" t="str">
        <f t="shared" si="208"/>
        <v>Maj 40</v>
      </c>
      <c r="AK264" s="81" t="str">
        <f t="shared" si="207"/>
        <v>Maj</v>
      </c>
      <c r="AL264" s="81">
        <f t="shared" si="206"/>
        <v>40</v>
      </c>
      <c r="AM264" s="81" t="str">
        <f t="shared" si="218"/>
        <v>='Maj 40'!</v>
      </c>
      <c r="AN264" s="81" t="str">
        <f t="shared" si="212"/>
        <v>='Maj 40'!C27</v>
      </c>
      <c r="AO264" s="81" t="s">
        <v>1264</v>
      </c>
      <c r="AR264" s="81" t="s">
        <v>324</v>
      </c>
      <c r="AS264" s="83" t="str">
        <f t="shared" si="209"/>
        <v>='Maj 40'!C6</v>
      </c>
      <c r="AT264" s="83">
        <f t="shared" si="210"/>
        <v>0</v>
      </c>
      <c r="AV264" s="81" t="s">
        <v>625</v>
      </c>
      <c r="AW264" s="81" t="s">
        <v>4178</v>
      </c>
      <c r="AX264" s="81" t="s">
        <v>4179</v>
      </c>
      <c r="AY264" s="81" t="s">
        <v>4180</v>
      </c>
      <c r="AZ264" s="81" t="s">
        <v>4181</v>
      </c>
      <c r="BA264" s="81" t="s">
        <v>4182</v>
      </c>
      <c r="BB264" s="81" t="s">
        <v>4183</v>
      </c>
      <c r="BC264" s="81" t="s">
        <v>4184</v>
      </c>
      <c r="BD264" s="81" t="s">
        <v>4185</v>
      </c>
      <c r="BE264" s="81" t="s">
        <v>4186</v>
      </c>
      <c r="BF264" s="81" t="s">
        <v>4187</v>
      </c>
      <c r="BG264" s="81" t="s">
        <v>4188</v>
      </c>
      <c r="BH264" s="81" t="s">
        <v>4881</v>
      </c>
      <c r="BI264" s="81" t="s">
        <v>5185</v>
      </c>
      <c r="BJ264" s="81" t="s">
        <v>324</v>
      </c>
      <c r="BL264" s="81" t="s">
        <v>928</v>
      </c>
      <c r="BM264" s="81">
        <v>261</v>
      </c>
      <c r="BN264" s="81" t="str">
        <f t="shared" si="211"/>
        <v>='Maj 40'!C12</v>
      </c>
      <c r="BP264" s="81" t="str">
        <f t="shared" ca="1" si="219"/>
        <v/>
      </c>
      <c r="BR264" s="84">
        <f t="shared" si="213"/>
        <v>0</v>
      </c>
      <c r="BS264" s="84">
        <f t="shared" si="214"/>
        <v>0</v>
      </c>
      <c r="CA264" s="81" t="s">
        <v>2</v>
      </c>
      <c r="CB264" s="81">
        <f t="shared" si="220"/>
        <v>0</v>
      </c>
      <c r="CC264" s="81">
        <f t="shared" si="221"/>
        <v>0</v>
      </c>
      <c r="CD264" s="81" t="s">
        <v>16</v>
      </c>
      <c r="CE264" s="81">
        <f t="shared" si="222"/>
        <v>0</v>
      </c>
      <c r="CF264" s="81">
        <f t="shared" si="223"/>
        <v>0</v>
      </c>
      <c r="CG264" s="81" t="s">
        <v>5</v>
      </c>
      <c r="CH264" s="81">
        <f t="shared" si="224"/>
        <v>0</v>
      </c>
      <c r="CI264" s="81">
        <f t="shared" si="225"/>
        <v>0</v>
      </c>
      <c r="CJ264" s="81" t="s">
        <v>18</v>
      </c>
      <c r="CK264" s="81">
        <f t="shared" si="226"/>
        <v>0</v>
      </c>
      <c r="CL264" s="81">
        <f t="shared" si="227"/>
        <v>0</v>
      </c>
      <c r="CM264" s="81" t="s">
        <v>4</v>
      </c>
      <c r="CN264" s="81">
        <f t="shared" si="228"/>
        <v>0</v>
      </c>
      <c r="CO264" s="81">
        <f t="shared" si="229"/>
        <v>0</v>
      </c>
      <c r="CP264" s="81" t="s">
        <v>22</v>
      </c>
      <c r="CQ264" s="81">
        <f t="shared" si="230"/>
        <v>0</v>
      </c>
      <c r="CR264" s="81">
        <f t="shared" si="231"/>
        <v>0</v>
      </c>
      <c r="CS264" s="81" t="s">
        <v>21</v>
      </c>
      <c r="CT264" s="81">
        <f t="shared" si="232"/>
        <v>0</v>
      </c>
      <c r="CU264" s="81">
        <f t="shared" si="233"/>
        <v>0</v>
      </c>
      <c r="CV264" s="81" t="s">
        <v>998</v>
      </c>
      <c r="CW264" s="81">
        <f t="shared" si="234"/>
        <v>0</v>
      </c>
      <c r="CX264" s="81">
        <f t="shared" si="235"/>
        <v>0</v>
      </c>
      <c r="CY264" s="81" t="s">
        <v>19</v>
      </c>
      <c r="CZ264" s="81">
        <f t="shared" si="236"/>
        <v>0</v>
      </c>
      <c r="DA264" s="81">
        <f t="shared" si="237"/>
        <v>0</v>
      </c>
      <c r="DB264" s="81" t="s">
        <v>20</v>
      </c>
      <c r="DC264" s="81">
        <f t="shared" si="238"/>
        <v>0</v>
      </c>
      <c r="DD264" s="81">
        <f t="shared" si="239"/>
        <v>0</v>
      </c>
      <c r="DE264" s="81" t="s">
        <v>23</v>
      </c>
      <c r="DF264" s="81">
        <f t="shared" si="240"/>
        <v>0</v>
      </c>
      <c r="DG264" s="81">
        <f t="shared" si="241"/>
        <v>0</v>
      </c>
      <c r="DH264" s="81" t="s">
        <v>15</v>
      </c>
      <c r="DI264" s="81">
        <f t="shared" si="242"/>
        <v>0</v>
      </c>
      <c r="DJ264" s="81">
        <f t="shared" si="243"/>
        <v>0</v>
      </c>
      <c r="DK264" s="81" t="s">
        <v>5486</v>
      </c>
      <c r="DL264" s="81">
        <f t="shared" si="244"/>
        <v>0</v>
      </c>
      <c r="DM264" s="81">
        <f t="shared" si="245"/>
        <v>0</v>
      </c>
      <c r="DN264" s="81" t="s">
        <v>7</v>
      </c>
      <c r="DO264" s="81">
        <f t="shared" si="246"/>
        <v>0</v>
      </c>
      <c r="DP264" s="81">
        <f t="shared" si="247"/>
        <v>0</v>
      </c>
      <c r="DQ264" s="81" t="s">
        <v>1</v>
      </c>
      <c r="DR264" s="81">
        <f t="shared" si="248"/>
        <v>0</v>
      </c>
      <c r="DS264" s="81">
        <f t="shared" si="249"/>
        <v>0</v>
      </c>
    </row>
    <row r="265" spans="14:123" x14ac:dyDescent="0.3">
      <c r="N265" s="81">
        <f>IF(Q266=0,IF(Q265=0,,"x"),)</f>
        <v>0</v>
      </c>
      <c r="O265" s="81">
        <f t="shared" si="250"/>
        <v>0</v>
      </c>
      <c r="P265" s="81">
        <f t="shared" si="215"/>
        <v>0</v>
      </c>
      <c r="Q265" s="81">
        <f t="shared" si="251"/>
        <v>0</v>
      </c>
      <c r="R265" s="81">
        <f>IF(W265="",,SUM($W$4:W265))</f>
        <v>0</v>
      </c>
      <c r="S265" s="81">
        <f t="shared" si="216"/>
        <v>0</v>
      </c>
      <c r="T265" s="81">
        <f t="shared" si="252"/>
        <v>0</v>
      </c>
      <c r="U265" s="81">
        <f t="shared" si="217"/>
        <v>0</v>
      </c>
      <c r="AE265" s="81">
        <v>265</v>
      </c>
      <c r="AI265" s="81">
        <v>262</v>
      </c>
      <c r="AJ265" s="81" t="str">
        <f t="shared" si="208"/>
        <v>Juni 40</v>
      </c>
      <c r="AK265" s="81" t="str">
        <f t="shared" si="207"/>
        <v>Juni</v>
      </c>
      <c r="AL265" s="81">
        <f t="shared" si="206"/>
        <v>40</v>
      </c>
      <c r="AM265" s="81" t="str">
        <f t="shared" si="218"/>
        <v>='Juni 40'!</v>
      </c>
      <c r="AN265" s="81" t="str">
        <f t="shared" si="212"/>
        <v>='Juni 40'!C27</v>
      </c>
      <c r="AO265" s="81" t="s">
        <v>1265</v>
      </c>
      <c r="AR265" s="81" t="s">
        <v>325</v>
      </c>
      <c r="AS265" s="83" t="str">
        <f t="shared" si="209"/>
        <v>='Juni 40'!C6</v>
      </c>
      <c r="AT265" s="83">
        <f t="shared" si="210"/>
        <v>0</v>
      </c>
      <c r="AV265" s="81" t="s">
        <v>626</v>
      </c>
      <c r="AW265" s="81" t="s">
        <v>4189</v>
      </c>
      <c r="AX265" s="81" t="s">
        <v>4190</v>
      </c>
      <c r="AY265" s="81" t="s">
        <v>4191</v>
      </c>
      <c r="AZ265" s="81" t="s">
        <v>4192</v>
      </c>
      <c r="BA265" s="81" t="s">
        <v>4193</v>
      </c>
      <c r="BB265" s="81" t="s">
        <v>4194</v>
      </c>
      <c r="BC265" s="81" t="s">
        <v>4195</v>
      </c>
      <c r="BD265" s="81" t="s">
        <v>4196</v>
      </c>
      <c r="BE265" s="81" t="s">
        <v>4197</v>
      </c>
      <c r="BF265" s="81" t="s">
        <v>4198</v>
      </c>
      <c r="BG265" s="81" t="s">
        <v>4199</v>
      </c>
      <c r="BH265" s="81" t="s">
        <v>4882</v>
      </c>
      <c r="BI265" s="81" t="s">
        <v>5186</v>
      </c>
      <c r="BJ265" s="81" t="s">
        <v>325</v>
      </c>
      <c r="BL265" s="81" t="s">
        <v>929</v>
      </c>
      <c r="BM265" s="81">
        <v>262</v>
      </c>
      <c r="BN265" s="81" t="str">
        <f t="shared" si="211"/>
        <v>='Juni 40'!C12</v>
      </c>
      <c r="BP265" s="81" t="str">
        <f t="shared" ca="1" si="219"/>
        <v/>
      </c>
      <c r="BR265" s="84">
        <f t="shared" si="213"/>
        <v>0</v>
      </c>
      <c r="BS265" s="84">
        <f t="shared" si="214"/>
        <v>0</v>
      </c>
      <c r="CA265" s="81" t="s">
        <v>2</v>
      </c>
      <c r="CB265" s="81">
        <f t="shared" si="220"/>
        <v>0</v>
      </c>
      <c r="CC265" s="81">
        <f t="shared" si="221"/>
        <v>0</v>
      </c>
      <c r="CD265" s="81" t="s">
        <v>16</v>
      </c>
      <c r="CE265" s="81">
        <f t="shared" si="222"/>
        <v>0</v>
      </c>
      <c r="CF265" s="81">
        <f t="shared" si="223"/>
        <v>0</v>
      </c>
      <c r="CG265" s="81" t="s">
        <v>5</v>
      </c>
      <c r="CH265" s="81">
        <f t="shared" si="224"/>
        <v>0</v>
      </c>
      <c r="CI265" s="81">
        <f t="shared" si="225"/>
        <v>0</v>
      </c>
      <c r="CJ265" s="81" t="s">
        <v>18</v>
      </c>
      <c r="CK265" s="81">
        <f t="shared" si="226"/>
        <v>0</v>
      </c>
      <c r="CL265" s="81">
        <f t="shared" si="227"/>
        <v>0</v>
      </c>
      <c r="CM265" s="81" t="s">
        <v>4</v>
      </c>
      <c r="CN265" s="81">
        <f t="shared" si="228"/>
        <v>0</v>
      </c>
      <c r="CO265" s="81">
        <f t="shared" si="229"/>
        <v>0</v>
      </c>
      <c r="CP265" s="81" t="s">
        <v>22</v>
      </c>
      <c r="CQ265" s="81">
        <f t="shared" si="230"/>
        <v>0</v>
      </c>
      <c r="CR265" s="81">
        <f t="shared" si="231"/>
        <v>0</v>
      </c>
      <c r="CS265" s="81" t="s">
        <v>21</v>
      </c>
      <c r="CT265" s="81">
        <f t="shared" si="232"/>
        <v>0</v>
      </c>
      <c r="CU265" s="81">
        <f t="shared" si="233"/>
        <v>0</v>
      </c>
      <c r="CV265" s="81" t="s">
        <v>998</v>
      </c>
      <c r="CW265" s="81">
        <f t="shared" si="234"/>
        <v>0</v>
      </c>
      <c r="CX265" s="81">
        <f t="shared" si="235"/>
        <v>0</v>
      </c>
      <c r="CY265" s="81" t="s">
        <v>19</v>
      </c>
      <c r="CZ265" s="81">
        <f t="shared" si="236"/>
        <v>0</v>
      </c>
      <c r="DA265" s="81">
        <f t="shared" si="237"/>
        <v>0</v>
      </c>
      <c r="DB265" s="81" t="s">
        <v>20</v>
      </c>
      <c r="DC265" s="81">
        <f t="shared" si="238"/>
        <v>0</v>
      </c>
      <c r="DD265" s="81">
        <f t="shared" si="239"/>
        <v>0</v>
      </c>
      <c r="DE265" s="81" t="s">
        <v>23</v>
      </c>
      <c r="DF265" s="81">
        <f t="shared" si="240"/>
        <v>0</v>
      </c>
      <c r="DG265" s="81">
        <f t="shared" si="241"/>
        <v>0</v>
      </c>
      <c r="DH265" s="81" t="s">
        <v>15</v>
      </c>
      <c r="DI265" s="81">
        <f t="shared" si="242"/>
        <v>0</v>
      </c>
      <c r="DJ265" s="81">
        <f t="shared" si="243"/>
        <v>0</v>
      </c>
      <c r="DK265" s="81" t="s">
        <v>5487</v>
      </c>
      <c r="DL265" s="81">
        <f t="shared" si="244"/>
        <v>0</v>
      </c>
      <c r="DM265" s="81">
        <f t="shared" si="245"/>
        <v>0</v>
      </c>
      <c r="DN265" s="81" t="s">
        <v>7</v>
      </c>
      <c r="DO265" s="81">
        <f t="shared" si="246"/>
        <v>0</v>
      </c>
      <c r="DP265" s="81">
        <f t="shared" si="247"/>
        <v>0</v>
      </c>
      <c r="DQ265" s="81" t="s">
        <v>1</v>
      </c>
      <c r="DR265" s="81">
        <f t="shared" si="248"/>
        <v>0</v>
      </c>
      <c r="DS265" s="81">
        <f t="shared" si="249"/>
        <v>0</v>
      </c>
    </row>
    <row r="266" spans="14:123" x14ac:dyDescent="0.3">
      <c r="N266" s="81">
        <f>IF(Q267=0,IF(Q266=0,,"x"),)</f>
        <v>0</v>
      </c>
      <c r="O266" s="81">
        <f t="shared" si="250"/>
        <v>0</v>
      </c>
      <c r="P266" s="81">
        <f t="shared" si="215"/>
        <v>0</v>
      </c>
      <c r="Q266" s="81">
        <f t="shared" si="251"/>
        <v>0</v>
      </c>
      <c r="R266" s="81">
        <f>IF(W266="",,SUM($W$4:W266))</f>
        <v>0</v>
      </c>
      <c r="S266" s="81">
        <f t="shared" si="216"/>
        <v>0</v>
      </c>
      <c r="T266" s="81">
        <f t="shared" si="252"/>
        <v>0</v>
      </c>
      <c r="U266" s="81">
        <f t="shared" si="217"/>
        <v>0</v>
      </c>
      <c r="AE266" s="81">
        <v>266</v>
      </c>
      <c r="AI266" s="81">
        <v>263</v>
      </c>
      <c r="AJ266" s="81" t="str">
        <f t="shared" si="208"/>
        <v>Juli 40</v>
      </c>
      <c r="AK266" s="81" t="str">
        <f t="shared" si="207"/>
        <v>Juli</v>
      </c>
      <c r="AL266" s="81">
        <f t="shared" si="206"/>
        <v>40</v>
      </c>
      <c r="AM266" s="81" t="str">
        <f t="shared" si="218"/>
        <v>='Juli 40'!</v>
      </c>
      <c r="AN266" s="81" t="str">
        <f t="shared" si="212"/>
        <v>='Juli 40'!C27</v>
      </c>
      <c r="AO266" s="81" t="s">
        <v>1266</v>
      </c>
      <c r="AR266" s="81" t="s">
        <v>326</v>
      </c>
      <c r="AS266" s="83" t="str">
        <f t="shared" si="209"/>
        <v>='Juli 40'!C6</v>
      </c>
      <c r="AT266" s="83">
        <f t="shared" si="210"/>
        <v>0</v>
      </c>
      <c r="AV266" s="81" t="s">
        <v>627</v>
      </c>
      <c r="AW266" s="81" t="s">
        <v>4200</v>
      </c>
      <c r="AX266" s="81" t="s">
        <v>4201</v>
      </c>
      <c r="AY266" s="81" t="s">
        <v>4202</v>
      </c>
      <c r="AZ266" s="81" t="s">
        <v>4203</v>
      </c>
      <c r="BA266" s="81" t="s">
        <v>4204</v>
      </c>
      <c r="BB266" s="81" t="s">
        <v>4205</v>
      </c>
      <c r="BC266" s="81" t="s">
        <v>4206</v>
      </c>
      <c r="BD266" s="81" t="s">
        <v>4207</v>
      </c>
      <c r="BE266" s="81" t="s">
        <v>4208</v>
      </c>
      <c r="BF266" s="81" t="s">
        <v>4209</v>
      </c>
      <c r="BG266" s="81" t="s">
        <v>4210</v>
      </c>
      <c r="BH266" s="81" t="s">
        <v>4883</v>
      </c>
      <c r="BI266" s="81" t="s">
        <v>5187</v>
      </c>
      <c r="BJ266" s="81" t="s">
        <v>326</v>
      </c>
      <c r="BL266" s="81" t="s">
        <v>930</v>
      </c>
      <c r="BM266" s="81">
        <v>263</v>
      </c>
      <c r="BN266" s="81" t="str">
        <f t="shared" si="211"/>
        <v>='Juli 40'!C12</v>
      </c>
      <c r="BP266" s="81" t="str">
        <f t="shared" ca="1" si="219"/>
        <v/>
      </c>
      <c r="BR266" s="84">
        <f t="shared" si="213"/>
        <v>0</v>
      </c>
      <c r="BS266" s="84">
        <f t="shared" si="214"/>
        <v>0</v>
      </c>
      <c r="CA266" s="81" t="s">
        <v>2</v>
      </c>
      <c r="CB266" s="81">
        <f t="shared" si="220"/>
        <v>0</v>
      </c>
      <c r="CC266" s="81">
        <f t="shared" si="221"/>
        <v>0</v>
      </c>
      <c r="CD266" s="81" t="s">
        <v>16</v>
      </c>
      <c r="CE266" s="81">
        <f t="shared" si="222"/>
        <v>0</v>
      </c>
      <c r="CF266" s="81">
        <f t="shared" si="223"/>
        <v>0</v>
      </c>
      <c r="CG266" s="81" t="s">
        <v>5</v>
      </c>
      <c r="CH266" s="81">
        <f t="shared" si="224"/>
        <v>0</v>
      </c>
      <c r="CI266" s="81">
        <f t="shared" si="225"/>
        <v>0</v>
      </c>
      <c r="CJ266" s="81" t="s">
        <v>18</v>
      </c>
      <c r="CK266" s="81">
        <f t="shared" si="226"/>
        <v>0</v>
      </c>
      <c r="CL266" s="81">
        <f t="shared" si="227"/>
        <v>0</v>
      </c>
      <c r="CM266" s="81" t="s">
        <v>4</v>
      </c>
      <c r="CN266" s="81">
        <f t="shared" si="228"/>
        <v>0</v>
      </c>
      <c r="CO266" s="81">
        <f t="shared" si="229"/>
        <v>0</v>
      </c>
      <c r="CP266" s="81" t="s">
        <v>22</v>
      </c>
      <c r="CQ266" s="81">
        <f t="shared" si="230"/>
        <v>0</v>
      </c>
      <c r="CR266" s="81">
        <f t="shared" si="231"/>
        <v>0</v>
      </c>
      <c r="CS266" s="81" t="s">
        <v>21</v>
      </c>
      <c r="CT266" s="81">
        <f t="shared" si="232"/>
        <v>0</v>
      </c>
      <c r="CU266" s="81">
        <f t="shared" si="233"/>
        <v>0</v>
      </c>
      <c r="CV266" s="81" t="s">
        <v>998</v>
      </c>
      <c r="CW266" s="81">
        <f t="shared" si="234"/>
        <v>0</v>
      </c>
      <c r="CX266" s="81">
        <f t="shared" si="235"/>
        <v>0</v>
      </c>
      <c r="CY266" s="81" t="s">
        <v>19</v>
      </c>
      <c r="CZ266" s="81">
        <f t="shared" si="236"/>
        <v>0</v>
      </c>
      <c r="DA266" s="81">
        <f t="shared" si="237"/>
        <v>0</v>
      </c>
      <c r="DB266" s="81" t="s">
        <v>20</v>
      </c>
      <c r="DC266" s="81">
        <f t="shared" si="238"/>
        <v>0</v>
      </c>
      <c r="DD266" s="81">
        <f t="shared" si="239"/>
        <v>0</v>
      </c>
      <c r="DE266" s="81" t="s">
        <v>23</v>
      </c>
      <c r="DF266" s="81">
        <f t="shared" si="240"/>
        <v>0</v>
      </c>
      <c r="DG266" s="81">
        <f t="shared" si="241"/>
        <v>0</v>
      </c>
      <c r="DH266" s="81" t="s">
        <v>15</v>
      </c>
      <c r="DI266" s="81">
        <f t="shared" si="242"/>
        <v>0</v>
      </c>
      <c r="DJ266" s="81">
        <f t="shared" si="243"/>
        <v>0</v>
      </c>
      <c r="DK266" s="81" t="s">
        <v>5488</v>
      </c>
      <c r="DL266" s="81">
        <f t="shared" si="244"/>
        <v>0</v>
      </c>
      <c r="DM266" s="81">
        <f t="shared" si="245"/>
        <v>0</v>
      </c>
      <c r="DN266" s="81" t="s">
        <v>7</v>
      </c>
      <c r="DO266" s="81">
        <f t="shared" si="246"/>
        <v>0</v>
      </c>
      <c r="DP266" s="81">
        <f t="shared" si="247"/>
        <v>0</v>
      </c>
      <c r="DQ266" s="81" t="s">
        <v>1</v>
      </c>
      <c r="DR266" s="81">
        <f t="shared" si="248"/>
        <v>0</v>
      </c>
      <c r="DS266" s="81">
        <f t="shared" si="249"/>
        <v>0</v>
      </c>
    </row>
    <row r="267" spans="14:123" x14ac:dyDescent="0.3">
      <c r="N267" s="81">
        <f>IF(Q268=0,IF(Q267=0,,"x"),)</f>
        <v>0</v>
      </c>
      <c r="O267" s="81">
        <f t="shared" si="250"/>
        <v>0</v>
      </c>
      <c r="P267" s="81">
        <f t="shared" si="215"/>
        <v>0</v>
      </c>
      <c r="Q267" s="81">
        <f t="shared" si="251"/>
        <v>0</v>
      </c>
      <c r="R267" s="81">
        <f>IF(W267="",,SUM($W$4:W267))</f>
        <v>0</v>
      </c>
      <c r="S267" s="81">
        <f t="shared" si="216"/>
        <v>0</v>
      </c>
      <c r="T267" s="81">
        <f t="shared" si="252"/>
        <v>0</v>
      </c>
      <c r="U267" s="81">
        <f t="shared" si="217"/>
        <v>0</v>
      </c>
      <c r="AE267" s="81">
        <v>267</v>
      </c>
      <c r="AI267" s="81">
        <v>264</v>
      </c>
      <c r="AJ267" s="81" t="str">
        <f t="shared" si="208"/>
        <v>Augusti 40</v>
      </c>
      <c r="AK267" s="81" t="str">
        <f t="shared" si="207"/>
        <v>Augusti</v>
      </c>
      <c r="AL267" s="81">
        <f t="shared" si="206"/>
        <v>40</v>
      </c>
      <c r="AM267" s="81" t="str">
        <f t="shared" si="218"/>
        <v>='Augusti 40'!</v>
      </c>
      <c r="AN267" s="81" t="str">
        <f t="shared" si="212"/>
        <v>='Augusti 40'!C27</v>
      </c>
      <c r="AO267" s="81" t="s">
        <v>1267</v>
      </c>
      <c r="AR267" s="81" t="s">
        <v>327</v>
      </c>
      <c r="AS267" s="83" t="str">
        <f t="shared" si="209"/>
        <v>='Augusti 40'!C6</v>
      </c>
      <c r="AT267" s="83">
        <f t="shared" si="210"/>
        <v>0</v>
      </c>
      <c r="AV267" s="81" t="s">
        <v>628</v>
      </c>
      <c r="AW267" s="81" t="s">
        <v>4211</v>
      </c>
      <c r="AX267" s="81" t="s">
        <v>4212</v>
      </c>
      <c r="AY267" s="81" t="s">
        <v>4213</v>
      </c>
      <c r="AZ267" s="81" t="s">
        <v>4214</v>
      </c>
      <c r="BA267" s="81" t="s">
        <v>4215</v>
      </c>
      <c r="BB267" s="81" t="s">
        <v>4216</v>
      </c>
      <c r="BC267" s="81" t="s">
        <v>4217</v>
      </c>
      <c r="BD267" s="81" t="s">
        <v>4218</v>
      </c>
      <c r="BE267" s="81" t="s">
        <v>4219</v>
      </c>
      <c r="BF267" s="81" t="s">
        <v>4220</v>
      </c>
      <c r="BG267" s="81" t="s">
        <v>4221</v>
      </c>
      <c r="BH267" s="81" t="s">
        <v>4884</v>
      </c>
      <c r="BI267" s="81" t="s">
        <v>5188</v>
      </c>
      <c r="BJ267" s="81" t="s">
        <v>327</v>
      </c>
      <c r="BL267" s="81" t="s">
        <v>931</v>
      </c>
      <c r="BM267" s="81">
        <v>264</v>
      </c>
      <c r="BN267" s="81" t="str">
        <f t="shared" si="211"/>
        <v>='Augusti 40'!C12</v>
      </c>
      <c r="BP267" s="81" t="str">
        <f t="shared" ca="1" si="219"/>
        <v/>
      </c>
      <c r="BR267" s="84">
        <f t="shared" si="213"/>
        <v>0</v>
      </c>
      <c r="BS267" s="84">
        <f t="shared" si="214"/>
        <v>0</v>
      </c>
      <c r="CA267" s="81" t="s">
        <v>2</v>
      </c>
      <c r="CB267" s="81">
        <f t="shared" si="220"/>
        <v>0</v>
      </c>
      <c r="CC267" s="81">
        <f t="shared" si="221"/>
        <v>0</v>
      </c>
      <c r="CD267" s="81" t="s">
        <v>16</v>
      </c>
      <c r="CE267" s="81">
        <f t="shared" si="222"/>
        <v>0</v>
      </c>
      <c r="CF267" s="81">
        <f t="shared" si="223"/>
        <v>0</v>
      </c>
      <c r="CG267" s="81" t="s">
        <v>5</v>
      </c>
      <c r="CH267" s="81">
        <f t="shared" si="224"/>
        <v>0</v>
      </c>
      <c r="CI267" s="81">
        <f t="shared" si="225"/>
        <v>0</v>
      </c>
      <c r="CJ267" s="81" t="s">
        <v>18</v>
      </c>
      <c r="CK267" s="81">
        <f t="shared" si="226"/>
        <v>0</v>
      </c>
      <c r="CL267" s="81">
        <f t="shared" si="227"/>
        <v>0</v>
      </c>
      <c r="CM267" s="81" t="s">
        <v>4</v>
      </c>
      <c r="CN267" s="81">
        <f t="shared" si="228"/>
        <v>0</v>
      </c>
      <c r="CO267" s="81">
        <f t="shared" si="229"/>
        <v>0</v>
      </c>
      <c r="CP267" s="81" t="s">
        <v>22</v>
      </c>
      <c r="CQ267" s="81">
        <f t="shared" si="230"/>
        <v>0</v>
      </c>
      <c r="CR267" s="81">
        <f t="shared" si="231"/>
        <v>0</v>
      </c>
      <c r="CS267" s="81" t="s">
        <v>21</v>
      </c>
      <c r="CT267" s="81">
        <f t="shared" si="232"/>
        <v>0</v>
      </c>
      <c r="CU267" s="81">
        <f t="shared" si="233"/>
        <v>0</v>
      </c>
      <c r="CV267" s="81" t="s">
        <v>998</v>
      </c>
      <c r="CW267" s="81">
        <f t="shared" si="234"/>
        <v>0</v>
      </c>
      <c r="CX267" s="81">
        <f t="shared" si="235"/>
        <v>0</v>
      </c>
      <c r="CY267" s="81" t="s">
        <v>19</v>
      </c>
      <c r="CZ267" s="81">
        <f t="shared" si="236"/>
        <v>0</v>
      </c>
      <c r="DA267" s="81">
        <f t="shared" si="237"/>
        <v>0</v>
      </c>
      <c r="DB267" s="81" t="s">
        <v>20</v>
      </c>
      <c r="DC267" s="81">
        <f t="shared" si="238"/>
        <v>0</v>
      </c>
      <c r="DD267" s="81">
        <f t="shared" si="239"/>
        <v>0</v>
      </c>
      <c r="DE267" s="81" t="s">
        <v>23</v>
      </c>
      <c r="DF267" s="81">
        <f t="shared" si="240"/>
        <v>0</v>
      </c>
      <c r="DG267" s="81">
        <f t="shared" si="241"/>
        <v>0</v>
      </c>
      <c r="DH267" s="81" t="s">
        <v>15</v>
      </c>
      <c r="DI267" s="81">
        <f t="shared" si="242"/>
        <v>0</v>
      </c>
      <c r="DJ267" s="81">
        <f t="shared" si="243"/>
        <v>0</v>
      </c>
      <c r="DK267" s="81" t="s">
        <v>5489</v>
      </c>
      <c r="DL267" s="81">
        <f t="shared" si="244"/>
        <v>0</v>
      </c>
      <c r="DM267" s="81">
        <f t="shared" si="245"/>
        <v>0</v>
      </c>
      <c r="DN267" s="81" t="s">
        <v>7</v>
      </c>
      <c r="DO267" s="81">
        <f t="shared" si="246"/>
        <v>0</v>
      </c>
      <c r="DP267" s="81">
        <f t="shared" si="247"/>
        <v>0</v>
      </c>
      <c r="DQ267" s="81" t="s">
        <v>1</v>
      </c>
      <c r="DR267" s="81">
        <f t="shared" si="248"/>
        <v>0</v>
      </c>
      <c r="DS267" s="81">
        <f t="shared" si="249"/>
        <v>0</v>
      </c>
    </row>
    <row r="268" spans="14:123" x14ac:dyDescent="0.3">
      <c r="N268" s="81">
        <f>IF(Q269=0,IF(Q268=0,,"x"),)</f>
        <v>0</v>
      </c>
      <c r="O268" s="81">
        <f t="shared" si="250"/>
        <v>0</v>
      </c>
      <c r="P268" s="81">
        <f t="shared" si="215"/>
        <v>0</v>
      </c>
      <c r="Q268" s="81">
        <f t="shared" si="251"/>
        <v>0</v>
      </c>
      <c r="R268" s="81">
        <f>IF(W268="",,SUM($W$4:W268))</f>
        <v>0</v>
      </c>
      <c r="S268" s="81">
        <f t="shared" si="216"/>
        <v>0</v>
      </c>
      <c r="T268" s="81">
        <f t="shared" si="252"/>
        <v>0</v>
      </c>
      <c r="U268" s="81">
        <f t="shared" si="217"/>
        <v>0</v>
      </c>
      <c r="AE268" s="81">
        <v>268</v>
      </c>
      <c r="AI268" s="81">
        <v>265</v>
      </c>
      <c r="AJ268" s="81" t="str">
        <f t="shared" si="208"/>
        <v>September 40</v>
      </c>
      <c r="AK268" s="81" t="str">
        <f t="shared" si="207"/>
        <v>September</v>
      </c>
      <c r="AL268" s="81">
        <f t="shared" si="206"/>
        <v>40</v>
      </c>
      <c r="AM268" s="81" t="str">
        <f t="shared" si="218"/>
        <v>='September 40'!</v>
      </c>
      <c r="AN268" s="81" t="str">
        <f t="shared" si="212"/>
        <v>='September 40'!C27</v>
      </c>
      <c r="AO268" s="81" t="s">
        <v>1268</v>
      </c>
      <c r="AR268" s="81" t="s">
        <v>328</v>
      </c>
      <c r="AS268" s="83" t="str">
        <f t="shared" si="209"/>
        <v>='September 40'!C6</v>
      </c>
      <c r="AT268" s="83">
        <f t="shared" si="210"/>
        <v>0</v>
      </c>
      <c r="AV268" s="81" t="s">
        <v>629</v>
      </c>
      <c r="AW268" s="81" t="s">
        <v>4222</v>
      </c>
      <c r="AX268" s="81" t="s">
        <v>4223</v>
      </c>
      <c r="AY268" s="81" t="s">
        <v>4224</v>
      </c>
      <c r="AZ268" s="81" t="s">
        <v>4225</v>
      </c>
      <c r="BA268" s="81" t="s">
        <v>4226</v>
      </c>
      <c r="BB268" s="81" t="s">
        <v>4227</v>
      </c>
      <c r="BC268" s="81" t="s">
        <v>4228</v>
      </c>
      <c r="BD268" s="81" t="s">
        <v>4229</v>
      </c>
      <c r="BE268" s="81" t="s">
        <v>4230</v>
      </c>
      <c r="BF268" s="81" t="s">
        <v>4231</v>
      </c>
      <c r="BG268" s="81" t="s">
        <v>4232</v>
      </c>
      <c r="BH268" s="81" t="s">
        <v>4885</v>
      </c>
      <c r="BI268" s="81" t="s">
        <v>5189</v>
      </c>
      <c r="BJ268" s="81" t="s">
        <v>328</v>
      </c>
      <c r="BL268" s="81" t="s">
        <v>932</v>
      </c>
      <c r="BM268" s="81">
        <v>265</v>
      </c>
      <c r="BN268" s="81" t="str">
        <f t="shared" si="211"/>
        <v>='September 40'!C12</v>
      </c>
      <c r="BP268" s="81" t="str">
        <f t="shared" ca="1" si="219"/>
        <v/>
      </c>
      <c r="BR268" s="84">
        <f t="shared" si="213"/>
        <v>0</v>
      </c>
      <c r="BS268" s="84">
        <f t="shared" si="214"/>
        <v>0</v>
      </c>
      <c r="CA268" s="81" t="s">
        <v>2</v>
      </c>
      <c r="CB268" s="81">
        <f t="shared" si="220"/>
        <v>0</v>
      </c>
      <c r="CC268" s="81">
        <f t="shared" si="221"/>
        <v>0</v>
      </c>
      <c r="CD268" s="81" t="s">
        <v>16</v>
      </c>
      <c r="CE268" s="81">
        <f t="shared" si="222"/>
        <v>0</v>
      </c>
      <c r="CF268" s="81">
        <f t="shared" si="223"/>
        <v>0</v>
      </c>
      <c r="CG268" s="81" t="s">
        <v>5</v>
      </c>
      <c r="CH268" s="81">
        <f t="shared" si="224"/>
        <v>0</v>
      </c>
      <c r="CI268" s="81">
        <f t="shared" si="225"/>
        <v>0</v>
      </c>
      <c r="CJ268" s="81" t="s">
        <v>18</v>
      </c>
      <c r="CK268" s="81">
        <f t="shared" si="226"/>
        <v>0</v>
      </c>
      <c r="CL268" s="81">
        <f t="shared" si="227"/>
        <v>0</v>
      </c>
      <c r="CM268" s="81" t="s">
        <v>4</v>
      </c>
      <c r="CN268" s="81">
        <f t="shared" si="228"/>
        <v>0</v>
      </c>
      <c r="CO268" s="81">
        <f t="shared" si="229"/>
        <v>0</v>
      </c>
      <c r="CP268" s="81" t="s">
        <v>22</v>
      </c>
      <c r="CQ268" s="81">
        <f t="shared" si="230"/>
        <v>0</v>
      </c>
      <c r="CR268" s="81">
        <f t="shared" si="231"/>
        <v>0</v>
      </c>
      <c r="CS268" s="81" t="s">
        <v>21</v>
      </c>
      <c r="CT268" s="81">
        <f t="shared" si="232"/>
        <v>0</v>
      </c>
      <c r="CU268" s="81">
        <f t="shared" si="233"/>
        <v>0</v>
      </c>
      <c r="CV268" s="81" t="s">
        <v>998</v>
      </c>
      <c r="CW268" s="81">
        <f t="shared" si="234"/>
        <v>0</v>
      </c>
      <c r="CX268" s="81">
        <f t="shared" si="235"/>
        <v>0</v>
      </c>
      <c r="CY268" s="81" t="s">
        <v>19</v>
      </c>
      <c r="CZ268" s="81">
        <f t="shared" si="236"/>
        <v>0</v>
      </c>
      <c r="DA268" s="81">
        <f t="shared" si="237"/>
        <v>0</v>
      </c>
      <c r="DB268" s="81" t="s">
        <v>20</v>
      </c>
      <c r="DC268" s="81">
        <f t="shared" si="238"/>
        <v>0</v>
      </c>
      <c r="DD268" s="81">
        <f t="shared" si="239"/>
        <v>0</v>
      </c>
      <c r="DE268" s="81" t="s">
        <v>23</v>
      </c>
      <c r="DF268" s="81">
        <f t="shared" si="240"/>
        <v>0</v>
      </c>
      <c r="DG268" s="81">
        <f t="shared" si="241"/>
        <v>0</v>
      </c>
      <c r="DH268" s="81" t="s">
        <v>15</v>
      </c>
      <c r="DI268" s="81">
        <f t="shared" si="242"/>
        <v>0</v>
      </c>
      <c r="DJ268" s="81">
        <f t="shared" si="243"/>
        <v>0</v>
      </c>
      <c r="DK268" s="81" t="s">
        <v>5490</v>
      </c>
      <c r="DL268" s="81">
        <f t="shared" si="244"/>
        <v>0</v>
      </c>
      <c r="DM268" s="81">
        <f t="shared" si="245"/>
        <v>0</v>
      </c>
      <c r="DN268" s="81" t="s">
        <v>7</v>
      </c>
      <c r="DO268" s="81">
        <f t="shared" si="246"/>
        <v>0</v>
      </c>
      <c r="DP268" s="81">
        <f t="shared" si="247"/>
        <v>0</v>
      </c>
      <c r="DQ268" s="81" t="s">
        <v>1</v>
      </c>
      <c r="DR268" s="81">
        <f t="shared" si="248"/>
        <v>0</v>
      </c>
      <c r="DS268" s="81">
        <f t="shared" si="249"/>
        <v>0</v>
      </c>
    </row>
    <row r="269" spans="14:123" x14ac:dyDescent="0.3">
      <c r="N269" s="81">
        <f>IF(Q270=0,IF(Q269=0,,"x"),)</f>
        <v>0</v>
      </c>
      <c r="O269" s="81">
        <f t="shared" si="250"/>
        <v>0</v>
      </c>
      <c r="P269" s="81">
        <f t="shared" si="215"/>
        <v>0</v>
      </c>
      <c r="Q269" s="81">
        <f t="shared" si="251"/>
        <v>0</v>
      </c>
      <c r="R269" s="81">
        <f>IF(W269="",,SUM($W$4:W269))</f>
        <v>0</v>
      </c>
      <c r="S269" s="81">
        <f t="shared" si="216"/>
        <v>0</v>
      </c>
      <c r="T269" s="81">
        <f t="shared" si="252"/>
        <v>0</v>
      </c>
      <c r="U269" s="81">
        <f t="shared" si="217"/>
        <v>0</v>
      </c>
      <c r="AE269" s="81">
        <v>269</v>
      </c>
      <c r="AI269" s="81">
        <v>266</v>
      </c>
      <c r="AJ269" s="81" t="str">
        <f t="shared" si="208"/>
        <v>Oktober 40</v>
      </c>
      <c r="AK269" s="81" t="str">
        <f t="shared" si="207"/>
        <v>Oktober</v>
      </c>
      <c r="AL269" s="81">
        <f t="shared" si="206"/>
        <v>40</v>
      </c>
      <c r="AM269" s="81" t="str">
        <f t="shared" si="218"/>
        <v>='Oktober 40'!</v>
      </c>
      <c r="AN269" s="81" t="str">
        <f t="shared" si="212"/>
        <v>='Oktober 40'!C27</v>
      </c>
      <c r="AO269" s="81" t="s">
        <v>1269</v>
      </c>
      <c r="AR269" s="81" t="s">
        <v>329</v>
      </c>
      <c r="AS269" s="83" t="str">
        <f t="shared" si="209"/>
        <v>='Oktober 40'!C6</v>
      </c>
      <c r="AT269" s="83">
        <f t="shared" si="210"/>
        <v>0</v>
      </c>
      <c r="AV269" s="81" t="s">
        <v>630</v>
      </c>
      <c r="AW269" s="81" t="s">
        <v>4233</v>
      </c>
      <c r="AX269" s="81" t="s">
        <v>4234</v>
      </c>
      <c r="AY269" s="81" t="s">
        <v>4235</v>
      </c>
      <c r="AZ269" s="81" t="s">
        <v>4236</v>
      </c>
      <c r="BA269" s="81" t="s">
        <v>4237</v>
      </c>
      <c r="BB269" s="81" t="s">
        <v>4238</v>
      </c>
      <c r="BC269" s="81" t="s">
        <v>4239</v>
      </c>
      <c r="BD269" s="81" t="s">
        <v>4240</v>
      </c>
      <c r="BE269" s="81" t="s">
        <v>4241</v>
      </c>
      <c r="BF269" s="81" t="s">
        <v>4242</v>
      </c>
      <c r="BG269" s="81" t="s">
        <v>4243</v>
      </c>
      <c r="BH269" s="81" t="s">
        <v>4886</v>
      </c>
      <c r="BI269" s="81" t="s">
        <v>5190</v>
      </c>
      <c r="BJ269" s="81" t="s">
        <v>329</v>
      </c>
      <c r="BL269" s="81" t="s">
        <v>933</v>
      </c>
      <c r="BM269" s="81">
        <v>266</v>
      </c>
      <c r="BN269" s="81" t="str">
        <f t="shared" si="211"/>
        <v>='Oktober 40'!C12</v>
      </c>
      <c r="BP269" s="81" t="str">
        <f t="shared" ca="1" si="219"/>
        <v/>
      </c>
      <c r="BR269" s="84">
        <f t="shared" si="213"/>
        <v>0</v>
      </c>
      <c r="BS269" s="84">
        <f t="shared" si="214"/>
        <v>0</v>
      </c>
      <c r="CA269" s="81" t="s">
        <v>2</v>
      </c>
      <c r="CB269" s="81">
        <f t="shared" si="220"/>
        <v>0</v>
      </c>
      <c r="CC269" s="81">
        <f t="shared" si="221"/>
        <v>0</v>
      </c>
      <c r="CD269" s="81" t="s">
        <v>16</v>
      </c>
      <c r="CE269" s="81">
        <f t="shared" si="222"/>
        <v>0</v>
      </c>
      <c r="CF269" s="81">
        <f t="shared" si="223"/>
        <v>0</v>
      </c>
      <c r="CG269" s="81" t="s">
        <v>5</v>
      </c>
      <c r="CH269" s="81">
        <f t="shared" si="224"/>
        <v>0</v>
      </c>
      <c r="CI269" s="81">
        <f t="shared" si="225"/>
        <v>0</v>
      </c>
      <c r="CJ269" s="81" t="s">
        <v>18</v>
      </c>
      <c r="CK269" s="81">
        <f t="shared" si="226"/>
        <v>0</v>
      </c>
      <c r="CL269" s="81">
        <f t="shared" si="227"/>
        <v>0</v>
      </c>
      <c r="CM269" s="81" t="s">
        <v>4</v>
      </c>
      <c r="CN269" s="81">
        <f t="shared" si="228"/>
        <v>0</v>
      </c>
      <c r="CO269" s="81">
        <f t="shared" si="229"/>
        <v>0</v>
      </c>
      <c r="CP269" s="81" t="s">
        <v>22</v>
      </c>
      <c r="CQ269" s="81">
        <f t="shared" si="230"/>
        <v>0</v>
      </c>
      <c r="CR269" s="81">
        <f t="shared" si="231"/>
        <v>0</v>
      </c>
      <c r="CS269" s="81" t="s">
        <v>21</v>
      </c>
      <c r="CT269" s="81">
        <f t="shared" si="232"/>
        <v>0</v>
      </c>
      <c r="CU269" s="81">
        <f t="shared" si="233"/>
        <v>0</v>
      </c>
      <c r="CV269" s="81" t="s">
        <v>998</v>
      </c>
      <c r="CW269" s="81">
        <f t="shared" si="234"/>
        <v>0</v>
      </c>
      <c r="CX269" s="81">
        <f t="shared" si="235"/>
        <v>0</v>
      </c>
      <c r="CY269" s="81" t="s">
        <v>19</v>
      </c>
      <c r="CZ269" s="81">
        <f t="shared" si="236"/>
        <v>0</v>
      </c>
      <c r="DA269" s="81">
        <f t="shared" si="237"/>
        <v>0</v>
      </c>
      <c r="DB269" s="81" t="s">
        <v>20</v>
      </c>
      <c r="DC269" s="81">
        <f t="shared" si="238"/>
        <v>0</v>
      </c>
      <c r="DD269" s="81">
        <f t="shared" si="239"/>
        <v>0</v>
      </c>
      <c r="DE269" s="81" t="s">
        <v>23</v>
      </c>
      <c r="DF269" s="81">
        <f t="shared" si="240"/>
        <v>0</v>
      </c>
      <c r="DG269" s="81">
        <f t="shared" si="241"/>
        <v>0</v>
      </c>
      <c r="DH269" s="81" t="s">
        <v>15</v>
      </c>
      <c r="DI269" s="81">
        <f t="shared" si="242"/>
        <v>0</v>
      </c>
      <c r="DJ269" s="81">
        <f t="shared" si="243"/>
        <v>0</v>
      </c>
      <c r="DK269" s="81" t="s">
        <v>5491</v>
      </c>
      <c r="DL269" s="81">
        <f t="shared" si="244"/>
        <v>0</v>
      </c>
      <c r="DM269" s="81">
        <f t="shared" si="245"/>
        <v>0</v>
      </c>
      <c r="DN269" s="81" t="s">
        <v>7</v>
      </c>
      <c r="DO269" s="81">
        <f t="shared" si="246"/>
        <v>0</v>
      </c>
      <c r="DP269" s="81">
        <f t="shared" si="247"/>
        <v>0</v>
      </c>
      <c r="DQ269" s="81" t="s">
        <v>1</v>
      </c>
      <c r="DR269" s="81">
        <f t="shared" si="248"/>
        <v>0</v>
      </c>
      <c r="DS269" s="81">
        <f t="shared" si="249"/>
        <v>0</v>
      </c>
    </row>
    <row r="270" spans="14:123" x14ac:dyDescent="0.3">
      <c r="N270" s="81">
        <f>IF(Q271=0,IF(Q270=0,,"x"),)</f>
        <v>0</v>
      </c>
      <c r="O270" s="81">
        <f t="shared" si="250"/>
        <v>0</v>
      </c>
      <c r="P270" s="81">
        <f t="shared" si="215"/>
        <v>0</v>
      </c>
      <c r="Q270" s="81">
        <f t="shared" si="251"/>
        <v>0</v>
      </c>
      <c r="R270" s="81">
        <f>IF(W270="",,SUM($W$4:W270))</f>
        <v>0</v>
      </c>
      <c r="S270" s="81">
        <f t="shared" si="216"/>
        <v>0</v>
      </c>
      <c r="T270" s="81">
        <f t="shared" si="252"/>
        <v>0</v>
      </c>
      <c r="U270" s="81">
        <f t="shared" si="217"/>
        <v>0</v>
      </c>
      <c r="AE270" s="81">
        <v>270</v>
      </c>
      <c r="AI270" s="81">
        <v>267</v>
      </c>
      <c r="AJ270" s="81" t="str">
        <f t="shared" si="208"/>
        <v>November 40</v>
      </c>
      <c r="AK270" s="81" t="str">
        <f t="shared" si="207"/>
        <v>November</v>
      </c>
      <c r="AL270" s="81">
        <f t="shared" si="206"/>
        <v>40</v>
      </c>
      <c r="AM270" s="81" t="str">
        <f t="shared" si="218"/>
        <v>='November 40'!</v>
      </c>
      <c r="AN270" s="81" t="str">
        <f t="shared" si="212"/>
        <v>='November 40'!C27</v>
      </c>
      <c r="AO270" s="81" t="s">
        <v>1270</v>
      </c>
      <c r="AR270" s="81" t="s">
        <v>330</v>
      </c>
      <c r="AS270" s="83" t="str">
        <f t="shared" si="209"/>
        <v>='November 40'!C6</v>
      </c>
      <c r="AT270" s="83">
        <f t="shared" si="210"/>
        <v>0</v>
      </c>
      <c r="AV270" s="81" t="s">
        <v>631</v>
      </c>
      <c r="AW270" s="81" t="s">
        <v>4244</v>
      </c>
      <c r="AX270" s="81" t="s">
        <v>4245</v>
      </c>
      <c r="AY270" s="81" t="s">
        <v>4246</v>
      </c>
      <c r="AZ270" s="81" t="s">
        <v>4247</v>
      </c>
      <c r="BA270" s="81" t="s">
        <v>4248</v>
      </c>
      <c r="BB270" s="81" t="s">
        <v>4249</v>
      </c>
      <c r="BC270" s="81" t="s">
        <v>4250</v>
      </c>
      <c r="BD270" s="81" t="s">
        <v>4251</v>
      </c>
      <c r="BE270" s="81" t="s">
        <v>4252</v>
      </c>
      <c r="BF270" s="81" t="s">
        <v>4253</v>
      </c>
      <c r="BG270" s="81" t="s">
        <v>4254</v>
      </c>
      <c r="BH270" s="81" t="s">
        <v>4887</v>
      </c>
      <c r="BI270" s="81" t="s">
        <v>5191</v>
      </c>
      <c r="BJ270" s="81" t="s">
        <v>330</v>
      </c>
      <c r="BL270" s="81" t="s">
        <v>934</v>
      </c>
      <c r="BM270" s="81">
        <v>267</v>
      </c>
      <c r="BN270" s="81" t="str">
        <f t="shared" si="211"/>
        <v>='November 40'!C12</v>
      </c>
      <c r="BP270" s="81" t="str">
        <f t="shared" ca="1" si="219"/>
        <v/>
      </c>
      <c r="BR270" s="84">
        <f t="shared" si="213"/>
        <v>0</v>
      </c>
      <c r="BS270" s="84">
        <f t="shared" si="214"/>
        <v>0</v>
      </c>
      <c r="CA270" s="81" t="s">
        <v>2</v>
      </c>
      <c r="CB270" s="81">
        <f t="shared" si="220"/>
        <v>0</v>
      </c>
      <c r="CC270" s="81">
        <f t="shared" si="221"/>
        <v>0</v>
      </c>
      <c r="CD270" s="81" t="s">
        <v>16</v>
      </c>
      <c r="CE270" s="81">
        <f t="shared" si="222"/>
        <v>0</v>
      </c>
      <c r="CF270" s="81">
        <f t="shared" si="223"/>
        <v>0</v>
      </c>
      <c r="CG270" s="81" t="s">
        <v>5</v>
      </c>
      <c r="CH270" s="81">
        <f t="shared" si="224"/>
        <v>0</v>
      </c>
      <c r="CI270" s="81">
        <f t="shared" si="225"/>
        <v>0</v>
      </c>
      <c r="CJ270" s="81" t="s">
        <v>18</v>
      </c>
      <c r="CK270" s="81">
        <f t="shared" si="226"/>
        <v>0</v>
      </c>
      <c r="CL270" s="81">
        <f t="shared" si="227"/>
        <v>0</v>
      </c>
      <c r="CM270" s="81" t="s">
        <v>4</v>
      </c>
      <c r="CN270" s="81">
        <f t="shared" si="228"/>
        <v>0</v>
      </c>
      <c r="CO270" s="81">
        <f t="shared" si="229"/>
        <v>0</v>
      </c>
      <c r="CP270" s="81" t="s">
        <v>22</v>
      </c>
      <c r="CQ270" s="81">
        <f t="shared" si="230"/>
        <v>0</v>
      </c>
      <c r="CR270" s="81">
        <f t="shared" si="231"/>
        <v>0</v>
      </c>
      <c r="CS270" s="81" t="s">
        <v>21</v>
      </c>
      <c r="CT270" s="81">
        <f t="shared" si="232"/>
        <v>0</v>
      </c>
      <c r="CU270" s="81">
        <f t="shared" si="233"/>
        <v>0</v>
      </c>
      <c r="CV270" s="81" t="s">
        <v>998</v>
      </c>
      <c r="CW270" s="81">
        <f t="shared" si="234"/>
        <v>0</v>
      </c>
      <c r="CX270" s="81">
        <f t="shared" si="235"/>
        <v>0</v>
      </c>
      <c r="CY270" s="81" t="s">
        <v>19</v>
      </c>
      <c r="CZ270" s="81">
        <f t="shared" si="236"/>
        <v>0</v>
      </c>
      <c r="DA270" s="81">
        <f t="shared" si="237"/>
        <v>0</v>
      </c>
      <c r="DB270" s="81" t="s">
        <v>20</v>
      </c>
      <c r="DC270" s="81">
        <f t="shared" si="238"/>
        <v>0</v>
      </c>
      <c r="DD270" s="81">
        <f t="shared" si="239"/>
        <v>0</v>
      </c>
      <c r="DE270" s="81" t="s">
        <v>23</v>
      </c>
      <c r="DF270" s="81">
        <f t="shared" si="240"/>
        <v>0</v>
      </c>
      <c r="DG270" s="81">
        <f t="shared" si="241"/>
        <v>0</v>
      </c>
      <c r="DH270" s="81" t="s">
        <v>15</v>
      </c>
      <c r="DI270" s="81">
        <f t="shared" si="242"/>
        <v>0</v>
      </c>
      <c r="DJ270" s="81">
        <f t="shared" si="243"/>
        <v>0</v>
      </c>
      <c r="DK270" s="81" t="s">
        <v>5492</v>
      </c>
      <c r="DL270" s="81">
        <f t="shared" si="244"/>
        <v>0</v>
      </c>
      <c r="DM270" s="81">
        <f t="shared" si="245"/>
        <v>0</v>
      </c>
      <c r="DN270" s="81" t="s">
        <v>7</v>
      </c>
      <c r="DO270" s="81">
        <f t="shared" si="246"/>
        <v>0</v>
      </c>
      <c r="DP270" s="81">
        <f t="shared" si="247"/>
        <v>0</v>
      </c>
      <c r="DQ270" s="81" t="s">
        <v>1</v>
      </c>
      <c r="DR270" s="81">
        <f t="shared" si="248"/>
        <v>0</v>
      </c>
      <c r="DS270" s="81">
        <f t="shared" si="249"/>
        <v>0</v>
      </c>
    </row>
    <row r="271" spans="14:123" x14ac:dyDescent="0.3">
      <c r="N271" s="81">
        <f>IF(Q272=0,IF(Q271=0,,"x"),)</f>
        <v>0</v>
      </c>
      <c r="O271" s="81">
        <f t="shared" si="250"/>
        <v>0</v>
      </c>
      <c r="P271" s="81">
        <f t="shared" si="215"/>
        <v>0</v>
      </c>
      <c r="Q271" s="81">
        <f t="shared" si="251"/>
        <v>0</v>
      </c>
      <c r="R271" s="81">
        <f>IF(W271="",,SUM($W$4:W271))</f>
        <v>0</v>
      </c>
      <c r="S271" s="81">
        <f t="shared" si="216"/>
        <v>0</v>
      </c>
      <c r="T271" s="81">
        <f t="shared" si="252"/>
        <v>0</v>
      </c>
      <c r="U271" s="81">
        <f t="shared" si="217"/>
        <v>0</v>
      </c>
      <c r="AE271" s="81">
        <v>271</v>
      </c>
      <c r="AI271" s="81">
        <v>268</v>
      </c>
      <c r="AJ271" s="81" t="str">
        <f t="shared" si="208"/>
        <v>December 40</v>
      </c>
      <c r="AK271" s="81" t="str">
        <f t="shared" si="207"/>
        <v>December</v>
      </c>
      <c r="AL271" s="81">
        <f t="shared" si="206"/>
        <v>40</v>
      </c>
      <c r="AM271" s="81" t="str">
        <f t="shared" si="218"/>
        <v>='December 40'!</v>
      </c>
      <c r="AN271" s="81" t="str">
        <f t="shared" si="212"/>
        <v>='December 40'!C27</v>
      </c>
      <c r="AO271" s="81" t="s">
        <v>1271</v>
      </c>
      <c r="AR271" s="81" t="s">
        <v>331</v>
      </c>
      <c r="AS271" s="83" t="str">
        <f t="shared" si="209"/>
        <v>='December 40'!C6</v>
      </c>
      <c r="AT271" s="83">
        <f t="shared" si="210"/>
        <v>0</v>
      </c>
      <c r="AV271" s="81" t="s">
        <v>632</v>
      </c>
      <c r="AW271" s="81" t="s">
        <v>4255</v>
      </c>
      <c r="AX271" s="81" t="s">
        <v>4256</v>
      </c>
      <c r="AY271" s="81" t="s">
        <v>4257</v>
      </c>
      <c r="AZ271" s="81" t="s">
        <v>4258</v>
      </c>
      <c r="BA271" s="81" t="s">
        <v>4259</v>
      </c>
      <c r="BB271" s="81" t="s">
        <v>4260</v>
      </c>
      <c r="BC271" s="81" t="s">
        <v>4261</v>
      </c>
      <c r="BD271" s="81" t="s">
        <v>4262</v>
      </c>
      <c r="BE271" s="81" t="s">
        <v>4263</v>
      </c>
      <c r="BF271" s="81" t="s">
        <v>4264</v>
      </c>
      <c r="BG271" s="81" t="s">
        <v>4265</v>
      </c>
      <c r="BH271" s="81" t="s">
        <v>4888</v>
      </c>
      <c r="BI271" s="81" t="s">
        <v>5192</v>
      </c>
      <c r="BJ271" s="81" t="s">
        <v>331</v>
      </c>
      <c r="BL271" s="81" t="s">
        <v>935</v>
      </c>
      <c r="BM271" s="81">
        <v>268</v>
      </c>
      <c r="BN271" s="81" t="str">
        <f t="shared" si="211"/>
        <v>='December 40'!C12</v>
      </c>
      <c r="BP271" s="81" t="str">
        <f t="shared" ca="1" si="219"/>
        <v/>
      </c>
      <c r="BR271" s="84">
        <f t="shared" si="213"/>
        <v>0</v>
      </c>
      <c r="BS271" s="84">
        <f t="shared" si="214"/>
        <v>0</v>
      </c>
      <c r="CA271" s="81" t="s">
        <v>2</v>
      </c>
      <c r="CB271" s="81">
        <f t="shared" si="220"/>
        <v>0</v>
      </c>
      <c r="CC271" s="81">
        <f t="shared" si="221"/>
        <v>0</v>
      </c>
      <c r="CD271" s="81" t="s">
        <v>16</v>
      </c>
      <c r="CE271" s="81">
        <f t="shared" si="222"/>
        <v>0</v>
      </c>
      <c r="CF271" s="81">
        <f t="shared" si="223"/>
        <v>0</v>
      </c>
      <c r="CG271" s="81" t="s">
        <v>5</v>
      </c>
      <c r="CH271" s="81">
        <f t="shared" si="224"/>
        <v>0</v>
      </c>
      <c r="CI271" s="81">
        <f t="shared" si="225"/>
        <v>0</v>
      </c>
      <c r="CJ271" s="81" t="s">
        <v>18</v>
      </c>
      <c r="CK271" s="81">
        <f t="shared" si="226"/>
        <v>0</v>
      </c>
      <c r="CL271" s="81">
        <f t="shared" si="227"/>
        <v>0</v>
      </c>
      <c r="CM271" s="81" t="s">
        <v>4</v>
      </c>
      <c r="CN271" s="81">
        <f t="shared" si="228"/>
        <v>0</v>
      </c>
      <c r="CO271" s="81">
        <f t="shared" si="229"/>
        <v>0</v>
      </c>
      <c r="CP271" s="81" t="s">
        <v>22</v>
      </c>
      <c r="CQ271" s="81">
        <f t="shared" si="230"/>
        <v>0</v>
      </c>
      <c r="CR271" s="81">
        <f t="shared" si="231"/>
        <v>0</v>
      </c>
      <c r="CS271" s="81" t="s">
        <v>21</v>
      </c>
      <c r="CT271" s="81">
        <f t="shared" si="232"/>
        <v>0</v>
      </c>
      <c r="CU271" s="81">
        <f t="shared" si="233"/>
        <v>0</v>
      </c>
      <c r="CV271" s="81" t="s">
        <v>998</v>
      </c>
      <c r="CW271" s="81">
        <f t="shared" si="234"/>
        <v>0</v>
      </c>
      <c r="CX271" s="81">
        <f t="shared" si="235"/>
        <v>0</v>
      </c>
      <c r="CY271" s="81" t="s">
        <v>19</v>
      </c>
      <c r="CZ271" s="81">
        <f t="shared" si="236"/>
        <v>0</v>
      </c>
      <c r="DA271" s="81">
        <f t="shared" si="237"/>
        <v>0</v>
      </c>
      <c r="DB271" s="81" t="s">
        <v>20</v>
      </c>
      <c r="DC271" s="81">
        <f t="shared" si="238"/>
        <v>0</v>
      </c>
      <c r="DD271" s="81">
        <f t="shared" si="239"/>
        <v>0</v>
      </c>
      <c r="DE271" s="81" t="s">
        <v>23</v>
      </c>
      <c r="DF271" s="81">
        <f t="shared" si="240"/>
        <v>0</v>
      </c>
      <c r="DG271" s="81">
        <f t="shared" si="241"/>
        <v>0</v>
      </c>
      <c r="DH271" s="81" t="s">
        <v>15</v>
      </c>
      <c r="DI271" s="81">
        <f t="shared" si="242"/>
        <v>0</v>
      </c>
      <c r="DJ271" s="81">
        <f t="shared" si="243"/>
        <v>0</v>
      </c>
      <c r="DK271" s="81" t="s">
        <v>5493</v>
      </c>
      <c r="DL271" s="81">
        <f t="shared" si="244"/>
        <v>0</v>
      </c>
      <c r="DM271" s="81">
        <f t="shared" si="245"/>
        <v>0</v>
      </c>
      <c r="DN271" s="81" t="s">
        <v>7</v>
      </c>
      <c r="DO271" s="81">
        <f t="shared" si="246"/>
        <v>0</v>
      </c>
      <c r="DP271" s="81">
        <f t="shared" si="247"/>
        <v>0</v>
      </c>
      <c r="DQ271" s="81" t="s">
        <v>1</v>
      </c>
      <c r="DR271" s="81">
        <f t="shared" si="248"/>
        <v>0</v>
      </c>
      <c r="DS271" s="81">
        <f t="shared" si="249"/>
        <v>0</v>
      </c>
    </row>
    <row r="272" spans="14:123" x14ac:dyDescent="0.3">
      <c r="N272" s="81">
        <f>IF(Q273=0,IF(Q272=0,,"x"),)</f>
        <v>0</v>
      </c>
      <c r="O272" s="81">
        <f t="shared" si="250"/>
        <v>0</v>
      </c>
      <c r="P272" s="81">
        <f t="shared" si="215"/>
        <v>0</v>
      </c>
      <c r="Q272" s="81">
        <f t="shared" si="251"/>
        <v>0</v>
      </c>
      <c r="R272" s="81">
        <f>IF(W272="",,SUM($W$4:W272))</f>
        <v>0</v>
      </c>
      <c r="S272" s="81">
        <f t="shared" si="216"/>
        <v>0</v>
      </c>
      <c r="T272" s="81">
        <f t="shared" si="252"/>
        <v>0</v>
      </c>
      <c r="U272" s="81">
        <f t="shared" si="217"/>
        <v>0</v>
      </c>
      <c r="AE272" s="81">
        <v>272</v>
      </c>
      <c r="AI272" s="81">
        <v>269</v>
      </c>
      <c r="AJ272" s="81" t="str">
        <f t="shared" si="208"/>
        <v>Januari 41</v>
      </c>
      <c r="AK272" s="81" t="str">
        <f t="shared" si="207"/>
        <v>Januari</v>
      </c>
      <c r="AL272" s="81">
        <f t="shared" ref="AL272:AL329" si="253">IFERROR(IF(AI272=AI271+1,IF(SUM(AL260:AL271)/12=AL271,AL271+1,AL271)," ")," ")</f>
        <v>41</v>
      </c>
      <c r="AM272" s="81" t="str">
        <f t="shared" si="218"/>
        <v>='Januari 41'!</v>
      </c>
      <c r="AN272" s="81" t="str">
        <f t="shared" si="212"/>
        <v>='Januari 41'!C27</v>
      </c>
      <c r="AO272" s="81" t="s">
        <v>1272</v>
      </c>
      <c r="AR272" s="81" t="s">
        <v>332</v>
      </c>
      <c r="AS272" s="83" t="str">
        <f t="shared" si="209"/>
        <v>='Januari 41'!C6</v>
      </c>
      <c r="AT272" s="83">
        <f t="shared" si="210"/>
        <v>0</v>
      </c>
      <c r="AV272" s="81" t="s">
        <v>633</v>
      </c>
      <c r="AW272" s="81" t="s">
        <v>4266</v>
      </c>
      <c r="AX272" s="81" t="s">
        <v>4267</v>
      </c>
      <c r="AY272" s="81" t="s">
        <v>4268</v>
      </c>
      <c r="AZ272" s="81" t="s">
        <v>4269</v>
      </c>
      <c r="BA272" s="81" t="s">
        <v>4270</v>
      </c>
      <c r="BB272" s="81" t="s">
        <v>4271</v>
      </c>
      <c r="BC272" s="81" t="s">
        <v>4272</v>
      </c>
      <c r="BD272" s="81" t="s">
        <v>4273</v>
      </c>
      <c r="BE272" s="81" t="s">
        <v>4274</v>
      </c>
      <c r="BF272" s="81" t="s">
        <v>4275</v>
      </c>
      <c r="BG272" s="81" t="s">
        <v>4276</v>
      </c>
      <c r="BH272" s="81" t="s">
        <v>4889</v>
      </c>
      <c r="BI272" s="81" t="s">
        <v>5193</v>
      </c>
      <c r="BJ272" s="81" t="s">
        <v>332</v>
      </c>
      <c r="BL272" s="81" t="s">
        <v>936</v>
      </c>
      <c r="BM272" s="81">
        <v>269</v>
      </c>
      <c r="BN272" s="81" t="str">
        <f t="shared" si="211"/>
        <v>='Januari 41'!C12</v>
      </c>
      <c r="BP272" s="81" t="str">
        <f t="shared" ca="1" si="219"/>
        <v/>
      </c>
      <c r="BR272" s="84">
        <f t="shared" si="213"/>
        <v>0</v>
      </c>
      <c r="BS272" s="84">
        <f t="shared" si="214"/>
        <v>0</v>
      </c>
      <c r="CA272" s="81" t="s">
        <v>2</v>
      </c>
      <c r="CB272" s="81">
        <f t="shared" si="220"/>
        <v>0</v>
      </c>
      <c r="CC272" s="81">
        <f t="shared" si="221"/>
        <v>0</v>
      </c>
      <c r="CD272" s="81" t="s">
        <v>16</v>
      </c>
      <c r="CE272" s="81">
        <f t="shared" si="222"/>
        <v>0</v>
      </c>
      <c r="CF272" s="81">
        <f t="shared" si="223"/>
        <v>0</v>
      </c>
      <c r="CG272" s="81" t="s">
        <v>5</v>
      </c>
      <c r="CH272" s="81">
        <f t="shared" si="224"/>
        <v>0</v>
      </c>
      <c r="CI272" s="81">
        <f t="shared" si="225"/>
        <v>0</v>
      </c>
      <c r="CJ272" s="81" t="s">
        <v>18</v>
      </c>
      <c r="CK272" s="81">
        <f t="shared" si="226"/>
        <v>0</v>
      </c>
      <c r="CL272" s="81">
        <f t="shared" si="227"/>
        <v>0</v>
      </c>
      <c r="CM272" s="81" t="s">
        <v>4</v>
      </c>
      <c r="CN272" s="81">
        <f t="shared" si="228"/>
        <v>0</v>
      </c>
      <c r="CO272" s="81">
        <f t="shared" si="229"/>
        <v>0</v>
      </c>
      <c r="CP272" s="81" t="s">
        <v>22</v>
      </c>
      <c r="CQ272" s="81">
        <f t="shared" si="230"/>
        <v>0</v>
      </c>
      <c r="CR272" s="81">
        <f t="shared" si="231"/>
        <v>0</v>
      </c>
      <c r="CS272" s="81" t="s">
        <v>21</v>
      </c>
      <c r="CT272" s="81">
        <f t="shared" si="232"/>
        <v>0</v>
      </c>
      <c r="CU272" s="81">
        <f t="shared" si="233"/>
        <v>0</v>
      </c>
      <c r="CV272" s="81" t="s">
        <v>998</v>
      </c>
      <c r="CW272" s="81">
        <f t="shared" si="234"/>
        <v>0</v>
      </c>
      <c r="CX272" s="81">
        <f t="shared" si="235"/>
        <v>0</v>
      </c>
      <c r="CY272" s="81" t="s">
        <v>19</v>
      </c>
      <c r="CZ272" s="81">
        <f t="shared" si="236"/>
        <v>0</v>
      </c>
      <c r="DA272" s="81">
        <f t="shared" si="237"/>
        <v>0</v>
      </c>
      <c r="DB272" s="81" t="s">
        <v>20</v>
      </c>
      <c r="DC272" s="81">
        <f t="shared" si="238"/>
        <v>0</v>
      </c>
      <c r="DD272" s="81">
        <f t="shared" si="239"/>
        <v>0</v>
      </c>
      <c r="DE272" s="81" t="s">
        <v>23</v>
      </c>
      <c r="DF272" s="81">
        <f t="shared" si="240"/>
        <v>0</v>
      </c>
      <c r="DG272" s="81">
        <f t="shared" si="241"/>
        <v>0</v>
      </c>
      <c r="DH272" s="81" t="s">
        <v>15</v>
      </c>
      <c r="DI272" s="81">
        <f t="shared" si="242"/>
        <v>0</v>
      </c>
      <c r="DJ272" s="81">
        <f t="shared" si="243"/>
        <v>0</v>
      </c>
      <c r="DK272" s="81" t="s">
        <v>5494</v>
      </c>
      <c r="DL272" s="81">
        <f t="shared" si="244"/>
        <v>0</v>
      </c>
      <c r="DM272" s="81">
        <f t="shared" si="245"/>
        <v>0</v>
      </c>
      <c r="DN272" s="81" t="s">
        <v>7</v>
      </c>
      <c r="DO272" s="81">
        <f t="shared" si="246"/>
        <v>0</v>
      </c>
      <c r="DP272" s="81">
        <f t="shared" si="247"/>
        <v>0</v>
      </c>
      <c r="DQ272" s="81" t="s">
        <v>1</v>
      </c>
      <c r="DR272" s="81">
        <f t="shared" si="248"/>
        <v>0</v>
      </c>
      <c r="DS272" s="81">
        <f t="shared" si="249"/>
        <v>0</v>
      </c>
    </row>
    <row r="273" spans="14:123" x14ac:dyDescent="0.3">
      <c r="N273" s="81">
        <f>IF(Q274=0,IF(Q273=0,,"x"),)</f>
        <v>0</v>
      </c>
      <c r="O273" s="81">
        <f t="shared" si="250"/>
        <v>0</v>
      </c>
      <c r="P273" s="81">
        <f t="shared" si="215"/>
        <v>0</v>
      </c>
      <c r="Q273" s="81">
        <f t="shared" si="251"/>
        <v>0</v>
      </c>
      <c r="R273" s="81">
        <f>IF(W273="",,SUM($W$4:W273))</f>
        <v>0</v>
      </c>
      <c r="S273" s="81">
        <f t="shared" si="216"/>
        <v>0</v>
      </c>
      <c r="T273" s="81">
        <f t="shared" si="252"/>
        <v>0</v>
      </c>
      <c r="U273" s="81">
        <f t="shared" si="217"/>
        <v>0</v>
      </c>
      <c r="AE273" s="81">
        <v>273</v>
      </c>
      <c r="AI273" s="81">
        <v>270</v>
      </c>
      <c r="AJ273" s="81" t="str">
        <f t="shared" si="208"/>
        <v>Februari 41</v>
      </c>
      <c r="AK273" s="81" t="str">
        <f t="shared" ref="AK273:AK329" si="254">AK261</f>
        <v>Februari</v>
      </c>
      <c r="AL273" s="81">
        <f t="shared" si="253"/>
        <v>41</v>
      </c>
      <c r="AM273" s="81" t="str">
        <f t="shared" si="218"/>
        <v>='Februari 41'!</v>
      </c>
      <c r="AN273" s="81" t="str">
        <f t="shared" si="212"/>
        <v>='Februari 41'!C27</v>
      </c>
      <c r="AO273" s="81" t="s">
        <v>1273</v>
      </c>
      <c r="AR273" s="81" t="s">
        <v>333</v>
      </c>
      <c r="AS273" s="83" t="str">
        <f t="shared" si="209"/>
        <v>='Februari 41'!C6</v>
      </c>
      <c r="AT273" s="83">
        <f t="shared" si="210"/>
        <v>0</v>
      </c>
      <c r="AV273" s="81" t="s">
        <v>634</v>
      </c>
      <c r="AW273" s="81" t="s">
        <v>4277</v>
      </c>
      <c r="AX273" s="81" t="s">
        <v>4278</v>
      </c>
      <c r="AY273" s="81" t="s">
        <v>4279</v>
      </c>
      <c r="AZ273" s="81" t="s">
        <v>4280</v>
      </c>
      <c r="BA273" s="81" t="s">
        <v>4281</v>
      </c>
      <c r="BB273" s="81" t="s">
        <v>4282</v>
      </c>
      <c r="BC273" s="81" t="s">
        <v>4283</v>
      </c>
      <c r="BD273" s="81" t="s">
        <v>4284</v>
      </c>
      <c r="BE273" s="81" t="s">
        <v>4285</v>
      </c>
      <c r="BF273" s="81" t="s">
        <v>4286</v>
      </c>
      <c r="BG273" s="81" t="s">
        <v>4287</v>
      </c>
      <c r="BH273" s="81" t="s">
        <v>4890</v>
      </c>
      <c r="BI273" s="81" t="s">
        <v>5194</v>
      </c>
      <c r="BJ273" s="81" t="s">
        <v>333</v>
      </c>
      <c r="BL273" s="81" t="s">
        <v>937</v>
      </c>
      <c r="BM273" s="81">
        <v>270</v>
      </c>
      <c r="BN273" s="81" t="str">
        <f t="shared" si="211"/>
        <v>='Februari 41'!C12</v>
      </c>
      <c r="BP273" s="81" t="str">
        <f t="shared" ca="1" si="219"/>
        <v/>
      </c>
      <c r="BR273" s="84">
        <f t="shared" si="213"/>
        <v>0</v>
      </c>
      <c r="BS273" s="84">
        <f t="shared" si="214"/>
        <v>0</v>
      </c>
      <c r="CA273" s="81" t="s">
        <v>2</v>
      </c>
      <c r="CB273" s="81">
        <f t="shared" si="220"/>
        <v>0</v>
      </c>
      <c r="CC273" s="81">
        <f t="shared" si="221"/>
        <v>0</v>
      </c>
      <c r="CD273" s="81" t="s">
        <v>16</v>
      </c>
      <c r="CE273" s="81">
        <f t="shared" si="222"/>
        <v>0</v>
      </c>
      <c r="CF273" s="81">
        <f t="shared" si="223"/>
        <v>0</v>
      </c>
      <c r="CG273" s="81" t="s">
        <v>5</v>
      </c>
      <c r="CH273" s="81">
        <f t="shared" si="224"/>
        <v>0</v>
      </c>
      <c r="CI273" s="81">
        <f t="shared" si="225"/>
        <v>0</v>
      </c>
      <c r="CJ273" s="81" t="s">
        <v>18</v>
      </c>
      <c r="CK273" s="81">
        <f t="shared" si="226"/>
        <v>0</v>
      </c>
      <c r="CL273" s="81">
        <f t="shared" si="227"/>
        <v>0</v>
      </c>
      <c r="CM273" s="81" t="s">
        <v>4</v>
      </c>
      <c r="CN273" s="81">
        <f t="shared" si="228"/>
        <v>0</v>
      </c>
      <c r="CO273" s="81">
        <f t="shared" si="229"/>
        <v>0</v>
      </c>
      <c r="CP273" s="81" t="s">
        <v>22</v>
      </c>
      <c r="CQ273" s="81">
        <f t="shared" si="230"/>
        <v>0</v>
      </c>
      <c r="CR273" s="81">
        <f t="shared" si="231"/>
        <v>0</v>
      </c>
      <c r="CS273" s="81" t="s">
        <v>21</v>
      </c>
      <c r="CT273" s="81">
        <f t="shared" si="232"/>
        <v>0</v>
      </c>
      <c r="CU273" s="81">
        <f t="shared" si="233"/>
        <v>0</v>
      </c>
      <c r="CV273" s="81" t="s">
        <v>998</v>
      </c>
      <c r="CW273" s="81">
        <f t="shared" si="234"/>
        <v>0</v>
      </c>
      <c r="CX273" s="81">
        <f t="shared" si="235"/>
        <v>0</v>
      </c>
      <c r="CY273" s="81" t="s">
        <v>19</v>
      </c>
      <c r="CZ273" s="81">
        <f t="shared" si="236"/>
        <v>0</v>
      </c>
      <c r="DA273" s="81">
        <f t="shared" si="237"/>
        <v>0</v>
      </c>
      <c r="DB273" s="81" t="s">
        <v>20</v>
      </c>
      <c r="DC273" s="81">
        <f t="shared" si="238"/>
        <v>0</v>
      </c>
      <c r="DD273" s="81">
        <f t="shared" si="239"/>
        <v>0</v>
      </c>
      <c r="DE273" s="81" t="s">
        <v>23</v>
      </c>
      <c r="DF273" s="81">
        <f t="shared" si="240"/>
        <v>0</v>
      </c>
      <c r="DG273" s="81">
        <f t="shared" si="241"/>
        <v>0</v>
      </c>
      <c r="DH273" s="81" t="s">
        <v>15</v>
      </c>
      <c r="DI273" s="81">
        <f t="shared" si="242"/>
        <v>0</v>
      </c>
      <c r="DJ273" s="81">
        <f t="shared" si="243"/>
        <v>0</v>
      </c>
      <c r="DK273" s="81" t="s">
        <v>5495</v>
      </c>
      <c r="DL273" s="81">
        <f t="shared" si="244"/>
        <v>0</v>
      </c>
      <c r="DM273" s="81">
        <f t="shared" si="245"/>
        <v>0</v>
      </c>
      <c r="DN273" s="81" t="s">
        <v>7</v>
      </c>
      <c r="DO273" s="81">
        <f t="shared" si="246"/>
        <v>0</v>
      </c>
      <c r="DP273" s="81">
        <f t="shared" si="247"/>
        <v>0</v>
      </c>
      <c r="DQ273" s="81" t="s">
        <v>1</v>
      </c>
      <c r="DR273" s="81">
        <f t="shared" si="248"/>
        <v>0</v>
      </c>
      <c r="DS273" s="81">
        <f t="shared" si="249"/>
        <v>0</v>
      </c>
    </row>
    <row r="274" spans="14:123" x14ac:dyDescent="0.3">
      <c r="N274" s="81">
        <f>IF(Q275=0,IF(Q274=0,,"x"),)</f>
        <v>0</v>
      </c>
      <c r="O274" s="81">
        <f t="shared" si="250"/>
        <v>0</v>
      </c>
      <c r="P274" s="81">
        <f t="shared" si="215"/>
        <v>0</v>
      </c>
      <c r="Q274" s="81">
        <f t="shared" si="251"/>
        <v>0</v>
      </c>
      <c r="R274" s="81">
        <f>IF(W274="",,SUM($W$4:W274))</f>
        <v>0</v>
      </c>
      <c r="S274" s="81">
        <f t="shared" si="216"/>
        <v>0</v>
      </c>
      <c r="T274" s="81">
        <f t="shared" si="252"/>
        <v>0</v>
      </c>
      <c r="U274" s="81">
        <f t="shared" si="217"/>
        <v>0</v>
      </c>
      <c r="AE274" s="81">
        <v>274</v>
      </c>
      <c r="AI274" s="81">
        <v>271</v>
      </c>
      <c r="AJ274" s="81" t="str">
        <f t="shared" si="208"/>
        <v>Mars 41</v>
      </c>
      <c r="AK274" s="81" t="str">
        <f t="shared" si="254"/>
        <v>Mars</v>
      </c>
      <c r="AL274" s="81">
        <f t="shared" si="253"/>
        <v>41</v>
      </c>
      <c r="AM274" s="81" t="str">
        <f t="shared" si="218"/>
        <v>='Mars 41'!</v>
      </c>
      <c r="AN274" s="81" t="str">
        <f t="shared" si="212"/>
        <v>='Mars 41'!C27</v>
      </c>
      <c r="AO274" s="81" t="s">
        <v>1274</v>
      </c>
      <c r="AR274" s="81" t="s">
        <v>334</v>
      </c>
      <c r="AS274" s="83" t="str">
        <f t="shared" si="209"/>
        <v>='Mars 41'!C6</v>
      </c>
      <c r="AT274" s="83">
        <f t="shared" si="210"/>
        <v>0</v>
      </c>
      <c r="AV274" s="81" t="s">
        <v>635</v>
      </c>
      <c r="AW274" s="81" t="s">
        <v>4288</v>
      </c>
      <c r="AX274" s="81" t="s">
        <v>4289</v>
      </c>
      <c r="AY274" s="81" t="s">
        <v>4290</v>
      </c>
      <c r="AZ274" s="81" t="s">
        <v>4291</v>
      </c>
      <c r="BA274" s="81" t="s">
        <v>4292</v>
      </c>
      <c r="BB274" s="81" t="s">
        <v>4293</v>
      </c>
      <c r="BC274" s="81" t="s">
        <v>4294</v>
      </c>
      <c r="BD274" s="81" t="s">
        <v>4295</v>
      </c>
      <c r="BE274" s="81" t="s">
        <v>4296</v>
      </c>
      <c r="BF274" s="81" t="s">
        <v>4297</v>
      </c>
      <c r="BG274" s="81" t="s">
        <v>4298</v>
      </c>
      <c r="BH274" s="81" t="s">
        <v>4891</v>
      </c>
      <c r="BI274" s="81" t="s">
        <v>5195</v>
      </c>
      <c r="BJ274" s="81" t="s">
        <v>334</v>
      </c>
      <c r="BL274" s="81" t="s">
        <v>938</v>
      </c>
      <c r="BM274" s="81">
        <v>271</v>
      </c>
      <c r="BN274" s="81" t="str">
        <f t="shared" si="211"/>
        <v>='Mars 41'!C12</v>
      </c>
      <c r="BP274" s="81" t="str">
        <f t="shared" ca="1" si="219"/>
        <v/>
      </c>
      <c r="BR274" s="84">
        <f t="shared" si="213"/>
        <v>0</v>
      </c>
      <c r="BS274" s="84">
        <f t="shared" si="214"/>
        <v>0</v>
      </c>
      <c r="CA274" s="81" t="s">
        <v>2</v>
      </c>
      <c r="CB274" s="81">
        <f t="shared" si="220"/>
        <v>0</v>
      </c>
      <c r="CC274" s="81">
        <f t="shared" si="221"/>
        <v>0</v>
      </c>
      <c r="CD274" s="81" t="s">
        <v>16</v>
      </c>
      <c r="CE274" s="81">
        <f t="shared" si="222"/>
        <v>0</v>
      </c>
      <c r="CF274" s="81">
        <f t="shared" si="223"/>
        <v>0</v>
      </c>
      <c r="CG274" s="81" t="s">
        <v>5</v>
      </c>
      <c r="CH274" s="81">
        <f t="shared" si="224"/>
        <v>0</v>
      </c>
      <c r="CI274" s="81">
        <f t="shared" si="225"/>
        <v>0</v>
      </c>
      <c r="CJ274" s="81" t="s">
        <v>18</v>
      </c>
      <c r="CK274" s="81">
        <f t="shared" si="226"/>
        <v>0</v>
      </c>
      <c r="CL274" s="81">
        <f t="shared" si="227"/>
        <v>0</v>
      </c>
      <c r="CM274" s="81" t="s">
        <v>4</v>
      </c>
      <c r="CN274" s="81">
        <f t="shared" si="228"/>
        <v>0</v>
      </c>
      <c r="CO274" s="81">
        <f t="shared" si="229"/>
        <v>0</v>
      </c>
      <c r="CP274" s="81" t="s">
        <v>22</v>
      </c>
      <c r="CQ274" s="81">
        <f t="shared" si="230"/>
        <v>0</v>
      </c>
      <c r="CR274" s="81">
        <f t="shared" si="231"/>
        <v>0</v>
      </c>
      <c r="CS274" s="81" t="s">
        <v>21</v>
      </c>
      <c r="CT274" s="81">
        <f t="shared" si="232"/>
        <v>0</v>
      </c>
      <c r="CU274" s="81">
        <f t="shared" si="233"/>
        <v>0</v>
      </c>
      <c r="CV274" s="81" t="s">
        <v>998</v>
      </c>
      <c r="CW274" s="81">
        <f t="shared" si="234"/>
        <v>0</v>
      </c>
      <c r="CX274" s="81">
        <f t="shared" si="235"/>
        <v>0</v>
      </c>
      <c r="CY274" s="81" t="s">
        <v>19</v>
      </c>
      <c r="CZ274" s="81">
        <f t="shared" si="236"/>
        <v>0</v>
      </c>
      <c r="DA274" s="81">
        <f t="shared" si="237"/>
        <v>0</v>
      </c>
      <c r="DB274" s="81" t="s">
        <v>20</v>
      </c>
      <c r="DC274" s="81">
        <f t="shared" si="238"/>
        <v>0</v>
      </c>
      <c r="DD274" s="81">
        <f t="shared" si="239"/>
        <v>0</v>
      </c>
      <c r="DE274" s="81" t="s">
        <v>23</v>
      </c>
      <c r="DF274" s="81">
        <f t="shared" si="240"/>
        <v>0</v>
      </c>
      <c r="DG274" s="81">
        <f t="shared" si="241"/>
        <v>0</v>
      </c>
      <c r="DH274" s="81" t="s">
        <v>15</v>
      </c>
      <c r="DI274" s="81">
        <f t="shared" si="242"/>
        <v>0</v>
      </c>
      <c r="DJ274" s="81">
        <f t="shared" si="243"/>
        <v>0</v>
      </c>
      <c r="DK274" s="81" t="s">
        <v>5496</v>
      </c>
      <c r="DL274" s="81">
        <f t="shared" si="244"/>
        <v>0</v>
      </c>
      <c r="DM274" s="81">
        <f t="shared" si="245"/>
        <v>0</v>
      </c>
      <c r="DN274" s="81" t="s">
        <v>7</v>
      </c>
      <c r="DO274" s="81">
        <f t="shared" si="246"/>
        <v>0</v>
      </c>
      <c r="DP274" s="81">
        <f t="shared" si="247"/>
        <v>0</v>
      </c>
      <c r="DQ274" s="81" t="s">
        <v>1</v>
      </c>
      <c r="DR274" s="81">
        <f t="shared" si="248"/>
        <v>0</v>
      </c>
      <c r="DS274" s="81">
        <f t="shared" si="249"/>
        <v>0</v>
      </c>
    </row>
    <row r="275" spans="14:123" x14ac:dyDescent="0.3">
      <c r="N275" s="81">
        <f>IF(Q276=0,IF(Q275=0,,"x"),)</f>
        <v>0</v>
      </c>
      <c r="O275" s="81">
        <f t="shared" si="250"/>
        <v>0</v>
      </c>
      <c r="P275" s="81">
        <f t="shared" si="215"/>
        <v>0</v>
      </c>
      <c r="Q275" s="81">
        <f t="shared" si="251"/>
        <v>0</v>
      </c>
      <c r="R275" s="81">
        <f>IF(W275="",,SUM($W$4:W275))</f>
        <v>0</v>
      </c>
      <c r="S275" s="81">
        <f t="shared" si="216"/>
        <v>0</v>
      </c>
      <c r="T275" s="81">
        <f t="shared" si="252"/>
        <v>0</v>
      </c>
      <c r="U275" s="81">
        <f t="shared" si="217"/>
        <v>0</v>
      </c>
      <c r="AE275" s="81">
        <v>275</v>
      </c>
      <c r="AI275" s="81">
        <v>272</v>
      </c>
      <c r="AJ275" s="81" t="str">
        <f t="shared" si="208"/>
        <v>April 41</v>
      </c>
      <c r="AK275" s="81" t="str">
        <f t="shared" si="254"/>
        <v>April</v>
      </c>
      <c r="AL275" s="81">
        <f t="shared" si="253"/>
        <v>41</v>
      </c>
      <c r="AM275" s="81" t="str">
        <f t="shared" si="218"/>
        <v>='April 41'!</v>
      </c>
      <c r="AN275" s="81" t="str">
        <f t="shared" si="212"/>
        <v>='April 41'!C27</v>
      </c>
      <c r="AO275" s="81" t="s">
        <v>1275</v>
      </c>
      <c r="AR275" s="81" t="s">
        <v>335</v>
      </c>
      <c r="AS275" s="83" t="str">
        <f t="shared" si="209"/>
        <v>='April 41'!C6</v>
      </c>
      <c r="AT275" s="83">
        <f t="shared" si="210"/>
        <v>0</v>
      </c>
      <c r="AV275" s="81" t="s">
        <v>636</v>
      </c>
      <c r="AW275" s="81" t="s">
        <v>4299</v>
      </c>
      <c r="AX275" s="81" t="s">
        <v>4300</v>
      </c>
      <c r="AY275" s="81" t="s">
        <v>4301</v>
      </c>
      <c r="AZ275" s="81" t="s">
        <v>4302</v>
      </c>
      <c r="BA275" s="81" t="s">
        <v>4303</v>
      </c>
      <c r="BB275" s="81" t="s">
        <v>4304</v>
      </c>
      <c r="BC275" s="81" t="s">
        <v>4305</v>
      </c>
      <c r="BD275" s="81" t="s">
        <v>4306</v>
      </c>
      <c r="BE275" s="81" t="s">
        <v>4307</v>
      </c>
      <c r="BF275" s="81" t="s">
        <v>4308</v>
      </c>
      <c r="BG275" s="81" t="s">
        <v>4309</v>
      </c>
      <c r="BH275" s="81" t="s">
        <v>4892</v>
      </c>
      <c r="BI275" s="81" t="s">
        <v>5196</v>
      </c>
      <c r="BJ275" s="81" t="s">
        <v>335</v>
      </c>
      <c r="BL275" s="81" t="s">
        <v>939</v>
      </c>
      <c r="BM275" s="81">
        <v>272</v>
      </c>
      <c r="BN275" s="81" t="str">
        <f t="shared" si="211"/>
        <v>='April 41'!C12</v>
      </c>
      <c r="BP275" s="81" t="str">
        <f t="shared" ca="1" si="219"/>
        <v/>
      </c>
      <c r="BR275" s="84">
        <f t="shared" si="213"/>
        <v>0</v>
      </c>
      <c r="BS275" s="84">
        <f t="shared" si="214"/>
        <v>0</v>
      </c>
      <c r="CA275" s="81" t="s">
        <v>2</v>
      </c>
      <c r="CB275" s="81">
        <f t="shared" si="220"/>
        <v>0</v>
      </c>
      <c r="CC275" s="81">
        <f t="shared" si="221"/>
        <v>0</v>
      </c>
      <c r="CD275" s="81" t="s">
        <v>16</v>
      </c>
      <c r="CE275" s="81">
        <f t="shared" si="222"/>
        <v>0</v>
      </c>
      <c r="CF275" s="81">
        <f t="shared" si="223"/>
        <v>0</v>
      </c>
      <c r="CG275" s="81" t="s">
        <v>5</v>
      </c>
      <c r="CH275" s="81">
        <f t="shared" si="224"/>
        <v>0</v>
      </c>
      <c r="CI275" s="81">
        <f t="shared" si="225"/>
        <v>0</v>
      </c>
      <c r="CJ275" s="81" t="s">
        <v>18</v>
      </c>
      <c r="CK275" s="81">
        <f t="shared" si="226"/>
        <v>0</v>
      </c>
      <c r="CL275" s="81">
        <f t="shared" si="227"/>
        <v>0</v>
      </c>
      <c r="CM275" s="81" t="s">
        <v>4</v>
      </c>
      <c r="CN275" s="81">
        <f t="shared" si="228"/>
        <v>0</v>
      </c>
      <c r="CO275" s="81">
        <f t="shared" si="229"/>
        <v>0</v>
      </c>
      <c r="CP275" s="81" t="s">
        <v>22</v>
      </c>
      <c r="CQ275" s="81">
        <f t="shared" si="230"/>
        <v>0</v>
      </c>
      <c r="CR275" s="81">
        <f t="shared" si="231"/>
        <v>0</v>
      </c>
      <c r="CS275" s="81" t="s">
        <v>21</v>
      </c>
      <c r="CT275" s="81">
        <f t="shared" si="232"/>
        <v>0</v>
      </c>
      <c r="CU275" s="81">
        <f t="shared" si="233"/>
        <v>0</v>
      </c>
      <c r="CV275" s="81" t="s">
        <v>998</v>
      </c>
      <c r="CW275" s="81">
        <f t="shared" si="234"/>
        <v>0</v>
      </c>
      <c r="CX275" s="81">
        <f t="shared" si="235"/>
        <v>0</v>
      </c>
      <c r="CY275" s="81" t="s">
        <v>19</v>
      </c>
      <c r="CZ275" s="81">
        <f t="shared" si="236"/>
        <v>0</v>
      </c>
      <c r="DA275" s="81">
        <f t="shared" si="237"/>
        <v>0</v>
      </c>
      <c r="DB275" s="81" t="s">
        <v>20</v>
      </c>
      <c r="DC275" s="81">
        <f t="shared" si="238"/>
        <v>0</v>
      </c>
      <c r="DD275" s="81">
        <f t="shared" si="239"/>
        <v>0</v>
      </c>
      <c r="DE275" s="81" t="s">
        <v>23</v>
      </c>
      <c r="DF275" s="81">
        <f t="shared" si="240"/>
        <v>0</v>
      </c>
      <c r="DG275" s="81">
        <f t="shared" si="241"/>
        <v>0</v>
      </c>
      <c r="DH275" s="81" t="s">
        <v>15</v>
      </c>
      <c r="DI275" s="81">
        <f t="shared" si="242"/>
        <v>0</v>
      </c>
      <c r="DJ275" s="81">
        <f t="shared" si="243"/>
        <v>0</v>
      </c>
      <c r="DK275" s="81" t="s">
        <v>5497</v>
      </c>
      <c r="DL275" s="81">
        <f t="shared" si="244"/>
        <v>0</v>
      </c>
      <c r="DM275" s="81">
        <f t="shared" si="245"/>
        <v>0</v>
      </c>
      <c r="DN275" s="81" t="s">
        <v>7</v>
      </c>
      <c r="DO275" s="81">
        <f t="shared" si="246"/>
        <v>0</v>
      </c>
      <c r="DP275" s="81">
        <f t="shared" si="247"/>
        <v>0</v>
      </c>
      <c r="DQ275" s="81" t="s">
        <v>1</v>
      </c>
      <c r="DR275" s="81">
        <f t="shared" si="248"/>
        <v>0</v>
      </c>
      <c r="DS275" s="81">
        <f t="shared" si="249"/>
        <v>0</v>
      </c>
    </row>
    <row r="276" spans="14:123" x14ac:dyDescent="0.3">
      <c r="N276" s="81">
        <f>IF(Q277=0,IF(Q276=0,,"x"),)</f>
        <v>0</v>
      </c>
      <c r="O276" s="81">
        <f t="shared" si="250"/>
        <v>0</v>
      </c>
      <c r="P276" s="81">
        <f t="shared" si="215"/>
        <v>0</v>
      </c>
      <c r="Q276" s="81">
        <f t="shared" si="251"/>
        <v>0</v>
      </c>
      <c r="R276" s="81">
        <f>IF(W276="",,SUM($W$4:W276))</f>
        <v>0</v>
      </c>
      <c r="S276" s="81">
        <f t="shared" si="216"/>
        <v>0</v>
      </c>
      <c r="T276" s="81">
        <f t="shared" si="252"/>
        <v>0</v>
      </c>
      <c r="U276" s="81">
        <f t="shared" si="217"/>
        <v>0</v>
      </c>
      <c r="AE276" s="81">
        <v>276</v>
      </c>
      <c r="AI276" s="81">
        <v>273</v>
      </c>
      <c r="AJ276" s="81" t="str">
        <f t="shared" si="208"/>
        <v>Maj 41</v>
      </c>
      <c r="AK276" s="81" t="str">
        <f t="shared" si="254"/>
        <v>Maj</v>
      </c>
      <c r="AL276" s="81">
        <f t="shared" si="253"/>
        <v>41</v>
      </c>
      <c r="AM276" s="81" t="str">
        <f t="shared" si="218"/>
        <v>='Maj 41'!</v>
      </c>
      <c r="AN276" s="81" t="str">
        <f t="shared" si="212"/>
        <v>='Maj 41'!C27</v>
      </c>
      <c r="AO276" s="81" t="s">
        <v>1276</v>
      </c>
      <c r="AR276" s="81" t="s">
        <v>336</v>
      </c>
      <c r="AS276" s="83" t="str">
        <f t="shared" si="209"/>
        <v>='Maj 41'!C6</v>
      </c>
      <c r="AT276" s="83">
        <f t="shared" si="210"/>
        <v>0</v>
      </c>
      <c r="AV276" s="81" t="s">
        <v>637</v>
      </c>
      <c r="AW276" s="81" t="s">
        <v>4310</v>
      </c>
      <c r="AX276" s="81" t="s">
        <v>4311</v>
      </c>
      <c r="AY276" s="81" t="s">
        <v>4312</v>
      </c>
      <c r="AZ276" s="81" t="s">
        <v>4313</v>
      </c>
      <c r="BA276" s="81" t="s">
        <v>4314</v>
      </c>
      <c r="BB276" s="81" t="s">
        <v>4315</v>
      </c>
      <c r="BC276" s="81" t="s">
        <v>4316</v>
      </c>
      <c r="BD276" s="81" t="s">
        <v>4317</v>
      </c>
      <c r="BE276" s="81" t="s">
        <v>4318</v>
      </c>
      <c r="BF276" s="81" t="s">
        <v>4319</v>
      </c>
      <c r="BG276" s="81" t="s">
        <v>4320</v>
      </c>
      <c r="BH276" s="81" t="s">
        <v>4893</v>
      </c>
      <c r="BI276" s="81" t="s">
        <v>5197</v>
      </c>
      <c r="BJ276" s="81" t="s">
        <v>336</v>
      </c>
      <c r="BL276" s="81" t="s">
        <v>940</v>
      </c>
      <c r="BM276" s="81">
        <v>273</v>
      </c>
      <c r="BN276" s="81" t="str">
        <f t="shared" si="211"/>
        <v>='Maj 41'!C12</v>
      </c>
      <c r="BP276" s="81" t="str">
        <f t="shared" ca="1" si="219"/>
        <v/>
      </c>
      <c r="BR276" s="84">
        <f t="shared" si="213"/>
        <v>0</v>
      </c>
      <c r="BS276" s="84">
        <f t="shared" si="214"/>
        <v>0</v>
      </c>
      <c r="CA276" s="81" t="s">
        <v>2</v>
      </c>
      <c r="CB276" s="81">
        <f t="shared" si="220"/>
        <v>0</v>
      </c>
      <c r="CC276" s="81">
        <f t="shared" si="221"/>
        <v>0</v>
      </c>
      <c r="CD276" s="81" t="s">
        <v>16</v>
      </c>
      <c r="CE276" s="81">
        <f t="shared" si="222"/>
        <v>0</v>
      </c>
      <c r="CF276" s="81">
        <f t="shared" si="223"/>
        <v>0</v>
      </c>
      <c r="CG276" s="81" t="s">
        <v>5</v>
      </c>
      <c r="CH276" s="81">
        <f t="shared" si="224"/>
        <v>0</v>
      </c>
      <c r="CI276" s="81">
        <f t="shared" si="225"/>
        <v>0</v>
      </c>
      <c r="CJ276" s="81" t="s">
        <v>18</v>
      </c>
      <c r="CK276" s="81">
        <f t="shared" si="226"/>
        <v>0</v>
      </c>
      <c r="CL276" s="81">
        <f t="shared" si="227"/>
        <v>0</v>
      </c>
      <c r="CM276" s="81" t="s">
        <v>4</v>
      </c>
      <c r="CN276" s="81">
        <f t="shared" si="228"/>
        <v>0</v>
      </c>
      <c r="CO276" s="81">
        <f t="shared" si="229"/>
        <v>0</v>
      </c>
      <c r="CP276" s="81" t="s">
        <v>22</v>
      </c>
      <c r="CQ276" s="81">
        <f t="shared" si="230"/>
        <v>0</v>
      </c>
      <c r="CR276" s="81">
        <f t="shared" si="231"/>
        <v>0</v>
      </c>
      <c r="CS276" s="81" t="s">
        <v>21</v>
      </c>
      <c r="CT276" s="81">
        <f t="shared" si="232"/>
        <v>0</v>
      </c>
      <c r="CU276" s="81">
        <f t="shared" si="233"/>
        <v>0</v>
      </c>
      <c r="CV276" s="81" t="s">
        <v>998</v>
      </c>
      <c r="CW276" s="81">
        <f t="shared" si="234"/>
        <v>0</v>
      </c>
      <c r="CX276" s="81">
        <f t="shared" si="235"/>
        <v>0</v>
      </c>
      <c r="CY276" s="81" t="s">
        <v>19</v>
      </c>
      <c r="CZ276" s="81">
        <f t="shared" si="236"/>
        <v>0</v>
      </c>
      <c r="DA276" s="81">
        <f t="shared" si="237"/>
        <v>0</v>
      </c>
      <c r="DB276" s="81" t="s">
        <v>20</v>
      </c>
      <c r="DC276" s="81">
        <f t="shared" si="238"/>
        <v>0</v>
      </c>
      <c r="DD276" s="81">
        <f t="shared" si="239"/>
        <v>0</v>
      </c>
      <c r="DE276" s="81" t="s">
        <v>23</v>
      </c>
      <c r="DF276" s="81">
        <f t="shared" si="240"/>
        <v>0</v>
      </c>
      <c r="DG276" s="81">
        <f t="shared" si="241"/>
        <v>0</v>
      </c>
      <c r="DH276" s="81" t="s">
        <v>15</v>
      </c>
      <c r="DI276" s="81">
        <f t="shared" si="242"/>
        <v>0</v>
      </c>
      <c r="DJ276" s="81">
        <f t="shared" si="243"/>
        <v>0</v>
      </c>
      <c r="DK276" s="81" t="s">
        <v>5498</v>
      </c>
      <c r="DL276" s="81">
        <f t="shared" si="244"/>
        <v>0</v>
      </c>
      <c r="DM276" s="81">
        <f t="shared" si="245"/>
        <v>0</v>
      </c>
      <c r="DN276" s="81" t="s">
        <v>7</v>
      </c>
      <c r="DO276" s="81">
        <f t="shared" si="246"/>
        <v>0</v>
      </c>
      <c r="DP276" s="81">
        <f t="shared" si="247"/>
        <v>0</v>
      </c>
      <c r="DQ276" s="81" t="s">
        <v>1</v>
      </c>
      <c r="DR276" s="81">
        <f t="shared" si="248"/>
        <v>0</v>
      </c>
      <c r="DS276" s="81">
        <f t="shared" si="249"/>
        <v>0</v>
      </c>
    </row>
    <row r="277" spans="14:123" x14ac:dyDescent="0.3">
      <c r="N277" s="81">
        <f>IF(Q278=0,IF(Q277=0,,"x"),)</f>
        <v>0</v>
      </c>
      <c r="O277" s="81">
        <f t="shared" si="250"/>
        <v>0</v>
      </c>
      <c r="P277" s="81">
        <f t="shared" si="215"/>
        <v>0</v>
      </c>
      <c r="Q277" s="81">
        <f t="shared" si="251"/>
        <v>0</v>
      </c>
      <c r="R277" s="81">
        <f>IF(W277="",,SUM($W$4:W277))</f>
        <v>0</v>
      </c>
      <c r="S277" s="81">
        <f t="shared" si="216"/>
        <v>0</v>
      </c>
      <c r="T277" s="81">
        <f t="shared" si="252"/>
        <v>0</v>
      </c>
      <c r="U277" s="81">
        <f t="shared" si="217"/>
        <v>0</v>
      </c>
      <c r="AE277" s="81">
        <v>277</v>
      </c>
      <c r="AI277" s="81">
        <v>274</v>
      </c>
      <c r="AJ277" s="81" t="str">
        <f t="shared" si="208"/>
        <v>Juni 41</v>
      </c>
      <c r="AK277" s="81" t="str">
        <f t="shared" si="254"/>
        <v>Juni</v>
      </c>
      <c r="AL277" s="81">
        <f t="shared" si="253"/>
        <v>41</v>
      </c>
      <c r="AM277" s="81" t="str">
        <f t="shared" si="218"/>
        <v>='Juni 41'!</v>
      </c>
      <c r="AN277" s="81" t="str">
        <f t="shared" si="212"/>
        <v>='Juni 41'!C27</v>
      </c>
      <c r="AO277" s="81" t="s">
        <v>1277</v>
      </c>
      <c r="AR277" s="81" t="s">
        <v>337</v>
      </c>
      <c r="AS277" s="83" t="str">
        <f t="shared" si="209"/>
        <v>='Juni 41'!C6</v>
      </c>
      <c r="AT277" s="83">
        <f t="shared" si="210"/>
        <v>0</v>
      </c>
      <c r="AV277" s="81" t="s">
        <v>638</v>
      </c>
      <c r="AW277" s="81" t="s">
        <v>4321</v>
      </c>
      <c r="AX277" s="81" t="s">
        <v>4322</v>
      </c>
      <c r="AY277" s="81" t="s">
        <v>4323</v>
      </c>
      <c r="AZ277" s="81" t="s">
        <v>4324</v>
      </c>
      <c r="BA277" s="81" t="s">
        <v>4325</v>
      </c>
      <c r="BB277" s="81" t="s">
        <v>4326</v>
      </c>
      <c r="BC277" s="81" t="s">
        <v>4327</v>
      </c>
      <c r="BD277" s="81" t="s">
        <v>4328</v>
      </c>
      <c r="BE277" s="81" t="s">
        <v>4329</v>
      </c>
      <c r="BF277" s="81" t="s">
        <v>4330</v>
      </c>
      <c r="BG277" s="81" t="s">
        <v>4331</v>
      </c>
      <c r="BH277" s="81" t="s">
        <v>4894</v>
      </c>
      <c r="BI277" s="81" t="s">
        <v>5198</v>
      </c>
      <c r="BJ277" s="81" t="s">
        <v>337</v>
      </c>
      <c r="BL277" s="81" t="s">
        <v>941</v>
      </c>
      <c r="BM277" s="81">
        <v>274</v>
      </c>
      <c r="BN277" s="81" t="str">
        <f t="shared" si="211"/>
        <v>='Juni 41'!C12</v>
      </c>
      <c r="BP277" s="81" t="str">
        <f t="shared" ca="1" si="219"/>
        <v/>
      </c>
      <c r="BR277" s="84">
        <f t="shared" si="213"/>
        <v>0</v>
      </c>
      <c r="BS277" s="84">
        <f t="shared" si="214"/>
        <v>0</v>
      </c>
      <c r="CA277" s="81" t="s">
        <v>2</v>
      </c>
      <c r="CB277" s="81">
        <f t="shared" si="220"/>
        <v>0</v>
      </c>
      <c r="CC277" s="81">
        <f t="shared" si="221"/>
        <v>0</v>
      </c>
      <c r="CD277" s="81" t="s">
        <v>16</v>
      </c>
      <c r="CE277" s="81">
        <f t="shared" si="222"/>
        <v>0</v>
      </c>
      <c r="CF277" s="81">
        <f t="shared" si="223"/>
        <v>0</v>
      </c>
      <c r="CG277" s="81" t="s">
        <v>5</v>
      </c>
      <c r="CH277" s="81">
        <f t="shared" si="224"/>
        <v>0</v>
      </c>
      <c r="CI277" s="81">
        <f t="shared" si="225"/>
        <v>0</v>
      </c>
      <c r="CJ277" s="81" t="s">
        <v>18</v>
      </c>
      <c r="CK277" s="81">
        <f t="shared" si="226"/>
        <v>0</v>
      </c>
      <c r="CL277" s="81">
        <f t="shared" si="227"/>
        <v>0</v>
      </c>
      <c r="CM277" s="81" t="s">
        <v>4</v>
      </c>
      <c r="CN277" s="81">
        <f t="shared" si="228"/>
        <v>0</v>
      </c>
      <c r="CO277" s="81">
        <f t="shared" si="229"/>
        <v>0</v>
      </c>
      <c r="CP277" s="81" t="s">
        <v>22</v>
      </c>
      <c r="CQ277" s="81">
        <f t="shared" si="230"/>
        <v>0</v>
      </c>
      <c r="CR277" s="81">
        <f t="shared" si="231"/>
        <v>0</v>
      </c>
      <c r="CS277" s="81" t="s">
        <v>21</v>
      </c>
      <c r="CT277" s="81">
        <f t="shared" si="232"/>
        <v>0</v>
      </c>
      <c r="CU277" s="81">
        <f t="shared" si="233"/>
        <v>0</v>
      </c>
      <c r="CV277" s="81" t="s">
        <v>998</v>
      </c>
      <c r="CW277" s="81">
        <f t="shared" si="234"/>
        <v>0</v>
      </c>
      <c r="CX277" s="81">
        <f t="shared" si="235"/>
        <v>0</v>
      </c>
      <c r="CY277" s="81" t="s">
        <v>19</v>
      </c>
      <c r="CZ277" s="81">
        <f t="shared" si="236"/>
        <v>0</v>
      </c>
      <c r="DA277" s="81">
        <f t="shared" si="237"/>
        <v>0</v>
      </c>
      <c r="DB277" s="81" t="s">
        <v>20</v>
      </c>
      <c r="DC277" s="81">
        <f t="shared" si="238"/>
        <v>0</v>
      </c>
      <c r="DD277" s="81">
        <f t="shared" si="239"/>
        <v>0</v>
      </c>
      <c r="DE277" s="81" t="s">
        <v>23</v>
      </c>
      <c r="DF277" s="81">
        <f t="shared" si="240"/>
        <v>0</v>
      </c>
      <c r="DG277" s="81">
        <f t="shared" si="241"/>
        <v>0</v>
      </c>
      <c r="DH277" s="81" t="s">
        <v>15</v>
      </c>
      <c r="DI277" s="81">
        <f t="shared" si="242"/>
        <v>0</v>
      </c>
      <c r="DJ277" s="81">
        <f t="shared" si="243"/>
        <v>0</v>
      </c>
      <c r="DK277" s="81" t="s">
        <v>5499</v>
      </c>
      <c r="DL277" s="81">
        <f t="shared" si="244"/>
        <v>0</v>
      </c>
      <c r="DM277" s="81">
        <f t="shared" si="245"/>
        <v>0</v>
      </c>
      <c r="DN277" s="81" t="s">
        <v>7</v>
      </c>
      <c r="DO277" s="81">
        <f t="shared" si="246"/>
        <v>0</v>
      </c>
      <c r="DP277" s="81">
        <f t="shared" si="247"/>
        <v>0</v>
      </c>
      <c r="DQ277" s="81" t="s">
        <v>1</v>
      </c>
      <c r="DR277" s="81">
        <f t="shared" si="248"/>
        <v>0</v>
      </c>
      <c r="DS277" s="81">
        <f t="shared" si="249"/>
        <v>0</v>
      </c>
    </row>
    <row r="278" spans="14:123" x14ac:dyDescent="0.3">
      <c r="N278" s="81">
        <f>IF(Q279=0,IF(Q278=0,,"x"),)</f>
        <v>0</v>
      </c>
      <c r="O278" s="81">
        <f t="shared" si="250"/>
        <v>0</v>
      </c>
      <c r="P278" s="81">
        <f t="shared" si="215"/>
        <v>0</v>
      </c>
      <c r="Q278" s="81">
        <f t="shared" si="251"/>
        <v>0</v>
      </c>
      <c r="R278" s="81">
        <f>IF(W278="",,SUM($W$4:W278))</f>
        <v>0</v>
      </c>
      <c r="S278" s="81">
        <f t="shared" si="216"/>
        <v>0</v>
      </c>
      <c r="T278" s="81">
        <f t="shared" si="252"/>
        <v>0</v>
      </c>
      <c r="U278" s="81">
        <f t="shared" si="217"/>
        <v>0</v>
      </c>
      <c r="AE278" s="81">
        <v>278</v>
      </c>
      <c r="AI278" s="81">
        <v>275</v>
      </c>
      <c r="AJ278" s="81" t="str">
        <f t="shared" si="208"/>
        <v>Juli 41</v>
      </c>
      <c r="AK278" s="81" t="str">
        <f t="shared" si="254"/>
        <v>Juli</v>
      </c>
      <c r="AL278" s="81">
        <f t="shared" si="253"/>
        <v>41</v>
      </c>
      <c r="AM278" s="81" t="str">
        <f t="shared" si="218"/>
        <v>='Juli 41'!</v>
      </c>
      <c r="AN278" s="81" t="str">
        <f t="shared" si="212"/>
        <v>='Juli 41'!C27</v>
      </c>
      <c r="AO278" s="81" t="s">
        <v>1278</v>
      </c>
      <c r="AR278" s="81" t="s">
        <v>338</v>
      </c>
      <c r="AS278" s="83" t="str">
        <f t="shared" si="209"/>
        <v>='Juli 41'!C6</v>
      </c>
      <c r="AT278" s="83">
        <f t="shared" si="210"/>
        <v>0</v>
      </c>
      <c r="AV278" s="81" t="s">
        <v>639</v>
      </c>
      <c r="AW278" s="81" t="s">
        <v>4332</v>
      </c>
      <c r="AX278" s="81" t="s">
        <v>4333</v>
      </c>
      <c r="AY278" s="81" t="s">
        <v>4334</v>
      </c>
      <c r="AZ278" s="81" t="s">
        <v>4335</v>
      </c>
      <c r="BA278" s="81" t="s">
        <v>4336</v>
      </c>
      <c r="BB278" s="81" t="s">
        <v>4337</v>
      </c>
      <c r="BC278" s="81" t="s">
        <v>4338</v>
      </c>
      <c r="BD278" s="81" t="s">
        <v>4339</v>
      </c>
      <c r="BE278" s="81" t="s">
        <v>4340</v>
      </c>
      <c r="BF278" s="81" t="s">
        <v>4341</v>
      </c>
      <c r="BG278" s="81" t="s">
        <v>4342</v>
      </c>
      <c r="BH278" s="81" t="s">
        <v>4895</v>
      </c>
      <c r="BI278" s="81" t="s">
        <v>5199</v>
      </c>
      <c r="BJ278" s="81" t="s">
        <v>338</v>
      </c>
      <c r="BL278" s="81" t="s">
        <v>942</v>
      </c>
      <c r="BM278" s="81">
        <v>275</v>
      </c>
      <c r="BN278" s="81" t="str">
        <f t="shared" si="211"/>
        <v>='Juli 41'!C12</v>
      </c>
      <c r="BP278" s="81" t="str">
        <f t="shared" ca="1" si="219"/>
        <v/>
      </c>
      <c r="BR278" s="84">
        <f t="shared" si="213"/>
        <v>0</v>
      </c>
      <c r="BS278" s="84">
        <f t="shared" si="214"/>
        <v>0</v>
      </c>
      <c r="CA278" s="81" t="s">
        <v>2</v>
      </c>
      <c r="CB278" s="81">
        <f t="shared" si="220"/>
        <v>0</v>
      </c>
      <c r="CC278" s="81">
        <f t="shared" si="221"/>
        <v>0</v>
      </c>
      <c r="CD278" s="81" t="s">
        <v>16</v>
      </c>
      <c r="CE278" s="81">
        <f t="shared" si="222"/>
        <v>0</v>
      </c>
      <c r="CF278" s="81">
        <f t="shared" si="223"/>
        <v>0</v>
      </c>
      <c r="CG278" s="81" t="s">
        <v>5</v>
      </c>
      <c r="CH278" s="81">
        <f t="shared" si="224"/>
        <v>0</v>
      </c>
      <c r="CI278" s="81">
        <f t="shared" si="225"/>
        <v>0</v>
      </c>
      <c r="CJ278" s="81" t="s">
        <v>18</v>
      </c>
      <c r="CK278" s="81">
        <f t="shared" si="226"/>
        <v>0</v>
      </c>
      <c r="CL278" s="81">
        <f t="shared" si="227"/>
        <v>0</v>
      </c>
      <c r="CM278" s="81" t="s">
        <v>4</v>
      </c>
      <c r="CN278" s="81">
        <f t="shared" si="228"/>
        <v>0</v>
      </c>
      <c r="CO278" s="81">
        <f t="shared" si="229"/>
        <v>0</v>
      </c>
      <c r="CP278" s="81" t="s">
        <v>22</v>
      </c>
      <c r="CQ278" s="81">
        <f t="shared" si="230"/>
        <v>0</v>
      </c>
      <c r="CR278" s="81">
        <f t="shared" si="231"/>
        <v>0</v>
      </c>
      <c r="CS278" s="81" t="s">
        <v>21</v>
      </c>
      <c r="CT278" s="81">
        <f t="shared" si="232"/>
        <v>0</v>
      </c>
      <c r="CU278" s="81">
        <f t="shared" si="233"/>
        <v>0</v>
      </c>
      <c r="CV278" s="81" t="s">
        <v>998</v>
      </c>
      <c r="CW278" s="81">
        <f t="shared" si="234"/>
        <v>0</v>
      </c>
      <c r="CX278" s="81">
        <f t="shared" si="235"/>
        <v>0</v>
      </c>
      <c r="CY278" s="81" t="s">
        <v>19</v>
      </c>
      <c r="CZ278" s="81">
        <f t="shared" si="236"/>
        <v>0</v>
      </c>
      <c r="DA278" s="81">
        <f t="shared" si="237"/>
        <v>0</v>
      </c>
      <c r="DB278" s="81" t="s">
        <v>20</v>
      </c>
      <c r="DC278" s="81">
        <f t="shared" si="238"/>
        <v>0</v>
      </c>
      <c r="DD278" s="81">
        <f t="shared" si="239"/>
        <v>0</v>
      </c>
      <c r="DE278" s="81" t="s">
        <v>23</v>
      </c>
      <c r="DF278" s="81">
        <f t="shared" si="240"/>
        <v>0</v>
      </c>
      <c r="DG278" s="81">
        <f t="shared" si="241"/>
        <v>0</v>
      </c>
      <c r="DH278" s="81" t="s">
        <v>15</v>
      </c>
      <c r="DI278" s="81">
        <f t="shared" si="242"/>
        <v>0</v>
      </c>
      <c r="DJ278" s="81">
        <f t="shared" si="243"/>
        <v>0</v>
      </c>
      <c r="DK278" s="81" t="s">
        <v>5500</v>
      </c>
      <c r="DL278" s="81">
        <f t="shared" si="244"/>
        <v>0</v>
      </c>
      <c r="DM278" s="81">
        <f t="shared" si="245"/>
        <v>0</v>
      </c>
      <c r="DN278" s="81" t="s">
        <v>7</v>
      </c>
      <c r="DO278" s="81">
        <f t="shared" si="246"/>
        <v>0</v>
      </c>
      <c r="DP278" s="81">
        <f t="shared" si="247"/>
        <v>0</v>
      </c>
      <c r="DQ278" s="81" t="s">
        <v>1</v>
      </c>
      <c r="DR278" s="81">
        <f t="shared" si="248"/>
        <v>0</v>
      </c>
      <c r="DS278" s="81">
        <f t="shared" si="249"/>
        <v>0</v>
      </c>
    </row>
    <row r="279" spans="14:123" x14ac:dyDescent="0.3">
      <c r="N279" s="81">
        <f>IF(Q280=0,IF(Q279=0,,"x"),)</f>
        <v>0</v>
      </c>
      <c r="O279" s="81">
        <f t="shared" si="250"/>
        <v>0</v>
      </c>
      <c r="P279" s="81">
        <f t="shared" si="215"/>
        <v>0</v>
      </c>
      <c r="Q279" s="81">
        <f t="shared" si="251"/>
        <v>0</v>
      </c>
      <c r="R279" s="81">
        <f>IF(W279="",,SUM($W$4:W279))</f>
        <v>0</v>
      </c>
      <c r="S279" s="81">
        <f t="shared" si="216"/>
        <v>0</v>
      </c>
      <c r="T279" s="81">
        <f t="shared" si="252"/>
        <v>0</v>
      </c>
      <c r="U279" s="81">
        <f t="shared" si="217"/>
        <v>0</v>
      </c>
      <c r="AE279" s="81">
        <v>279</v>
      </c>
      <c r="AI279" s="81">
        <v>276</v>
      </c>
      <c r="AJ279" s="81" t="str">
        <f t="shared" si="208"/>
        <v>Augusti 41</v>
      </c>
      <c r="AK279" s="81" t="str">
        <f t="shared" si="254"/>
        <v>Augusti</v>
      </c>
      <c r="AL279" s="81">
        <f t="shared" si="253"/>
        <v>41</v>
      </c>
      <c r="AM279" s="81" t="str">
        <f t="shared" si="218"/>
        <v>='Augusti 41'!</v>
      </c>
      <c r="AN279" s="81" t="str">
        <f t="shared" si="212"/>
        <v>='Augusti 41'!C27</v>
      </c>
      <c r="AO279" s="81" t="s">
        <v>1279</v>
      </c>
      <c r="AR279" s="81" t="s">
        <v>339</v>
      </c>
      <c r="AS279" s="83" t="str">
        <f t="shared" si="209"/>
        <v>='Augusti 41'!C6</v>
      </c>
      <c r="AT279" s="83">
        <f t="shared" si="210"/>
        <v>0</v>
      </c>
      <c r="AV279" s="81" t="s">
        <v>640</v>
      </c>
      <c r="AW279" s="81" t="s">
        <v>4343</v>
      </c>
      <c r="AX279" s="81" t="s">
        <v>4344</v>
      </c>
      <c r="AY279" s="81" t="s">
        <v>4345</v>
      </c>
      <c r="AZ279" s="81" t="s">
        <v>4346</v>
      </c>
      <c r="BA279" s="81" t="s">
        <v>4347</v>
      </c>
      <c r="BB279" s="81" t="s">
        <v>4348</v>
      </c>
      <c r="BC279" s="81" t="s">
        <v>4349</v>
      </c>
      <c r="BD279" s="81" t="s">
        <v>4350</v>
      </c>
      <c r="BE279" s="81" t="s">
        <v>4351</v>
      </c>
      <c r="BF279" s="81" t="s">
        <v>4352</v>
      </c>
      <c r="BG279" s="81" t="s">
        <v>4353</v>
      </c>
      <c r="BH279" s="81" t="s">
        <v>4896</v>
      </c>
      <c r="BI279" s="81" t="s">
        <v>5200</v>
      </c>
      <c r="BJ279" s="81" t="s">
        <v>339</v>
      </c>
      <c r="BL279" s="81" t="s">
        <v>943</v>
      </c>
      <c r="BM279" s="81">
        <v>276</v>
      </c>
      <c r="BN279" s="81" t="str">
        <f t="shared" si="211"/>
        <v>='Augusti 41'!C12</v>
      </c>
      <c r="BP279" s="81" t="str">
        <f t="shared" ca="1" si="219"/>
        <v/>
      </c>
      <c r="BR279" s="84">
        <f t="shared" si="213"/>
        <v>0</v>
      </c>
      <c r="BS279" s="84">
        <f t="shared" si="214"/>
        <v>0</v>
      </c>
      <c r="CA279" s="81" t="s">
        <v>2</v>
      </c>
      <c r="CB279" s="81">
        <f t="shared" si="220"/>
        <v>0</v>
      </c>
      <c r="CC279" s="81">
        <f t="shared" si="221"/>
        <v>0</v>
      </c>
      <c r="CD279" s="81" t="s">
        <v>16</v>
      </c>
      <c r="CE279" s="81">
        <f t="shared" si="222"/>
        <v>0</v>
      </c>
      <c r="CF279" s="81">
        <f t="shared" si="223"/>
        <v>0</v>
      </c>
      <c r="CG279" s="81" t="s">
        <v>5</v>
      </c>
      <c r="CH279" s="81">
        <f t="shared" si="224"/>
        <v>0</v>
      </c>
      <c r="CI279" s="81">
        <f t="shared" si="225"/>
        <v>0</v>
      </c>
      <c r="CJ279" s="81" t="s">
        <v>18</v>
      </c>
      <c r="CK279" s="81">
        <f t="shared" si="226"/>
        <v>0</v>
      </c>
      <c r="CL279" s="81">
        <f t="shared" si="227"/>
        <v>0</v>
      </c>
      <c r="CM279" s="81" t="s">
        <v>4</v>
      </c>
      <c r="CN279" s="81">
        <f t="shared" si="228"/>
        <v>0</v>
      </c>
      <c r="CO279" s="81">
        <f t="shared" si="229"/>
        <v>0</v>
      </c>
      <c r="CP279" s="81" t="s">
        <v>22</v>
      </c>
      <c r="CQ279" s="81">
        <f t="shared" si="230"/>
        <v>0</v>
      </c>
      <c r="CR279" s="81">
        <f t="shared" si="231"/>
        <v>0</v>
      </c>
      <c r="CS279" s="81" t="s">
        <v>21</v>
      </c>
      <c r="CT279" s="81">
        <f t="shared" si="232"/>
        <v>0</v>
      </c>
      <c r="CU279" s="81">
        <f t="shared" si="233"/>
        <v>0</v>
      </c>
      <c r="CV279" s="81" t="s">
        <v>998</v>
      </c>
      <c r="CW279" s="81">
        <f t="shared" si="234"/>
        <v>0</v>
      </c>
      <c r="CX279" s="81">
        <f t="shared" si="235"/>
        <v>0</v>
      </c>
      <c r="CY279" s="81" t="s">
        <v>19</v>
      </c>
      <c r="CZ279" s="81">
        <f t="shared" si="236"/>
        <v>0</v>
      </c>
      <c r="DA279" s="81">
        <f t="shared" si="237"/>
        <v>0</v>
      </c>
      <c r="DB279" s="81" t="s">
        <v>20</v>
      </c>
      <c r="DC279" s="81">
        <f t="shared" si="238"/>
        <v>0</v>
      </c>
      <c r="DD279" s="81">
        <f t="shared" si="239"/>
        <v>0</v>
      </c>
      <c r="DE279" s="81" t="s">
        <v>23</v>
      </c>
      <c r="DF279" s="81">
        <f t="shared" si="240"/>
        <v>0</v>
      </c>
      <c r="DG279" s="81">
        <f t="shared" si="241"/>
        <v>0</v>
      </c>
      <c r="DH279" s="81" t="s">
        <v>15</v>
      </c>
      <c r="DI279" s="81">
        <f t="shared" si="242"/>
        <v>0</v>
      </c>
      <c r="DJ279" s="81">
        <f t="shared" si="243"/>
        <v>0</v>
      </c>
      <c r="DK279" s="81" t="s">
        <v>5501</v>
      </c>
      <c r="DL279" s="81">
        <f t="shared" si="244"/>
        <v>0</v>
      </c>
      <c r="DM279" s="81">
        <f t="shared" si="245"/>
        <v>0</v>
      </c>
      <c r="DN279" s="81" t="s">
        <v>7</v>
      </c>
      <c r="DO279" s="81">
        <f t="shared" si="246"/>
        <v>0</v>
      </c>
      <c r="DP279" s="81">
        <f t="shared" si="247"/>
        <v>0</v>
      </c>
      <c r="DQ279" s="81" t="s">
        <v>1</v>
      </c>
      <c r="DR279" s="81">
        <f t="shared" si="248"/>
        <v>0</v>
      </c>
      <c r="DS279" s="81">
        <f t="shared" si="249"/>
        <v>0</v>
      </c>
    </row>
    <row r="280" spans="14:123" x14ac:dyDescent="0.3">
      <c r="N280" s="81">
        <f>IF(Q281=0,IF(Q280=0,,"x"),)</f>
        <v>0</v>
      </c>
      <c r="O280" s="81">
        <f t="shared" si="250"/>
        <v>0</v>
      </c>
      <c r="P280" s="81">
        <f t="shared" si="215"/>
        <v>0</v>
      </c>
      <c r="Q280" s="81">
        <f t="shared" si="251"/>
        <v>0</v>
      </c>
      <c r="R280" s="81">
        <f>IF(W280="",,SUM($W$4:W280))</f>
        <v>0</v>
      </c>
      <c r="S280" s="81">
        <f t="shared" si="216"/>
        <v>0</v>
      </c>
      <c r="T280" s="81">
        <f t="shared" si="252"/>
        <v>0</v>
      </c>
      <c r="U280" s="81">
        <f t="shared" si="217"/>
        <v>0</v>
      </c>
      <c r="AE280" s="81">
        <v>280</v>
      </c>
      <c r="AI280" s="81">
        <v>277</v>
      </c>
      <c r="AJ280" s="81" t="str">
        <f t="shared" si="208"/>
        <v>September 41</v>
      </c>
      <c r="AK280" s="81" t="str">
        <f t="shared" si="254"/>
        <v>September</v>
      </c>
      <c r="AL280" s="81">
        <f t="shared" si="253"/>
        <v>41</v>
      </c>
      <c r="AM280" s="81" t="str">
        <f t="shared" si="218"/>
        <v>='September 41'!</v>
      </c>
      <c r="AN280" s="81" t="str">
        <f t="shared" si="212"/>
        <v>='September 41'!C27</v>
      </c>
      <c r="AO280" s="81" t="s">
        <v>1280</v>
      </c>
      <c r="AR280" s="81" t="s">
        <v>340</v>
      </c>
      <c r="AS280" s="83" t="str">
        <f t="shared" si="209"/>
        <v>='September 41'!C6</v>
      </c>
      <c r="AT280" s="83">
        <f t="shared" si="210"/>
        <v>0</v>
      </c>
      <c r="AV280" s="81" t="s">
        <v>641</v>
      </c>
      <c r="AW280" s="81" t="s">
        <v>4354</v>
      </c>
      <c r="AX280" s="81" t="s">
        <v>4355</v>
      </c>
      <c r="AY280" s="81" t="s">
        <v>4356</v>
      </c>
      <c r="AZ280" s="81" t="s">
        <v>4357</v>
      </c>
      <c r="BA280" s="81" t="s">
        <v>4358</v>
      </c>
      <c r="BB280" s="81" t="s">
        <v>4359</v>
      </c>
      <c r="BC280" s="81" t="s">
        <v>4360</v>
      </c>
      <c r="BD280" s="81" t="s">
        <v>4361</v>
      </c>
      <c r="BE280" s="81" t="s">
        <v>4362</v>
      </c>
      <c r="BF280" s="81" t="s">
        <v>4363</v>
      </c>
      <c r="BG280" s="81" t="s">
        <v>4364</v>
      </c>
      <c r="BH280" s="81" t="s">
        <v>4897</v>
      </c>
      <c r="BI280" s="81" t="s">
        <v>5201</v>
      </c>
      <c r="BJ280" s="81" t="s">
        <v>340</v>
      </c>
      <c r="BL280" s="81" t="s">
        <v>944</v>
      </c>
      <c r="BM280" s="81">
        <v>277</v>
      </c>
      <c r="BN280" s="81" t="str">
        <f t="shared" si="211"/>
        <v>='September 41'!C12</v>
      </c>
      <c r="CA280" s="81" t="s">
        <v>2</v>
      </c>
      <c r="CB280" s="81">
        <f t="shared" si="220"/>
        <v>0</v>
      </c>
      <c r="CC280" s="81">
        <f t="shared" si="221"/>
        <v>0</v>
      </c>
      <c r="CD280" s="81" t="s">
        <v>16</v>
      </c>
      <c r="CE280" s="81">
        <f t="shared" si="222"/>
        <v>0</v>
      </c>
      <c r="CF280" s="81">
        <f t="shared" si="223"/>
        <v>0</v>
      </c>
      <c r="CG280" s="81" t="s">
        <v>5</v>
      </c>
      <c r="CH280" s="81">
        <f t="shared" si="224"/>
        <v>0</v>
      </c>
      <c r="CI280" s="81">
        <f t="shared" si="225"/>
        <v>0</v>
      </c>
      <c r="CJ280" s="81" t="s">
        <v>18</v>
      </c>
      <c r="CK280" s="81">
        <f t="shared" si="226"/>
        <v>0</v>
      </c>
      <c r="CL280" s="81">
        <f t="shared" si="227"/>
        <v>0</v>
      </c>
      <c r="CM280" s="81" t="s">
        <v>4</v>
      </c>
      <c r="CN280" s="81">
        <f t="shared" si="228"/>
        <v>0</v>
      </c>
      <c r="CO280" s="81">
        <f t="shared" si="229"/>
        <v>0</v>
      </c>
      <c r="CP280" s="81" t="s">
        <v>22</v>
      </c>
      <c r="CQ280" s="81">
        <f t="shared" si="230"/>
        <v>0</v>
      </c>
      <c r="CR280" s="81">
        <f t="shared" si="231"/>
        <v>0</v>
      </c>
      <c r="CS280" s="81" t="s">
        <v>21</v>
      </c>
      <c r="CT280" s="81">
        <f t="shared" si="232"/>
        <v>0</v>
      </c>
      <c r="CU280" s="81">
        <f t="shared" si="233"/>
        <v>0</v>
      </c>
      <c r="CV280" s="81" t="s">
        <v>998</v>
      </c>
      <c r="CW280" s="81">
        <f t="shared" si="234"/>
        <v>0</v>
      </c>
      <c r="CX280" s="81">
        <f t="shared" si="235"/>
        <v>0</v>
      </c>
      <c r="CY280" s="81" t="s">
        <v>19</v>
      </c>
      <c r="CZ280" s="81">
        <f t="shared" si="236"/>
        <v>0</v>
      </c>
      <c r="DA280" s="81">
        <f t="shared" si="237"/>
        <v>0</v>
      </c>
      <c r="DB280" s="81" t="s">
        <v>20</v>
      </c>
      <c r="DC280" s="81">
        <f t="shared" si="238"/>
        <v>0</v>
      </c>
      <c r="DD280" s="81">
        <f t="shared" si="239"/>
        <v>0</v>
      </c>
      <c r="DE280" s="81" t="s">
        <v>23</v>
      </c>
      <c r="DF280" s="81">
        <f t="shared" si="240"/>
        <v>0</v>
      </c>
      <c r="DG280" s="81">
        <f t="shared" si="241"/>
        <v>0</v>
      </c>
      <c r="DH280" s="81" t="s">
        <v>15</v>
      </c>
      <c r="DI280" s="81">
        <f t="shared" si="242"/>
        <v>0</v>
      </c>
      <c r="DJ280" s="81">
        <f t="shared" si="243"/>
        <v>0</v>
      </c>
      <c r="DK280" s="81" t="s">
        <v>5502</v>
      </c>
      <c r="DL280" s="81">
        <f t="shared" si="244"/>
        <v>0</v>
      </c>
      <c r="DM280" s="81">
        <f t="shared" si="245"/>
        <v>0</v>
      </c>
      <c r="DN280" s="81" t="s">
        <v>7</v>
      </c>
      <c r="DO280" s="81">
        <f t="shared" si="246"/>
        <v>0</v>
      </c>
      <c r="DP280" s="81">
        <f t="shared" si="247"/>
        <v>0</v>
      </c>
      <c r="DQ280" s="81" t="s">
        <v>1</v>
      </c>
      <c r="DR280" s="81">
        <f t="shared" si="248"/>
        <v>0</v>
      </c>
      <c r="DS280" s="81">
        <f t="shared" si="249"/>
        <v>0</v>
      </c>
    </row>
    <row r="281" spans="14:123" x14ac:dyDescent="0.3">
      <c r="N281" s="81">
        <f>IF(Q282=0,IF(Q281=0,,"x"),)</f>
        <v>0</v>
      </c>
      <c r="O281" s="81">
        <f t="shared" si="250"/>
        <v>0</v>
      </c>
      <c r="P281" s="81">
        <f t="shared" si="215"/>
        <v>0</v>
      </c>
      <c r="Q281" s="81">
        <f t="shared" si="251"/>
        <v>0</v>
      </c>
      <c r="R281" s="81">
        <f>IF(W281="",,SUM($W$4:W281))</f>
        <v>0</v>
      </c>
      <c r="S281" s="81">
        <f t="shared" si="216"/>
        <v>0</v>
      </c>
      <c r="T281" s="81">
        <f t="shared" si="252"/>
        <v>0</v>
      </c>
      <c r="U281" s="81">
        <f t="shared" si="217"/>
        <v>0</v>
      </c>
      <c r="AE281" s="81">
        <v>281</v>
      </c>
      <c r="AI281" s="81">
        <v>278</v>
      </c>
      <c r="AJ281" s="81" t="str">
        <f t="shared" si="208"/>
        <v>Oktober 41</v>
      </c>
      <c r="AK281" s="81" t="str">
        <f t="shared" si="254"/>
        <v>Oktober</v>
      </c>
      <c r="AL281" s="81">
        <f t="shared" si="253"/>
        <v>41</v>
      </c>
      <c r="AM281" s="81" t="str">
        <f t="shared" si="218"/>
        <v>='Oktober 41'!</v>
      </c>
      <c r="AN281" s="81" t="str">
        <f t="shared" si="212"/>
        <v>='Oktober 41'!C27</v>
      </c>
      <c r="AO281" s="81" t="s">
        <v>1281</v>
      </c>
      <c r="AR281" s="81" t="s">
        <v>341</v>
      </c>
      <c r="AS281" s="83" t="str">
        <f t="shared" si="209"/>
        <v>='Oktober 41'!C6</v>
      </c>
      <c r="AT281" s="83">
        <f t="shared" si="210"/>
        <v>0</v>
      </c>
      <c r="AV281" s="81" t="s">
        <v>642</v>
      </c>
      <c r="AW281" s="81" t="s">
        <v>4365</v>
      </c>
      <c r="AX281" s="81" t="s">
        <v>4366</v>
      </c>
      <c r="AY281" s="81" t="s">
        <v>4367</v>
      </c>
      <c r="AZ281" s="81" t="s">
        <v>4368</v>
      </c>
      <c r="BA281" s="81" t="s">
        <v>4369</v>
      </c>
      <c r="BB281" s="81" t="s">
        <v>4370</v>
      </c>
      <c r="BC281" s="81" t="s">
        <v>4371</v>
      </c>
      <c r="BD281" s="81" t="s">
        <v>4372</v>
      </c>
      <c r="BE281" s="81" t="s">
        <v>4373</v>
      </c>
      <c r="BF281" s="81" t="s">
        <v>4374</v>
      </c>
      <c r="BG281" s="81" t="s">
        <v>4375</v>
      </c>
      <c r="BH281" s="81" t="s">
        <v>4898</v>
      </c>
      <c r="BI281" s="81" t="s">
        <v>5202</v>
      </c>
      <c r="BJ281" s="81" t="s">
        <v>341</v>
      </c>
      <c r="BL281" s="81" t="s">
        <v>945</v>
      </c>
      <c r="BM281" s="81">
        <v>278</v>
      </c>
      <c r="BN281" s="81" t="str">
        <f t="shared" si="211"/>
        <v>='Oktober 41'!C12</v>
      </c>
      <c r="CA281" s="81" t="s">
        <v>2</v>
      </c>
      <c r="CB281" s="81">
        <f t="shared" si="220"/>
        <v>0</v>
      </c>
      <c r="CC281" s="81">
        <f t="shared" si="221"/>
        <v>0</v>
      </c>
      <c r="CD281" s="81" t="s">
        <v>16</v>
      </c>
      <c r="CE281" s="81">
        <f t="shared" si="222"/>
        <v>0</v>
      </c>
      <c r="CF281" s="81">
        <f t="shared" si="223"/>
        <v>0</v>
      </c>
      <c r="CG281" s="81" t="s">
        <v>5</v>
      </c>
      <c r="CH281" s="81">
        <f t="shared" si="224"/>
        <v>0</v>
      </c>
      <c r="CI281" s="81">
        <f t="shared" si="225"/>
        <v>0</v>
      </c>
      <c r="CJ281" s="81" t="s">
        <v>18</v>
      </c>
      <c r="CK281" s="81">
        <f t="shared" si="226"/>
        <v>0</v>
      </c>
      <c r="CL281" s="81">
        <f t="shared" si="227"/>
        <v>0</v>
      </c>
      <c r="CM281" s="81" t="s">
        <v>4</v>
      </c>
      <c r="CN281" s="81">
        <f t="shared" si="228"/>
        <v>0</v>
      </c>
      <c r="CO281" s="81">
        <f t="shared" si="229"/>
        <v>0</v>
      </c>
      <c r="CP281" s="81" t="s">
        <v>22</v>
      </c>
      <c r="CQ281" s="81">
        <f t="shared" si="230"/>
        <v>0</v>
      </c>
      <c r="CR281" s="81">
        <f t="shared" si="231"/>
        <v>0</v>
      </c>
      <c r="CS281" s="81" t="s">
        <v>21</v>
      </c>
      <c r="CT281" s="81">
        <f t="shared" si="232"/>
        <v>0</v>
      </c>
      <c r="CU281" s="81">
        <f t="shared" si="233"/>
        <v>0</v>
      </c>
      <c r="CV281" s="81" t="s">
        <v>998</v>
      </c>
      <c r="CW281" s="81">
        <f t="shared" si="234"/>
        <v>0</v>
      </c>
      <c r="CX281" s="81">
        <f t="shared" si="235"/>
        <v>0</v>
      </c>
      <c r="CY281" s="81" t="s">
        <v>19</v>
      </c>
      <c r="CZ281" s="81">
        <f t="shared" si="236"/>
        <v>0</v>
      </c>
      <c r="DA281" s="81">
        <f t="shared" si="237"/>
        <v>0</v>
      </c>
      <c r="DB281" s="81" t="s">
        <v>20</v>
      </c>
      <c r="DC281" s="81">
        <f t="shared" si="238"/>
        <v>0</v>
      </c>
      <c r="DD281" s="81">
        <f t="shared" si="239"/>
        <v>0</v>
      </c>
      <c r="DE281" s="81" t="s">
        <v>23</v>
      </c>
      <c r="DF281" s="81">
        <f t="shared" si="240"/>
        <v>0</v>
      </c>
      <c r="DG281" s="81">
        <f t="shared" si="241"/>
        <v>0</v>
      </c>
      <c r="DH281" s="81" t="s">
        <v>15</v>
      </c>
      <c r="DI281" s="81">
        <f t="shared" si="242"/>
        <v>0</v>
      </c>
      <c r="DJ281" s="81">
        <f t="shared" si="243"/>
        <v>0</v>
      </c>
      <c r="DK281" s="81" t="s">
        <v>5503</v>
      </c>
      <c r="DL281" s="81">
        <f t="shared" si="244"/>
        <v>0</v>
      </c>
      <c r="DM281" s="81">
        <f t="shared" si="245"/>
        <v>0</v>
      </c>
      <c r="DN281" s="81" t="s">
        <v>7</v>
      </c>
      <c r="DO281" s="81">
        <f t="shared" si="246"/>
        <v>0</v>
      </c>
      <c r="DP281" s="81">
        <f t="shared" si="247"/>
        <v>0</v>
      </c>
      <c r="DQ281" s="81" t="s">
        <v>1</v>
      </c>
      <c r="DR281" s="81">
        <f t="shared" si="248"/>
        <v>0</v>
      </c>
      <c r="DS281" s="81">
        <f t="shared" si="249"/>
        <v>0</v>
      </c>
    </row>
    <row r="282" spans="14:123" x14ac:dyDescent="0.3">
      <c r="N282" s="81">
        <f>IF(Q283=0,IF(Q282=0,,"x"),)</f>
        <v>0</v>
      </c>
      <c r="O282" s="81">
        <f t="shared" si="250"/>
        <v>0</v>
      </c>
      <c r="P282" s="81">
        <f t="shared" si="215"/>
        <v>0</v>
      </c>
      <c r="Q282" s="81">
        <f t="shared" si="251"/>
        <v>0</v>
      </c>
      <c r="R282" s="81">
        <f>IF(W282="",,SUM($W$4:W282))</f>
        <v>0</v>
      </c>
      <c r="S282" s="81">
        <f t="shared" si="216"/>
        <v>0</v>
      </c>
      <c r="T282" s="81">
        <f t="shared" si="252"/>
        <v>0</v>
      </c>
      <c r="U282" s="81">
        <f t="shared" si="217"/>
        <v>0</v>
      </c>
      <c r="AE282" s="81">
        <v>282</v>
      </c>
      <c r="AI282" s="81">
        <v>279</v>
      </c>
      <c r="AJ282" s="81" t="str">
        <f t="shared" si="208"/>
        <v>November 41</v>
      </c>
      <c r="AK282" s="81" t="str">
        <f t="shared" si="254"/>
        <v>November</v>
      </c>
      <c r="AL282" s="81">
        <f t="shared" si="253"/>
        <v>41</v>
      </c>
      <c r="AM282" s="81" t="str">
        <f t="shared" si="218"/>
        <v>='November 41'!</v>
      </c>
      <c r="AN282" s="81" t="str">
        <f t="shared" si="212"/>
        <v>='November 41'!C27</v>
      </c>
      <c r="AO282" s="81" t="s">
        <v>1282</v>
      </c>
      <c r="AR282" s="81" t="s">
        <v>342</v>
      </c>
      <c r="AS282" s="83" t="str">
        <f t="shared" si="209"/>
        <v>='November 41'!C6</v>
      </c>
      <c r="AT282" s="83">
        <f t="shared" si="210"/>
        <v>0</v>
      </c>
      <c r="AV282" s="81" t="s">
        <v>643</v>
      </c>
      <c r="AW282" s="81" t="s">
        <v>4376</v>
      </c>
      <c r="AX282" s="81" t="s">
        <v>4377</v>
      </c>
      <c r="AY282" s="81" t="s">
        <v>4378</v>
      </c>
      <c r="AZ282" s="81" t="s">
        <v>4379</v>
      </c>
      <c r="BA282" s="81" t="s">
        <v>4380</v>
      </c>
      <c r="BB282" s="81" t="s">
        <v>4381</v>
      </c>
      <c r="BC282" s="81" t="s">
        <v>4382</v>
      </c>
      <c r="BD282" s="81" t="s">
        <v>4383</v>
      </c>
      <c r="BE282" s="81" t="s">
        <v>4384</v>
      </c>
      <c r="BF282" s="81" t="s">
        <v>4385</v>
      </c>
      <c r="BG282" s="81" t="s">
        <v>4386</v>
      </c>
      <c r="BH282" s="81" t="s">
        <v>4899</v>
      </c>
      <c r="BI282" s="81" t="s">
        <v>5203</v>
      </c>
      <c r="BJ282" s="81" t="s">
        <v>342</v>
      </c>
      <c r="BL282" s="81" t="s">
        <v>946</v>
      </c>
      <c r="BM282" s="81">
        <v>279</v>
      </c>
      <c r="BN282" s="81" t="str">
        <f t="shared" si="211"/>
        <v>='November 41'!C12</v>
      </c>
      <c r="CA282" s="81" t="s">
        <v>2</v>
      </c>
      <c r="CB282" s="81">
        <f t="shared" si="220"/>
        <v>0</v>
      </c>
      <c r="CC282" s="81">
        <f t="shared" si="221"/>
        <v>0</v>
      </c>
      <c r="CD282" s="81" t="s">
        <v>16</v>
      </c>
      <c r="CE282" s="81">
        <f t="shared" si="222"/>
        <v>0</v>
      </c>
      <c r="CF282" s="81">
        <f t="shared" si="223"/>
        <v>0</v>
      </c>
      <c r="CG282" s="81" t="s">
        <v>5</v>
      </c>
      <c r="CH282" s="81">
        <f t="shared" si="224"/>
        <v>0</v>
      </c>
      <c r="CI282" s="81">
        <f t="shared" si="225"/>
        <v>0</v>
      </c>
      <c r="CJ282" s="81" t="s">
        <v>18</v>
      </c>
      <c r="CK282" s="81">
        <f t="shared" si="226"/>
        <v>0</v>
      </c>
      <c r="CL282" s="81">
        <f t="shared" si="227"/>
        <v>0</v>
      </c>
      <c r="CM282" s="81" t="s">
        <v>4</v>
      </c>
      <c r="CN282" s="81">
        <f t="shared" si="228"/>
        <v>0</v>
      </c>
      <c r="CO282" s="81">
        <f t="shared" si="229"/>
        <v>0</v>
      </c>
      <c r="CP282" s="81" t="s">
        <v>22</v>
      </c>
      <c r="CQ282" s="81">
        <f t="shared" si="230"/>
        <v>0</v>
      </c>
      <c r="CR282" s="81">
        <f t="shared" si="231"/>
        <v>0</v>
      </c>
      <c r="CS282" s="81" t="s">
        <v>21</v>
      </c>
      <c r="CT282" s="81">
        <f t="shared" si="232"/>
        <v>0</v>
      </c>
      <c r="CU282" s="81">
        <f t="shared" si="233"/>
        <v>0</v>
      </c>
      <c r="CV282" s="81" t="s">
        <v>998</v>
      </c>
      <c r="CW282" s="81">
        <f t="shared" si="234"/>
        <v>0</v>
      </c>
      <c r="CX282" s="81">
        <f t="shared" si="235"/>
        <v>0</v>
      </c>
      <c r="CY282" s="81" t="s">
        <v>19</v>
      </c>
      <c r="CZ282" s="81">
        <f t="shared" si="236"/>
        <v>0</v>
      </c>
      <c r="DA282" s="81">
        <f t="shared" si="237"/>
        <v>0</v>
      </c>
      <c r="DB282" s="81" t="s">
        <v>20</v>
      </c>
      <c r="DC282" s="81">
        <f t="shared" si="238"/>
        <v>0</v>
      </c>
      <c r="DD282" s="81">
        <f t="shared" si="239"/>
        <v>0</v>
      </c>
      <c r="DE282" s="81" t="s">
        <v>23</v>
      </c>
      <c r="DF282" s="81">
        <f t="shared" si="240"/>
        <v>0</v>
      </c>
      <c r="DG282" s="81">
        <f t="shared" si="241"/>
        <v>0</v>
      </c>
      <c r="DH282" s="81" t="s">
        <v>15</v>
      </c>
      <c r="DI282" s="81">
        <f t="shared" si="242"/>
        <v>0</v>
      </c>
      <c r="DJ282" s="81">
        <f t="shared" si="243"/>
        <v>0</v>
      </c>
      <c r="DK282" s="81" t="s">
        <v>5504</v>
      </c>
      <c r="DL282" s="81">
        <f t="shared" si="244"/>
        <v>0</v>
      </c>
      <c r="DM282" s="81">
        <f t="shared" si="245"/>
        <v>0</v>
      </c>
      <c r="DN282" s="81" t="s">
        <v>7</v>
      </c>
      <c r="DO282" s="81">
        <f t="shared" si="246"/>
        <v>0</v>
      </c>
      <c r="DP282" s="81">
        <f t="shared" si="247"/>
        <v>0</v>
      </c>
      <c r="DQ282" s="81" t="s">
        <v>1</v>
      </c>
      <c r="DR282" s="81">
        <f t="shared" si="248"/>
        <v>0</v>
      </c>
      <c r="DS282" s="81">
        <f t="shared" si="249"/>
        <v>0</v>
      </c>
    </row>
    <row r="283" spans="14:123" x14ac:dyDescent="0.3">
      <c r="N283" s="81">
        <f>IF(Q284=0,IF(Q283=0,,"x"),)</f>
        <v>0</v>
      </c>
      <c r="O283" s="81">
        <f t="shared" si="250"/>
        <v>0</v>
      </c>
      <c r="P283" s="81">
        <f t="shared" si="215"/>
        <v>0</v>
      </c>
      <c r="Q283" s="81">
        <f t="shared" si="251"/>
        <v>0</v>
      </c>
      <c r="R283" s="81">
        <f>IF(W283="",,SUM($W$4:W283))</f>
        <v>0</v>
      </c>
      <c r="S283" s="81">
        <f t="shared" si="216"/>
        <v>0</v>
      </c>
      <c r="T283" s="81">
        <f t="shared" si="252"/>
        <v>0</v>
      </c>
      <c r="U283" s="81">
        <f t="shared" si="217"/>
        <v>0</v>
      </c>
      <c r="AE283" s="81">
        <v>283</v>
      </c>
      <c r="AI283" s="81">
        <v>280</v>
      </c>
      <c r="AJ283" s="81" t="str">
        <f t="shared" si="208"/>
        <v>December 41</v>
      </c>
      <c r="AK283" s="81" t="str">
        <f t="shared" si="254"/>
        <v>December</v>
      </c>
      <c r="AL283" s="81">
        <f t="shared" si="253"/>
        <v>41</v>
      </c>
      <c r="AM283" s="81" t="str">
        <f t="shared" si="218"/>
        <v>='December 41'!</v>
      </c>
      <c r="AN283" s="81" t="str">
        <f t="shared" si="212"/>
        <v>='December 41'!C27</v>
      </c>
      <c r="AO283" s="81" t="s">
        <v>1283</v>
      </c>
      <c r="AR283" s="81" t="s">
        <v>343</v>
      </c>
      <c r="AS283" s="83" t="str">
        <f t="shared" si="209"/>
        <v>='December 41'!C6</v>
      </c>
      <c r="AT283" s="83">
        <f t="shared" si="210"/>
        <v>0</v>
      </c>
      <c r="AV283" s="81" t="s">
        <v>644</v>
      </c>
      <c r="AW283" s="81" t="s">
        <v>4387</v>
      </c>
      <c r="AX283" s="81" t="s">
        <v>4388</v>
      </c>
      <c r="AY283" s="81" t="s">
        <v>4389</v>
      </c>
      <c r="AZ283" s="81" t="s">
        <v>4390</v>
      </c>
      <c r="BA283" s="81" t="s">
        <v>4391</v>
      </c>
      <c r="BB283" s="81" t="s">
        <v>4392</v>
      </c>
      <c r="BC283" s="81" t="s">
        <v>4393</v>
      </c>
      <c r="BD283" s="81" t="s">
        <v>4394</v>
      </c>
      <c r="BE283" s="81" t="s">
        <v>4395</v>
      </c>
      <c r="BF283" s="81" t="s">
        <v>4396</v>
      </c>
      <c r="BG283" s="81" t="s">
        <v>4397</v>
      </c>
      <c r="BH283" s="81" t="s">
        <v>4900</v>
      </c>
      <c r="BI283" s="81" t="s">
        <v>5204</v>
      </c>
      <c r="BJ283" s="81" t="s">
        <v>343</v>
      </c>
      <c r="BL283" s="81" t="s">
        <v>947</v>
      </c>
      <c r="BM283" s="81">
        <v>280</v>
      </c>
      <c r="BN283" s="81" t="str">
        <f t="shared" si="211"/>
        <v>='December 41'!C12</v>
      </c>
      <c r="CA283" s="81" t="s">
        <v>2</v>
      </c>
      <c r="CB283" s="81">
        <f t="shared" si="220"/>
        <v>0</v>
      </c>
      <c r="CC283" s="81">
        <f t="shared" si="221"/>
        <v>0</v>
      </c>
      <c r="CD283" s="81" t="s">
        <v>16</v>
      </c>
      <c r="CE283" s="81">
        <f t="shared" si="222"/>
        <v>0</v>
      </c>
      <c r="CF283" s="81">
        <f t="shared" si="223"/>
        <v>0</v>
      </c>
      <c r="CG283" s="81" t="s">
        <v>5</v>
      </c>
      <c r="CH283" s="81">
        <f t="shared" si="224"/>
        <v>0</v>
      </c>
      <c r="CI283" s="81">
        <f t="shared" si="225"/>
        <v>0</v>
      </c>
      <c r="CJ283" s="81" t="s">
        <v>18</v>
      </c>
      <c r="CK283" s="81">
        <f t="shared" si="226"/>
        <v>0</v>
      </c>
      <c r="CL283" s="81">
        <f t="shared" si="227"/>
        <v>0</v>
      </c>
      <c r="CM283" s="81" t="s">
        <v>4</v>
      </c>
      <c r="CN283" s="81">
        <f t="shared" si="228"/>
        <v>0</v>
      </c>
      <c r="CO283" s="81">
        <f t="shared" si="229"/>
        <v>0</v>
      </c>
      <c r="CP283" s="81" t="s">
        <v>22</v>
      </c>
      <c r="CQ283" s="81">
        <f t="shared" si="230"/>
        <v>0</v>
      </c>
      <c r="CR283" s="81">
        <f t="shared" si="231"/>
        <v>0</v>
      </c>
      <c r="CS283" s="81" t="s">
        <v>21</v>
      </c>
      <c r="CT283" s="81">
        <f t="shared" si="232"/>
        <v>0</v>
      </c>
      <c r="CU283" s="81">
        <f t="shared" si="233"/>
        <v>0</v>
      </c>
      <c r="CV283" s="81" t="s">
        <v>998</v>
      </c>
      <c r="CW283" s="81">
        <f t="shared" si="234"/>
        <v>0</v>
      </c>
      <c r="CX283" s="81">
        <f t="shared" si="235"/>
        <v>0</v>
      </c>
      <c r="CY283" s="81" t="s">
        <v>19</v>
      </c>
      <c r="CZ283" s="81">
        <f t="shared" si="236"/>
        <v>0</v>
      </c>
      <c r="DA283" s="81">
        <f t="shared" si="237"/>
        <v>0</v>
      </c>
      <c r="DB283" s="81" t="s">
        <v>20</v>
      </c>
      <c r="DC283" s="81">
        <f t="shared" si="238"/>
        <v>0</v>
      </c>
      <c r="DD283" s="81">
        <f t="shared" si="239"/>
        <v>0</v>
      </c>
      <c r="DE283" s="81" t="s">
        <v>23</v>
      </c>
      <c r="DF283" s="81">
        <f t="shared" si="240"/>
        <v>0</v>
      </c>
      <c r="DG283" s="81">
        <f t="shared" si="241"/>
        <v>0</v>
      </c>
      <c r="DH283" s="81" t="s">
        <v>15</v>
      </c>
      <c r="DI283" s="81">
        <f t="shared" si="242"/>
        <v>0</v>
      </c>
      <c r="DJ283" s="81">
        <f t="shared" si="243"/>
        <v>0</v>
      </c>
      <c r="DK283" s="81" t="s">
        <v>5505</v>
      </c>
      <c r="DL283" s="81">
        <f t="shared" si="244"/>
        <v>0</v>
      </c>
      <c r="DM283" s="81">
        <f t="shared" si="245"/>
        <v>0</v>
      </c>
      <c r="DN283" s="81" t="s">
        <v>7</v>
      </c>
      <c r="DO283" s="81">
        <f t="shared" si="246"/>
        <v>0</v>
      </c>
      <c r="DP283" s="81">
        <f t="shared" si="247"/>
        <v>0</v>
      </c>
      <c r="DQ283" s="81" t="s">
        <v>1</v>
      </c>
      <c r="DR283" s="81">
        <f t="shared" si="248"/>
        <v>0</v>
      </c>
      <c r="DS283" s="81">
        <f t="shared" si="249"/>
        <v>0</v>
      </c>
    </row>
    <row r="284" spans="14:123" x14ac:dyDescent="0.3">
      <c r="N284" s="81">
        <f>IF(Q285=0,IF(Q284=0,,"x"),)</f>
        <v>0</v>
      </c>
      <c r="O284" s="81">
        <f t="shared" si="250"/>
        <v>0</v>
      </c>
      <c r="P284" s="81">
        <f t="shared" si="215"/>
        <v>0</v>
      </c>
      <c r="Q284" s="81">
        <f t="shared" si="251"/>
        <v>0</v>
      </c>
      <c r="R284" s="81">
        <f>IF(W284="",,SUM($W$4:W284))</f>
        <v>0</v>
      </c>
      <c r="S284" s="81">
        <f t="shared" si="216"/>
        <v>0</v>
      </c>
      <c r="T284" s="81">
        <f t="shared" si="252"/>
        <v>0</v>
      </c>
      <c r="U284" s="81">
        <f t="shared" si="217"/>
        <v>0</v>
      </c>
      <c r="AE284" s="81">
        <v>284</v>
      </c>
      <c r="AI284" s="81">
        <v>281</v>
      </c>
      <c r="AJ284" s="81" t="str">
        <f t="shared" si="208"/>
        <v>Januari 42</v>
      </c>
      <c r="AK284" s="81" t="str">
        <f t="shared" si="254"/>
        <v>Januari</v>
      </c>
      <c r="AL284" s="81">
        <f t="shared" si="253"/>
        <v>42</v>
      </c>
      <c r="AM284" s="81" t="str">
        <f t="shared" si="218"/>
        <v>='Januari 42'!</v>
      </c>
      <c r="AN284" s="81" t="str">
        <f t="shared" si="212"/>
        <v>='Januari 42'!C27</v>
      </c>
      <c r="AO284" s="81" t="s">
        <v>1284</v>
      </c>
      <c r="AR284" s="81" t="s">
        <v>344</v>
      </c>
      <c r="AS284" s="83" t="str">
        <f t="shared" si="209"/>
        <v>='Januari 42'!C6</v>
      </c>
      <c r="AT284" s="83">
        <f t="shared" si="210"/>
        <v>0</v>
      </c>
      <c r="AV284" s="81" t="s">
        <v>645</v>
      </c>
      <c r="AW284" s="81" t="s">
        <v>4398</v>
      </c>
      <c r="AX284" s="81" t="s">
        <v>4399</v>
      </c>
      <c r="AY284" s="81" t="s">
        <v>4400</v>
      </c>
      <c r="AZ284" s="81" t="s">
        <v>4401</v>
      </c>
      <c r="BA284" s="81" t="s">
        <v>4402</v>
      </c>
      <c r="BB284" s="81" t="s">
        <v>4403</v>
      </c>
      <c r="BC284" s="81" t="s">
        <v>4404</v>
      </c>
      <c r="BD284" s="81" t="s">
        <v>4405</v>
      </c>
      <c r="BE284" s="81" t="s">
        <v>4406</v>
      </c>
      <c r="BF284" s="81" t="s">
        <v>4407</v>
      </c>
      <c r="BG284" s="81" t="s">
        <v>4408</v>
      </c>
      <c r="BH284" s="81" t="s">
        <v>4901</v>
      </c>
      <c r="BI284" s="81" t="s">
        <v>5205</v>
      </c>
      <c r="BJ284" s="81" t="s">
        <v>344</v>
      </c>
      <c r="BL284" s="81" t="s">
        <v>948</v>
      </c>
      <c r="BM284" s="81">
        <v>281</v>
      </c>
      <c r="BN284" s="81" t="str">
        <f t="shared" si="211"/>
        <v>='Januari 42'!C12</v>
      </c>
      <c r="CA284" s="81" t="s">
        <v>2</v>
      </c>
      <c r="CB284" s="81">
        <f t="shared" si="220"/>
        <v>0</v>
      </c>
      <c r="CC284" s="81">
        <f t="shared" si="221"/>
        <v>0</v>
      </c>
      <c r="CD284" s="81" t="s">
        <v>16</v>
      </c>
      <c r="CE284" s="81">
        <f t="shared" si="222"/>
        <v>0</v>
      </c>
      <c r="CF284" s="81">
        <f t="shared" si="223"/>
        <v>0</v>
      </c>
      <c r="CG284" s="81" t="s">
        <v>5</v>
      </c>
      <c r="CH284" s="81">
        <f t="shared" si="224"/>
        <v>0</v>
      </c>
      <c r="CI284" s="81">
        <f t="shared" si="225"/>
        <v>0</v>
      </c>
      <c r="CJ284" s="81" t="s">
        <v>18</v>
      </c>
      <c r="CK284" s="81">
        <f t="shared" si="226"/>
        <v>0</v>
      </c>
      <c r="CL284" s="81">
        <f t="shared" si="227"/>
        <v>0</v>
      </c>
      <c r="CM284" s="81" t="s">
        <v>4</v>
      </c>
      <c r="CN284" s="81">
        <f t="shared" si="228"/>
        <v>0</v>
      </c>
      <c r="CO284" s="81">
        <f t="shared" si="229"/>
        <v>0</v>
      </c>
      <c r="CP284" s="81" t="s">
        <v>22</v>
      </c>
      <c r="CQ284" s="81">
        <f t="shared" si="230"/>
        <v>0</v>
      </c>
      <c r="CR284" s="81">
        <f t="shared" si="231"/>
        <v>0</v>
      </c>
      <c r="CS284" s="81" t="s">
        <v>21</v>
      </c>
      <c r="CT284" s="81">
        <f t="shared" si="232"/>
        <v>0</v>
      </c>
      <c r="CU284" s="81">
        <f t="shared" si="233"/>
        <v>0</v>
      </c>
      <c r="CV284" s="81" t="s">
        <v>998</v>
      </c>
      <c r="CW284" s="81">
        <f t="shared" si="234"/>
        <v>0</v>
      </c>
      <c r="CX284" s="81">
        <f t="shared" si="235"/>
        <v>0</v>
      </c>
      <c r="CY284" s="81" t="s">
        <v>19</v>
      </c>
      <c r="CZ284" s="81">
        <f t="shared" si="236"/>
        <v>0</v>
      </c>
      <c r="DA284" s="81">
        <f t="shared" si="237"/>
        <v>0</v>
      </c>
      <c r="DB284" s="81" t="s">
        <v>20</v>
      </c>
      <c r="DC284" s="81">
        <f t="shared" si="238"/>
        <v>0</v>
      </c>
      <c r="DD284" s="81">
        <f t="shared" si="239"/>
        <v>0</v>
      </c>
      <c r="DE284" s="81" t="s">
        <v>23</v>
      </c>
      <c r="DF284" s="81">
        <f t="shared" si="240"/>
        <v>0</v>
      </c>
      <c r="DG284" s="81">
        <f t="shared" si="241"/>
        <v>0</v>
      </c>
      <c r="DH284" s="81" t="s">
        <v>15</v>
      </c>
      <c r="DI284" s="81">
        <f t="shared" si="242"/>
        <v>0</v>
      </c>
      <c r="DJ284" s="81">
        <f t="shared" si="243"/>
        <v>0</v>
      </c>
      <c r="DK284" s="81" t="s">
        <v>5506</v>
      </c>
      <c r="DL284" s="81">
        <f t="shared" si="244"/>
        <v>0</v>
      </c>
      <c r="DM284" s="81">
        <f t="shared" si="245"/>
        <v>0</v>
      </c>
      <c r="DN284" s="81" t="s">
        <v>7</v>
      </c>
      <c r="DO284" s="81">
        <f t="shared" si="246"/>
        <v>0</v>
      </c>
      <c r="DP284" s="81">
        <f t="shared" si="247"/>
        <v>0</v>
      </c>
      <c r="DQ284" s="81" t="s">
        <v>1</v>
      </c>
      <c r="DR284" s="81">
        <f t="shared" si="248"/>
        <v>0</v>
      </c>
      <c r="DS284" s="81">
        <f t="shared" si="249"/>
        <v>0</v>
      </c>
    </row>
    <row r="285" spans="14:123" x14ac:dyDescent="0.3">
      <c r="N285" s="81">
        <f>IF(Q286=0,IF(Q285=0,,"x"),)</f>
        <v>0</v>
      </c>
      <c r="O285" s="81">
        <f t="shared" si="250"/>
        <v>0</v>
      </c>
      <c r="P285" s="81">
        <f t="shared" si="215"/>
        <v>0</v>
      </c>
      <c r="Q285" s="81">
        <f t="shared" si="251"/>
        <v>0</v>
      </c>
      <c r="R285" s="81">
        <f>IF(W285="",,SUM($W$4:W285))</f>
        <v>0</v>
      </c>
      <c r="S285" s="81">
        <f t="shared" si="216"/>
        <v>0</v>
      </c>
      <c r="T285" s="81">
        <f t="shared" si="252"/>
        <v>0</v>
      </c>
      <c r="U285" s="81">
        <f t="shared" si="217"/>
        <v>0</v>
      </c>
      <c r="AE285" s="81">
        <v>285</v>
      </c>
      <c r="AI285" s="81">
        <v>282</v>
      </c>
      <c r="AJ285" s="81" t="str">
        <f t="shared" si="208"/>
        <v>Februari 42</v>
      </c>
      <c r="AK285" s="81" t="str">
        <f t="shared" si="254"/>
        <v>Februari</v>
      </c>
      <c r="AL285" s="81">
        <f t="shared" si="253"/>
        <v>42</v>
      </c>
      <c r="AM285" s="81" t="str">
        <f t="shared" si="218"/>
        <v>='Februari 42'!</v>
      </c>
      <c r="AN285" s="81" t="str">
        <f t="shared" si="212"/>
        <v>='Februari 42'!C27</v>
      </c>
      <c r="AO285" s="81" t="s">
        <v>1285</v>
      </c>
      <c r="AR285" s="81" t="s">
        <v>345</v>
      </c>
      <c r="AS285" s="83" t="str">
        <f t="shared" si="209"/>
        <v>='Februari 42'!C6</v>
      </c>
      <c r="AT285" s="83">
        <f t="shared" si="210"/>
        <v>0</v>
      </c>
      <c r="AV285" s="81" t="s">
        <v>646</v>
      </c>
      <c r="AW285" s="81" t="s">
        <v>4409</v>
      </c>
      <c r="AX285" s="81" t="s">
        <v>4410</v>
      </c>
      <c r="AY285" s="81" t="s">
        <v>4411</v>
      </c>
      <c r="AZ285" s="81" t="s">
        <v>4412</v>
      </c>
      <c r="BA285" s="81" t="s">
        <v>4413</v>
      </c>
      <c r="BB285" s="81" t="s">
        <v>4414</v>
      </c>
      <c r="BC285" s="81" t="s">
        <v>4415</v>
      </c>
      <c r="BD285" s="81" t="s">
        <v>4416</v>
      </c>
      <c r="BE285" s="81" t="s">
        <v>4417</v>
      </c>
      <c r="BF285" s="81" t="s">
        <v>4418</v>
      </c>
      <c r="BG285" s="81" t="s">
        <v>4419</v>
      </c>
      <c r="BH285" s="81" t="s">
        <v>4902</v>
      </c>
      <c r="BI285" s="81" t="s">
        <v>5206</v>
      </c>
      <c r="BJ285" s="81" t="s">
        <v>345</v>
      </c>
      <c r="BL285" s="81" t="s">
        <v>949</v>
      </c>
      <c r="BM285" s="81">
        <v>282</v>
      </c>
      <c r="BN285" s="81" t="str">
        <f t="shared" si="211"/>
        <v>='Februari 42'!C12</v>
      </c>
      <c r="CA285" s="81" t="s">
        <v>2</v>
      </c>
      <c r="CB285" s="81">
        <f t="shared" si="220"/>
        <v>0</v>
      </c>
      <c r="CC285" s="81">
        <f t="shared" si="221"/>
        <v>0</v>
      </c>
      <c r="CD285" s="81" t="s">
        <v>16</v>
      </c>
      <c r="CE285" s="81">
        <f t="shared" si="222"/>
        <v>0</v>
      </c>
      <c r="CF285" s="81">
        <f t="shared" si="223"/>
        <v>0</v>
      </c>
      <c r="CG285" s="81" t="s">
        <v>5</v>
      </c>
      <c r="CH285" s="81">
        <f t="shared" si="224"/>
        <v>0</v>
      </c>
      <c r="CI285" s="81">
        <f t="shared" si="225"/>
        <v>0</v>
      </c>
      <c r="CJ285" s="81" t="s">
        <v>18</v>
      </c>
      <c r="CK285" s="81">
        <f t="shared" si="226"/>
        <v>0</v>
      </c>
      <c r="CL285" s="81">
        <f t="shared" si="227"/>
        <v>0</v>
      </c>
      <c r="CM285" s="81" t="s">
        <v>4</v>
      </c>
      <c r="CN285" s="81">
        <f t="shared" si="228"/>
        <v>0</v>
      </c>
      <c r="CO285" s="81">
        <f t="shared" si="229"/>
        <v>0</v>
      </c>
      <c r="CP285" s="81" t="s">
        <v>22</v>
      </c>
      <c r="CQ285" s="81">
        <f t="shared" si="230"/>
        <v>0</v>
      </c>
      <c r="CR285" s="81">
        <f t="shared" si="231"/>
        <v>0</v>
      </c>
      <c r="CS285" s="81" t="s">
        <v>21</v>
      </c>
      <c r="CT285" s="81">
        <f t="shared" si="232"/>
        <v>0</v>
      </c>
      <c r="CU285" s="81">
        <f t="shared" si="233"/>
        <v>0</v>
      </c>
      <c r="CV285" s="81" t="s">
        <v>998</v>
      </c>
      <c r="CW285" s="81">
        <f t="shared" si="234"/>
        <v>0</v>
      </c>
      <c r="CX285" s="81">
        <f t="shared" si="235"/>
        <v>0</v>
      </c>
      <c r="CY285" s="81" t="s">
        <v>19</v>
      </c>
      <c r="CZ285" s="81">
        <f t="shared" si="236"/>
        <v>0</v>
      </c>
      <c r="DA285" s="81">
        <f t="shared" si="237"/>
        <v>0</v>
      </c>
      <c r="DB285" s="81" t="s">
        <v>20</v>
      </c>
      <c r="DC285" s="81">
        <f t="shared" si="238"/>
        <v>0</v>
      </c>
      <c r="DD285" s="81">
        <f t="shared" si="239"/>
        <v>0</v>
      </c>
      <c r="DE285" s="81" t="s">
        <v>23</v>
      </c>
      <c r="DF285" s="81">
        <f t="shared" si="240"/>
        <v>0</v>
      </c>
      <c r="DG285" s="81">
        <f t="shared" si="241"/>
        <v>0</v>
      </c>
      <c r="DH285" s="81" t="s">
        <v>15</v>
      </c>
      <c r="DI285" s="81">
        <f t="shared" si="242"/>
        <v>0</v>
      </c>
      <c r="DJ285" s="81">
        <f t="shared" si="243"/>
        <v>0</v>
      </c>
      <c r="DK285" s="81" t="s">
        <v>5507</v>
      </c>
      <c r="DL285" s="81">
        <f t="shared" si="244"/>
        <v>0</v>
      </c>
      <c r="DM285" s="81">
        <f t="shared" si="245"/>
        <v>0</v>
      </c>
      <c r="DN285" s="81" t="s">
        <v>7</v>
      </c>
      <c r="DO285" s="81">
        <f t="shared" si="246"/>
        <v>0</v>
      </c>
      <c r="DP285" s="81">
        <f t="shared" si="247"/>
        <v>0</v>
      </c>
      <c r="DQ285" s="81" t="s">
        <v>1</v>
      </c>
      <c r="DR285" s="81">
        <f t="shared" si="248"/>
        <v>0</v>
      </c>
      <c r="DS285" s="81">
        <f t="shared" si="249"/>
        <v>0</v>
      </c>
    </row>
    <row r="286" spans="14:123" x14ac:dyDescent="0.3">
      <c r="N286" s="81">
        <f>IF(Q287=0,IF(Q286=0,,"x"),)</f>
        <v>0</v>
      </c>
      <c r="O286" s="81">
        <f t="shared" si="250"/>
        <v>0</v>
      </c>
      <c r="P286" s="81">
        <f t="shared" si="215"/>
        <v>0</v>
      </c>
      <c r="Q286" s="81">
        <f t="shared" si="251"/>
        <v>0</v>
      </c>
      <c r="R286" s="81">
        <f>IF(W286="",,SUM($W$4:W286))</f>
        <v>0</v>
      </c>
      <c r="S286" s="81">
        <f t="shared" si="216"/>
        <v>0</v>
      </c>
      <c r="T286" s="81">
        <f t="shared" si="252"/>
        <v>0</v>
      </c>
      <c r="U286" s="81">
        <f t="shared" si="217"/>
        <v>0</v>
      </c>
      <c r="AE286" s="81">
        <v>286</v>
      </c>
      <c r="AI286" s="81">
        <v>283</v>
      </c>
      <c r="AJ286" s="81" t="str">
        <f t="shared" si="208"/>
        <v>Mars 42</v>
      </c>
      <c r="AK286" s="81" t="str">
        <f t="shared" si="254"/>
        <v>Mars</v>
      </c>
      <c r="AL286" s="81">
        <f t="shared" si="253"/>
        <v>42</v>
      </c>
      <c r="AM286" s="81" t="str">
        <f t="shared" si="218"/>
        <v>='Mars 42'!</v>
      </c>
      <c r="AN286" s="81" t="str">
        <f t="shared" si="212"/>
        <v>='Mars 42'!C27</v>
      </c>
      <c r="AO286" s="81" t="s">
        <v>1286</v>
      </c>
      <c r="AR286" s="81" t="s">
        <v>346</v>
      </c>
      <c r="AS286" s="83" t="str">
        <f t="shared" si="209"/>
        <v>='Mars 42'!C6</v>
      </c>
      <c r="AT286" s="83">
        <f t="shared" si="210"/>
        <v>0</v>
      </c>
      <c r="AV286" s="81" t="s">
        <v>647</v>
      </c>
      <c r="AW286" s="81" t="s">
        <v>4420</v>
      </c>
      <c r="AX286" s="81" t="s">
        <v>4421</v>
      </c>
      <c r="AY286" s="81" t="s">
        <v>4422</v>
      </c>
      <c r="AZ286" s="81" t="s">
        <v>4423</v>
      </c>
      <c r="BA286" s="81" t="s">
        <v>4424</v>
      </c>
      <c r="BB286" s="81" t="s">
        <v>4425</v>
      </c>
      <c r="BC286" s="81" t="s">
        <v>4426</v>
      </c>
      <c r="BD286" s="81" t="s">
        <v>4427</v>
      </c>
      <c r="BE286" s="81" t="s">
        <v>4428</v>
      </c>
      <c r="BF286" s="81" t="s">
        <v>4429</v>
      </c>
      <c r="BG286" s="81" t="s">
        <v>4430</v>
      </c>
      <c r="BH286" s="81" t="s">
        <v>4903</v>
      </c>
      <c r="BI286" s="81" t="s">
        <v>5207</v>
      </c>
      <c r="BJ286" s="81" t="s">
        <v>346</v>
      </c>
      <c r="BL286" s="81" t="s">
        <v>950</v>
      </c>
      <c r="BM286" s="81">
        <v>283</v>
      </c>
      <c r="BN286" s="81" t="str">
        <f t="shared" si="211"/>
        <v>='Mars 42'!C12</v>
      </c>
      <c r="CA286" s="81" t="s">
        <v>2</v>
      </c>
      <c r="CB286" s="81">
        <f t="shared" si="220"/>
        <v>0</v>
      </c>
      <c r="CC286" s="81">
        <f t="shared" si="221"/>
        <v>0</v>
      </c>
      <c r="CD286" s="81" t="s">
        <v>16</v>
      </c>
      <c r="CE286" s="81">
        <f t="shared" si="222"/>
        <v>0</v>
      </c>
      <c r="CF286" s="81">
        <f t="shared" si="223"/>
        <v>0</v>
      </c>
      <c r="CG286" s="81" t="s">
        <v>5</v>
      </c>
      <c r="CH286" s="81">
        <f t="shared" si="224"/>
        <v>0</v>
      </c>
      <c r="CI286" s="81">
        <f t="shared" si="225"/>
        <v>0</v>
      </c>
      <c r="CJ286" s="81" t="s">
        <v>18</v>
      </c>
      <c r="CK286" s="81">
        <f t="shared" si="226"/>
        <v>0</v>
      </c>
      <c r="CL286" s="81">
        <f t="shared" si="227"/>
        <v>0</v>
      </c>
      <c r="CM286" s="81" t="s">
        <v>4</v>
      </c>
      <c r="CN286" s="81">
        <f t="shared" si="228"/>
        <v>0</v>
      </c>
      <c r="CO286" s="81">
        <f t="shared" si="229"/>
        <v>0</v>
      </c>
      <c r="CP286" s="81" t="s">
        <v>22</v>
      </c>
      <c r="CQ286" s="81">
        <f t="shared" si="230"/>
        <v>0</v>
      </c>
      <c r="CR286" s="81">
        <f t="shared" si="231"/>
        <v>0</v>
      </c>
      <c r="CS286" s="81" t="s">
        <v>21</v>
      </c>
      <c r="CT286" s="81">
        <f t="shared" si="232"/>
        <v>0</v>
      </c>
      <c r="CU286" s="81">
        <f t="shared" si="233"/>
        <v>0</v>
      </c>
      <c r="CV286" s="81" t="s">
        <v>998</v>
      </c>
      <c r="CW286" s="81">
        <f t="shared" si="234"/>
        <v>0</v>
      </c>
      <c r="CX286" s="81">
        <f t="shared" si="235"/>
        <v>0</v>
      </c>
      <c r="CY286" s="81" t="s">
        <v>19</v>
      </c>
      <c r="CZ286" s="81">
        <f t="shared" si="236"/>
        <v>0</v>
      </c>
      <c r="DA286" s="81">
        <f t="shared" si="237"/>
        <v>0</v>
      </c>
      <c r="DB286" s="81" t="s">
        <v>20</v>
      </c>
      <c r="DC286" s="81">
        <f t="shared" si="238"/>
        <v>0</v>
      </c>
      <c r="DD286" s="81">
        <f t="shared" si="239"/>
        <v>0</v>
      </c>
      <c r="DE286" s="81" t="s">
        <v>23</v>
      </c>
      <c r="DF286" s="81">
        <f t="shared" si="240"/>
        <v>0</v>
      </c>
      <c r="DG286" s="81">
        <f t="shared" si="241"/>
        <v>0</v>
      </c>
      <c r="DH286" s="81" t="s">
        <v>15</v>
      </c>
      <c r="DI286" s="81">
        <f t="shared" si="242"/>
        <v>0</v>
      </c>
      <c r="DJ286" s="81">
        <f t="shared" si="243"/>
        <v>0</v>
      </c>
      <c r="DK286" s="81" t="s">
        <v>5508</v>
      </c>
      <c r="DL286" s="81">
        <f t="shared" si="244"/>
        <v>0</v>
      </c>
      <c r="DM286" s="81">
        <f t="shared" si="245"/>
        <v>0</v>
      </c>
      <c r="DN286" s="81" t="s">
        <v>7</v>
      </c>
      <c r="DO286" s="81">
        <f t="shared" si="246"/>
        <v>0</v>
      </c>
      <c r="DP286" s="81">
        <f t="shared" si="247"/>
        <v>0</v>
      </c>
      <c r="DQ286" s="81" t="s">
        <v>1</v>
      </c>
      <c r="DR286" s="81">
        <f t="shared" si="248"/>
        <v>0</v>
      </c>
      <c r="DS286" s="81">
        <f t="shared" si="249"/>
        <v>0</v>
      </c>
    </row>
    <row r="287" spans="14:123" x14ac:dyDescent="0.3">
      <c r="N287" s="81">
        <f>IF(Q288=0,IF(Q287=0,,"x"),)</f>
        <v>0</v>
      </c>
      <c r="O287" s="81">
        <f t="shared" si="250"/>
        <v>0</v>
      </c>
      <c r="P287" s="81">
        <f t="shared" si="215"/>
        <v>0</v>
      </c>
      <c r="Q287" s="81">
        <f t="shared" si="251"/>
        <v>0</v>
      </c>
      <c r="R287" s="81">
        <f>IF(W287="",,SUM($W$4:W287))</f>
        <v>0</v>
      </c>
      <c r="S287" s="81">
        <f t="shared" si="216"/>
        <v>0</v>
      </c>
      <c r="T287" s="81">
        <f t="shared" si="252"/>
        <v>0</v>
      </c>
      <c r="U287" s="81">
        <f t="shared" si="217"/>
        <v>0</v>
      </c>
      <c r="AE287" s="81">
        <v>287</v>
      </c>
      <c r="AI287" s="81">
        <v>284</v>
      </c>
      <c r="AJ287" s="81" t="str">
        <f t="shared" si="208"/>
        <v>April 42</v>
      </c>
      <c r="AK287" s="81" t="str">
        <f t="shared" si="254"/>
        <v>April</v>
      </c>
      <c r="AL287" s="81">
        <f t="shared" si="253"/>
        <v>42</v>
      </c>
      <c r="AM287" s="81" t="str">
        <f t="shared" si="218"/>
        <v>='April 42'!</v>
      </c>
      <c r="AN287" s="81" t="str">
        <f t="shared" si="212"/>
        <v>='April 42'!C27</v>
      </c>
      <c r="AO287" s="81" t="s">
        <v>1287</v>
      </c>
      <c r="AR287" s="81" t="s">
        <v>347</v>
      </c>
      <c r="AS287" s="83" t="str">
        <f t="shared" si="209"/>
        <v>='April 42'!C6</v>
      </c>
      <c r="AT287" s="83">
        <f t="shared" si="210"/>
        <v>0</v>
      </c>
      <c r="AV287" s="81" t="s">
        <v>648</v>
      </c>
      <c r="AW287" s="81" t="s">
        <v>4431</v>
      </c>
      <c r="AX287" s="81" t="s">
        <v>4432</v>
      </c>
      <c r="AY287" s="81" t="s">
        <v>4433</v>
      </c>
      <c r="AZ287" s="81" t="s">
        <v>4434</v>
      </c>
      <c r="BA287" s="81" t="s">
        <v>4435</v>
      </c>
      <c r="BB287" s="81" t="s">
        <v>4436</v>
      </c>
      <c r="BC287" s="81" t="s">
        <v>4437</v>
      </c>
      <c r="BD287" s="81" t="s">
        <v>4438</v>
      </c>
      <c r="BE287" s="81" t="s">
        <v>4439</v>
      </c>
      <c r="BF287" s="81" t="s">
        <v>4440</v>
      </c>
      <c r="BG287" s="81" t="s">
        <v>4441</v>
      </c>
      <c r="BH287" s="81" t="s">
        <v>4904</v>
      </c>
      <c r="BI287" s="81" t="s">
        <v>5208</v>
      </c>
      <c r="BJ287" s="81" t="s">
        <v>347</v>
      </c>
      <c r="BL287" s="81" t="s">
        <v>951</v>
      </c>
      <c r="BM287" s="81">
        <v>284</v>
      </c>
      <c r="BN287" s="81" t="str">
        <f t="shared" si="211"/>
        <v>='April 42'!C12</v>
      </c>
      <c r="CA287" s="81" t="s">
        <v>2</v>
      </c>
      <c r="CB287" s="81">
        <f t="shared" si="220"/>
        <v>0</v>
      </c>
      <c r="CC287" s="81">
        <f t="shared" si="221"/>
        <v>0</v>
      </c>
      <c r="CD287" s="81" t="s">
        <v>16</v>
      </c>
      <c r="CE287" s="81">
        <f t="shared" si="222"/>
        <v>0</v>
      </c>
      <c r="CF287" s="81">
        <f t="shared" si="223"/>
        <v>0</v>
      </c>
      <c r="CG287" s="81" t="s">
        <v>5</v>
      </c>
      <c r="CH287" s="81">
        <f t="shared" si="224"/>
        <v>0</v>
      </c>
      <c r="CI287" s="81">
        <f t="shared" si="225"/>
        <v>0</v>
      </c>
      <c r="CJ287" s="81" t="s">
        <v>18</v>
      </c>
      <c r="CK287" s="81">
        <f t="shared" si="226"/>
        <v>0</v>
      </c>
      <c r="CL287" s="81">
        <f t="shared" si="227"/>
        <v>0</v>
      </c>
      <c r="CM287" s="81" t="s">
        <v>4</v>
      </c>
      <c r="CN287" s="81">
        <f t="shared" si="228"/>
        <v>0</v>
      </c>
      <c r="CO287" s="81">
        <f t="shared" si="229"/>
        <v>0</v>
      </c>
      <c r="CP287" s="81" t="s">
        <v>22</v>
      </c>
      <c r="CQ287" s="81">
        <f t="shared" si="230"/>
        <v>0</v>
      </c>
      <c r="CR287" s="81">
        <f t="shared" si="231"/>
        <v>0</v>
      </c>
      <c r="CS287" s="81" t="s">
        <v>21</v>
      </c>
      <c r="CT287" s="81">
        <f t="shared" si="232"/>
        <v>0</v>
      </c>
      <c r="CU287" s="81">
        <f t="shared" si="233"/>
        <v>0</v>
      </c>
      <c r="CV287" s="81" t="s">
        <v>998</v>
      </c>
      <c r="CW287" s="81">
        <f t="shared" si="234"/>
        <v>0</v>
      </c>
      <c r="CX287" s="81">
        <f t="shared" si="235"/>
        <v>0</v>
      </c>
      <c r="CY287" s="81" t="s">
        <v>19</v>
      </c>
      <c r="CZ287" s="81">
        <f t="shared" si="236"/>
        <v>0</v>
      </c>
      <c r="DA287" s="81">
        <f t="shared" si="237"/>
        <v>0</v>
      </c>
      <c r="DB287" s="81" t="s">
        <v>20</v>
      </c>
      <c r="DC287" s="81">
        <f t="shared" si="238"/>
        <v>0</v>
      </c>
      <c r="DD287" s="81">
        <f t="shared" si="239"/>
        <v>0</v>
      </c>
      <c r="DE287" s="81" t="s">
        <v>23</v>
      </c>
      <c r="DF287" s="81">
        <f t="shared" si="240"/>
        <v>0</v>
      </c>
      <c r="DG287" s="81">
        <f t="shared" si="241"/>
        <v>0</v>
      </c>
      <c r="DH287" s="81" t="s">
        <v>15</v>
      </c>
      <c r="DI287" s="81">
        <f t="shared" si="242"/>
        <v>0</v>
      </c>
      <c r="DJ287" s="81">
        <f t="shared" si="243"/>
        <v>0</v>
      </c>
      <c r="DK287" s="81" t="s">
        <v>5509</v>
      </c>
      <c r="DL287" s="81">
        <f t="shared" si="244"/>
        <v>0</v>
      </c>
      <c r="DM287" s="81">
        <f t="shared" si="245"/>
        <v>0</v>
      </c>
      <c r="DN287" s="81" t="s">
        <v>7</v>
      </c>
      <c r="DO287" s="81">
        <f t="shared" si="246"/>
        <v>0</v>
      </c>
      <c r="DP287" s="81">
        <f t="shared" si="247"/>
        <v>0</v>
      </c>
      <c r="DQ287" s="81" t="s">
        <v>1</v>
      </c>
      <c r="DR287" s="81">
        <f t="shared" si="248"/>
        <v>0</v>
      </c>
      <c r="DS287" s="81">
        <f t="shared" si="249"/>
        <v>0</v>
      </c>
    </row>
    <row r="288" spans="14:123" x14ac:dyDescent="0.3">
      <c r="N288" s="81">
        <f>IF(Q289=0,IF(Q288=0,,"x"),)</f>
        <v>0</v>
      </c>
      <c r="O288" s="81">
        <f t="shared" si="250"/>
        <v>0</v>
      </c>
      <c r="P288" s="81">
        <f t="shared" si="215"/>
        <v>0</v>
      </c>
      <c r="Q288" s="81">
        <f t="shared" si="251"/>
        <v>0</v>
      </c>
      <c r="R288" s="81">
        <f>IF(W288="",,SUM($W$4:W288))</f>
        <v>0</v>
      </c>
      <c r="S288" s="81">
        <f t="shared" si="216"/>
        <v>0</v>
      </c>
      <c r="T288" s="81">
        <f t="shared" si="252"/>
        <v>0</v>
      </c>
      <c r="U288" s="81">
        <f t="shared" si="217"/>
        <v>0</v>
      </c>
      <c r="AE288" s="81">
        <v>288</v>
      </c>
      <c r="AI288" s="81">
        <v>285</v>
      </c>
      <c r="AJ288" s="81" t="str">
        <f t="shared" si="208"/>
        <v>Maj 42</v>
      </c>
      <c r="AK288" s="81" t="str">
        <f t="shared" si="254"/>
        <v>Maj</v>
      </c>
      <c r="AL288" s="81">
        <f t="shared" si="253"/>
        <v>42</v>
      </c>
      <c r="AM288" s="81" t="str">
        <f t="shared" si="218"/>
        <v>='Maj 42'!</v>
      </c>
      <c r="AN288" s="81" t="str">
        <f t="shared" si="212"/>
        <v>='Maj 42'!C27</v>
      </c>
      <c r="AO288" s="81" t="s">
        <v>1288</v>
      </c>
      <c r="AR288" s="81" t="s">
        <v>348</v>
      </c>
      <c r="AS288" s="83" t="str">
        <f t="shared" si="209"/>
        <v>='Maj 42'!C6</v>
      </c>
      <c r="AT288" s="83">
        <f t="shared" si="210"/>
        <v>0</v>
      </c>
      <c r="AV288" s="81" t="s">
        <v>649</v>
      </c>
      <c r="AW288" s="81" t="s">
        <v>4442</v>
      </c>
      <c r="AX288" s="81" t="s">
        <v>4443</v>
      </c>
      <c r="AY288" s="81" t="s">
        <v>4444</v>
      </c>
      <c r="AZ288" s="81" t="s">
        <v>4445</v>
      </c>
      <c r="BA288" s="81" t="s">
        <v>4446</v>
      </c>
      <c r="BB288" s="81" t="s">
        <v>4447</v>
      </c>
      <c r="BC288" s="81" t="s">
        <v>4448</v>
      </c>
      <c r="BD288" s="81" t="s">
        <v>4449</v>
      </c>
      <c r="BE288" s="81" t="s">
        <v>4450</v>
      </c>
      <c r="BF288" s="81" t="s">
        <v>4451</v>
      </c>
      <c r="BG288" s="81" t="s">
        <v>4452</v>
      </c>
      <c r="BH288" s="81" t="s">
        <v>4905</v>
      </c>
      <c r="BI288" s="81" t="s">
        <v>5209</v>
      </c>
      <c r="BJ288" s="81" t="s">
        <v>348</v>
      </c>
      <c r="BL288" s="81" t="s">
        <v>952</v>
      </c>
      <c r="BM288" s="81">
        <v>285</v>
      </c>
      <c r="BN288" s="81" t="str">
        <f t="shared" si="211"/>
        <v>='Maj 42'!C12</v>
      </c>
      <c r="CA288" s="81" t="s">
        <v>2</v>
      </c>
      <c r="CB288" s="81">
        <f t="shared" si="220"/>
        <v>0</v>
      </c>
      <c r="CC288" s="81">
        <f t="shared" si="221"/>
        <v>0</v>
      </c>
      <c r="CD288" s="81" t="s">
        <v>16</v>
      </c>
      <c r="CE288" s="81">
        <f t="shared" si="222"/>
        <v>0</v>
      </c>
      <c r="CF288" s="81">
        <f t="shared" si="223"/>
        <v>0</v>
      </c>
      <c r="CG288" s="81" t="s">
        <v>5</v>
      </c>
      <c r="CH288" s="81">
        <f t="shared" si="224"/>
        <v>0</v>
      </c>
      <c r="CI288" s="81">
        <f t="shared" si="225"/>
        <v>0</v>
      </c>
      <c r="CJ288" s="81" t="s">
        <v>18</v>
      </c>
      <c r="CK288" s="81">
        <f t="shared" si="226"/>
        <v>0</v>
      </c>
      <c r="CL288" s="81">
        <f t="shared" si="227"/>
        <v>0</v>
      </c>
      <c r="CM288" s="81" t="s">
        <v>4</v>
      </c>
      <c r="CN288" s="81">
        <f t="shared" si="228"/>
        <v>0</v>
      </c>
      <c r="CO288" s="81">
        <f t="shared" si="229"/>
        <v>0</v>
      </c>
      <c r="CP288" s="81" t="s">
        <v>22</v>
      </c>
      <c r="CQ288" s="81">
        <f t="shared" si="230"/>
        <v>0</v>
      </c>
      <c r="CR288" s="81">
        <f t="shared" si="231"/>
        <v>0</v>
      </c>
      <c r="CS288" s="81" t="s">
        <v>21</v>
      </c>
      <c r="CT288" s="81">
        <f t="shared" si="232"/>
        <v>0</v>
      </c>
      <c r="CU288" s="81">
        <f t="shared" si="233"/>
        <v>0</v>
      </c>
      <c r="CV288" s="81" t="s">
        <v>998</v>
      </c>
      <c r="CW288" s="81">
        <f t="shared" si="234"/>
        <v>0</v>
      </c>
      <c r="CX288" s="81">
        <f t="shared" si="235"/>
        <v>0</v>
      </c>
      <c r="CY288" s="81" t="s">
        <v>19</v>
      </c>
      <c r="CZ288" s="81">
        <f t="shared" si="236"/>
        <v>0</v>
      </c>
      <c r="DA288" s="81">
        <f t="shared" si="237"/>
        <v>0</v>
      </c>
      <c r="DB288" s="81" t="s">
        <v>20</v>
      </c>
      <c r="DC288" s="81">
        <f t="shared" si="238"/>
        <v>0</v>
      </c>
      <c r="DD288" s="81">
        <f t="shared" si="239"/>
        <v>0</v>
      </c>
      <c r="DE288" s="81" t="s">
        <v>23</v>
      </c>
      <c r="DF288" s="81">
        <f t="shared" si="240"/>
        <v>0</v>
      </c>
      <c r="DG288" s="81">
        <f t="shared" si="241"/>
        <v>0</v>
      </c>
      <c r="DH288" s="81" t="s">
        <v>15</v>
      </c>
      <c r="DI288" s="81">
        <f t="shared" si="242"/>
        <v>0</v>
      </c>
      <c r="DJ288" s="81">
        <f t="shared" si="243"/>
        <v>0</v>
      </c>
      <c r="DK288" s="81" t="s">
        <v>5510</v>
      </c>
      <c r="DL288" s="81">
        <f t="shared" si="244"/>
        <v>0</v>
      </c>
      <c r="DM288" s="81">
        <f t="shared" si="245"/>
        <v>0</v>
      </c>
      <c r="DN288" s="81" t="s">
        <v>7</v>
      </c>
      <c r="DO288" s="81">
        <f t="shared" si="246"/>
        <v>0</v>
      </c>
      <c r="DP288" s="81">
        <f t="shared" si="247"/>
        <v>0</v>
      </c>
      <c r="DQ288" s="81" t="s">
        <v>1</v>
      </c>
      <c r="DR288" s="81">
        <f t="shared" si="248"/>
        <v>0</v>
      </c>
      <c r="DS288" s="81">
        <f t="shared" si="249"/>
        <v>0</v>
      </c>
    </row>
    <row r="289" spans="14:123" x14ac:dyDescent="0.3">
      <c r="N289" s="81">
        <f>IF(Q290=0,IF(Q289=0,,"x"),)</f>
        <v>0</v>
      </c>
      <c r="O289" s="81">
        <f t="shared" si="250"/>
        <v>0</v>
      </c>
      <c r="P289" s="81">
        <f t="shared" si="215"/>
        <v>0</v>
      </c>
      <c r="Q289" s="81">
        <f t="shared" si="251"/>
        <v>0</v>
      </c>
      <c r="R289" s="81">
        <f>IF(W289="",,SUM($W$4:W289))</f>
        <v>0</v>
      </c>
      <c r="S289" s="81">
        <f t="shared" si="216"/>
        <v>0</v>
      </c>
      <c r="T289" s="81">
        <f t="shared" si="252"/>
        <v>0</v>
      </c>
      <c r="U289" s="81">
        <f t="shared" si="217"/>
        <v>0</v>
      </c>
      <c r="AE289" s="81">
        <v>289</v>
      </c>
      <c r="AI289" s="81">
        <v>286</v>
      </c>
      <c r="AJ289" s="81" t="str">
        <f t="shared" si="208"/>
        <v>Juni 42</v>
      </c>
      <c r="AK289" s="81" t="str">
        <f t="shared" si="254"/>
        <v>Juni</v>
      </c>
      <c r="AL289" s="81">
        <f t="shared" si="253"/>
        <v>42</v>
      </c>
      <c r="AM289" s="81" t="str">
        <f t="shared" si="218"/>
        <v>='Juni 42'!</v>
      </c>
      <c r="AN289" s="81" t="str">
        <f t="shared" si="212"/>
        <v>='Juni 42'!C27</v>
      </c>
      <c r="AO289" s="81" t="s">
        <v>1289</v>
      </c>
      <c r="AR289" s="81" t="s">
        <v>349</v>
      </c>
      <c r="AS289" s="83" t="str">
        <f t="shared" si="209"/>
        <v>='Juni 42'!C6</v>
      </c>
      <c r="AT289" s="83">
        <f t="shared" si="210"/>
        <v>0</v>
      </c>
      <c r="AV289" s="81" t="s">
        <v>650</v>
      </c>
      <c r="AW289" s="81" t="s">
        <v>4453</v>
      </c>
      <c r="AX289" s="81" t="s">
        <v>4454</v>
      </c>
      <c r="AY289" s="81" t="s">
        <v>4455</v>
      </c>
      <c r="AZ289" s="81" t="s">
        <v>4456</v>
      </c>
      <c r="BA289" s="81" t="s">
        <v>4457</v>
      </c>
      <c r="BB289" s="81" t="s">
        <v>4458</v>
      </c>
      <c r="BC289" s="81" t="s">
        <v>4459</v>
      </c>
      <c r="BD289" s="81" t="s">
        <v>4460</v>
      </c>
      <c r="BE289" s="81" t="s">
        <v>4461</v>
      </c>
      <c r="BF289" s="81" t="s">
        <v>4462</v>
      </c>
      <c r="BG289" s="81" t="s">
        <v>4463</v>
      </c>
      <c r="BH289" s="81" t="s">
        <v>4906</v>
      </c>
      <c r="BI289" s="81" t="s">
        <v>5210</v>
      </c>
      <c r="BJ289" s="81" t="s">
        <v>349</v>
      </c>
      <c r="BL289" s="81" t="s">
        <v>953</v>
      </c>
      <c r="BM289" s="81">
        <v>286</v>
      </c>
      <c r="BN289" s="81" t="str">
        <f t="shared" si="211"/>
        <v>='Juni 42'!C12</v>
      </c>
      <c r="CA289" s="81" t="s">
        <v>2</v>
      </c>
      <c r="CB289" s="81">
        <f t="shared" si="220"/>
        <v>0</v>
      </c>
      <c r="CC289" s="81">
        <f t="shared" si="221"/>
        <v>0</v>
      </c>
      <c r="CD289" s="81" t="s">
        <v>16</v>
      </c>
      <c r="CE289" s="81">
        <f t="shared" si="222"/>
        <v>0</v>
      </c>
      <c r="CF289" s="81">
        <f t="shared" si="223"/>
        <v>0</v>
      </c>
      <c r="CG289" s="81" t="s">
        <v>5</v>
      </c>
      <c r="CH289" s="81">
        <f t="shared" si="224"/>
        <v>0</v>
      </c>
      <c r="CI289" s="81">
        <f t="shared" si="225"/>
        <v>0</v>
      </c>
      <c r="CJ289" s="81" t="s">
        <v>18</v>
      </c>
      <c r="CK289" s="81">
        <f t="shared" si="226"/>
        <v>0</v>
      </c>
      <c r="CL289" s="81">
        <f t="shared" si="227"/>
        <v>0</v>
      </c>
      <c r="CM289" s="81" t="s">
        <v>4</v>
      </c>
      <c r="CN289" s="81">
        <f t="shared" si="228"/>
        <v>0</v>
      </c>
      <c r="CO289" s="81">
        <f t="shared" si="229"/>
        <v>0</v>
      </c>
      <c r="CP289" s="81" t="s">
        <v>22</v>
      </c>
      <c r="CQ289" s="81">
        <f t="shared" si="230"/>
        <v>0</v>
      </c>
      <c r="CR289" s="81">
        <f t="shared" si="231"/>
        <v>0</v>
      </c>
      <c r="CS289" s="81" t="s">
        <v>21</v>
      </c>
      <c r="CT289" s="81">
        <f t="shared" si="232"/>
        <v>0</v>
      </c>
      <c r="CU289" s="81">
        <f t="shared" si="233"/>
        <v>0</v>
      </c>
      <c r="CV289" s="81" t="s">
        <v>998</v>
      </c>
      <c r="CW289" s="81">
        <f t="shared" si="234"/>
        <v>0</v>
      </c>
      <c r="CX289" s="81">
        <f t="shared" si="235"/>
        <v>0</v>
      </c>
      <c r="CY289" s="81" t="s">
        <v>19</v>
      </c>
      <c r="CZ289" s="81">
        <f t="shared" si="236"/>
        <v>0</v>
      </c>
      <c r="DA289" s="81">
        <f t="shared" si="237"/>
        <v>0</v>
      </c>
      <c r="DB289" s="81" t="s">
        <v>20</v>
      </c>
      <c r="DC289" s="81">
        <f t="shared" si="238"/>
        <v>0</v>
      </c>
      <c r="DD289" s="81">
        <f t="shared" si="239"/>
        <v>0</v>
      </c>
      <c r="DE289" s="81" t="s">
        <v>23</v>
      </c>
      <c r="DF289" s="81">
        <f t="shared" si="240"/>
        <v>0</v>
      </c>
      <c r="DG289" s="81">
        <f t="shared" si="241"/>
        <v>0</v>
      </c>
      <c r="DH289" s="81" t="s">
        <v>15</v>
      </c>
      <c r="DI289" s="81">
        <f t="shared" si="242"/>
        <v>0</v>
      </c>
      <c r="DJ289" s="81">
        <f t="shared" si="243"/>
        <v>0</v>
      </c>
      <c r="DK289" s="81" t="s">
        <v>5511</v>
      </c>
      <c r="DL289" s="81">
        <f t="shared" si="244"/>
        <v>0</v>
      </c>
      <c r="DM289" s="81">
        <f t="shared" si="245"/>
        <v>0</v>
      </c>
      <c r="DN289" s="81" t="s">
        <v>7</v>
      </c>
      <c r="DO289" s="81">
        <f t="shared" si="246"/>
        <v>0</v>
      </c>
      <c r="DP289" s="81">
        <f t="shared" si="247"/>
        <v>0</v>
      </c>
      <c r="DQ289" s="81" t="s">
        <v>1</v>
      </c>
      <c r="DR289" s="81">
        <f t="shared" si="248"/>
        <v>0</v>
      </c>
      <c r="DS289" s="81">
        <f t="shared" si="249"/>
        <v>0</v>
      </c>
    </row>
    <row r="290" spans="14:123" x14ac:dyDescent="0.3">
      <c r="N290" s="81">
        <f>IF(Q291=0,IF(Q290=0,,"x"),)</f>
        <v>0</v>
      </c>
      <c r="O290" s="81">
        <f t="shared" si="250"/>
        <v>0</v>
      </c>
      <c r="P290" s="81">
        <f t="shared" si="215"/>
        <v>0</v>
      </c>
      <c r="Q290" s="81">
        <f t="shared" si="251"/>
        <v>0</v>
      </c>
      <c r="R290" s="81">
        <f>IF(W290="",,SUM($W$4:W290))</f>
        <v>0</v>
      </c>
      <c r="S290" s="81">
        <f t="shared" si="216"/>
        <v>0</v>
      </c>
      <c r="T290" s="81">
        <f t="shared" si="252"/>
        <v>0</v>
      </c>
      <c r="U290" s="81">
        <f t="shared" si="217"/>
        <v>0</v>
      </c>
      <c r="AE290" s="81">
        <v>290</v>
      </c>
      <c r="AI290" s="81">
        <v>287</v>
      </c>
      <c r="AJ290" s="81" t="str">
        <f t="shared" si="208"/>
        <v>Juli 42</v>
      </c>
      <c r="AK290" s="81" t="str">
        <f t="shared" si="254"/>
        <v>Juli</v>
      </c>
      <c r="AL290" s="81">
        <f t="shared" si="253"/>
        <v>42</v>
      </c>
      <c r="AM290" s="81" t="str">
        <f t="shared" si="218"/>
        <v>='Juli 42'!</v>
      </c>
      <c r="AN290" s="81" t="str">
        <f t="shared" si="212"/>
        <v>='Juli 42'!C27</v>
      </c>
      <c r="AO290" s="81" t="s">
        <v>1290</v>
      </c>
      <c r="AR290" s="81" t="s">
        <v>350</v>
      </c>
      <c r="AS290" s="83" t="str">
        <f t="shared" si="209"/>
        <v>='Juli 42'!C6</v>
      </c>
      <c r="AT290" s="83">
        <f t="shared" si="210"/>
        <v>0</v>
      </c>
      <c r="AV290" s="81" t="s">
        <v>651</v>
      </c>
      <c r="AW290" s="81" t="s">
        <v>4464</v>
      </c>
      <c r="AX290" s="81" t="s">
        <v>4465</v>
      </c>
      <c r="AY290" s="81" t="s">
        <v>4466</v>
      </c>
      <c r="AZ290" s="81" t="s">
        <v>4467</v>
      </c>
      <c r="BA290" s="81" t="s">
        <v>4468</v>
      </c>
      <c r="BB290" s="81" t="s">
        <v>4469</v>
      </c>
      <c r="BC290" s="81" t="s">
        <v>4470</v>
      </c>
      <c r="BD290" s="81" t="s">
        <v>4471</v>
      </c>
      <c r="BE290" s="81" t="s">
        <v>4472</v>
      </c>
      <c r="BF290" s="81" t="s">
        <v>4473</v>
      </c>
      <c r="BG290" s="81" t="s">
        <v>4474</v>
      </c>
      <c r="BH290" s="81" t="s">
        <v>4907</v>
      </c>
      <c r="BI290" s="81" t="s">
        <v>5211</v>
      </c>
      <c r="BJ290" s="81" t="s">
        <v>350</v>
      </c>
      <c r="BL290" s="81" t="s">
        <v>954</v>
      </c>
      <c r="BM290" s="81">
        <v>287</v>
      </c>
      <c r="BN290" s="81" t="str">
        <f t="shared" si="211"/>
        <v>='Juli 42'!C12</v>
      </c>
      <c r="CA290" s="81" t="s">
        <v>2</v>
      </c>
      <c r="CB290" s="81">
        <f t="shared" si="220"/>
        <v>0</v>
      </c>
      <c r="CC290" s="81">
        <f t="shared" si="221"/>
        <v>0</v>
      </c>
      <c r="CD290" s="81" t="s">
        <v>16</v>
      </c>
      <c r="CE290" s="81">
        <f t="shared" si="222"/>
        <v>0</v>
      </c>
      <c r="CF290" s="81">
        <f t="shared" si="223"/>
        <v>0</v>
      </c>
      <c r="CG290" s="81" t="s">
        <v>5</v>
      </c>
      <c r="CH290" s="81">
        <f t="shared" si="224"/>
        <v>0</v>
      </c>
      <c r="CI290" s="81">
        <f t="shared" si="225"/>
        <v>0</v>
      </c>
      <c r="CJ290" s="81" t="s">
        <v>18</v>
      </c>
      <c r="CK290" s="81">
        <f t="shared" si="226"/>
        <v>0</v>
      </c>
      <c r="CL290" s="81">
        <f t="shared" si="227"/>
        <v>0</v>
      </c>
      <c r="CM290" s="81" t="s">
        <v>4</v>
      </c>
      <c r="CN290" s="81">
        <f t="shared" si="228"/>
        <v>0</v>
      </c>
      <c r="CO290" s="81">
        <f t="shared" si="229"/>
        <v>0</v>
      </c>
      <c r="CP290" s="81" t="s">
        <v>22</v>
      </c>
      <c r="CQ290" s="81">
        <f t="shared" si="230"/>
        <v>0</v>
      </c>
      <c r="CR290" s="81">
        <f t="shared" si="231"/>
        <v>0</v>
      </c>
      <c r="CS290" s="81" t="s">
        <v>21</v>
      </c>
      <c r="CT290" s="81">
        <f t="shared" si="232"/>
        <v>0</v>
      </c>
      <c r="CU290" s="81">
        <f t="shared" si="233"/>
        <v>0</v>
      </c>
      <c r="CV290" s="81" t="s">
        <v>998</v>
      </c>
      <c r="CW290" s="81">
        <f t="shared" si="234"/>
        <v>0</v>
      </c>
      <c r="CX290" s="81">
        <f t="shared" si="235"/>
        <v>0</v>
      </c>
      <c r="CY290" s="81" t="s">
        <v>19</v>
      </c>
      <c r="CZ290" s="81">
        <f t="shared" si="236"/>
        <v>0</v>
      </c>
      <c r="DA290" s="81">
        <f t="shared" si="237"/>
        <v>0</v>
      </c>
      <c r="DB290" s="81" t="s">
        <v>20</v>
      </c>
      <c r="DC290" s="81">
        <f t="shared" si="238"/>
        <v>0</v>
      </c>
      <c r="DD290" s="81">
        <f t="shared" si="239"/>
        <v>0</v>
      </c>
      <c r="DE290" s="81" t="s">
        <v>23</v>
      </c>
      <c r="DF290" s="81">
        <f t="shared" si="240"/>
        <v>0</v>
      </c>
      <c r="DG290" s="81">
        <f t="shared" si="241"/>
        <v>0</v>
      </c>
      <c r="DH290" s="81" t="s">
        <v>15</v>
      </c>
      <c r="DI290" s="81">
        <f t="shared" si="242"/>
        <v>0</v>
      </c>
      <c r="DJ290" s="81">
        <f t="shared" si="243"/>
        <v>0</v>
      </c>
      <c r="DK290" s="81" t="s">
        <v>5512</v>
      </c>
      <c r="DL290" s="81">
        <f t="shared" si="244"/>
        <v>0</v>
      </c>
      <c r="DM290" s="81">
        <f t="shared" si="245"/>
        <v>0</v>
      </c>
      <c r="DN290" s="81" t="s">
        <v>7</v>
      </c>
      <c r="DO290" s="81">
        <f t="shared" si="246"/>
        <v>0</v>
      </c>
      <c r="DP290" s="81">
        <f t="shared" si="247"/>
        <v>0</v>
      </c>
      <c r="DQ290" s="81" t="s">
        <v>1</v>
      </c>
      <c r="DR290" s="81">
        <f t="shared" si="248"/>
        <v>0</v>
      </c>
      <c r="DS290" s="81">
        <f t="shared" si="249"/>
        <v>0</v>
      </c>
    </row>
    <row r="291" spans="14:123" x14ac:dyDescent="0.3">
      <c r="N291" s="81">
        <f>IF(Q292=0,IF(Q291=0,,"x"),)</f>
        <v>0</v>
      </c>
      <c r="O291" s="81">
        <f t="shared" si="250"/>
        <v>0</v>
      </c>
      <c r="P291" s="81">
        <f t="shared" si="215"/>
        <v>0</v>
      </c>
      <c r="Q291" s="81">
        <f t="shared" si="251"/>
        <v>0</v>
      </c>
      <c r="S291" s="81">
        <f t="shared" si="216"/>
        <v>0</v>
      </c>
      <c r="T291" s="81">
        <f t="shared" si="252"/>
        <v>0</v>
      </c>
      <c r="U291" s="81">
        <f t="shared" si="217"/>
        <v>0</v>
      </c>
      <c r="AE291" s="81">
        <v>291</v>
      </c>
      <c r="AI291" s="81">
        <v>288</v>
      </c>
      <c r="AJ291" s="81" t="str">
        <f t="shared" si="208"/>
        <v>Augusti 42</v>
      </c>
      <c r="AK291" s="81" t="str">
        <f t="shared" si="254"/>
        <v>Augusti</v>
      </c>
      <c r="AL291" s="81">
        <f t="shared" si="253"/>
        <v>42</v>
      </c>
      <c r="AM291" s="81" t="str">
        <f t="shared" si="218"/>
        <v>='Augusti 42'!</v>
      </c>
      <c r="AN291" s="81" t="str">
        <f t="shared" si="212"/>
        <v>='Augusti 42'!C27</v>
      </c>
      <c r="AO291" s="81" t="s">
        <v>1291</v>
      </c>
      <c r="AR291" s="81" t="s">
        <v>351</v>
      </c>
      <c r="AS291" s="83" t="str">
        <f t="shared" si="209"/>
        <v>='Augusti 42'!C6</v>
      </c>
      <c r="AT291" s="83">
        <f t="shared" si="210"/>
        <v>0</v>
      </c>
      <c r="AV291" s="81" t="s">
        <v>652</v>
      </c>
      <c r="AW291" s="81" t="s">
        <v>4475</v>
      </c>
      <c r="AX291" s="81" t="s">
        <v>4476</v>
      </c>
      <c r="AY291" s="81" t="s">
        <v>4477</v>
      </c>
      <c r="AZ291" s="81" t="s">
        <v>4478</v>
      </c>
      <c r="BA291" s="81" t="s">
        <v>4479</v>
      </c>
      <c r="BB291" s="81" t="s">
        <v>4480</v>
      </c>
      <c r="BC291" s="81" t="s">
        <v>4481</v>
      </c>
      <c r="BD291" s="81" t="s">
        <v>4482</v>
      </c>
      <c r="BE291" s="81" t="s">
        <v>4483</v>
      </c>
      <c r="BF291" s="81" t="s">
        <v>4484</v>
      </c>
      <c r="BG291" s="81" t="s">
        <v>4485</v>
      </c>
      <c r="BH291" s="81" t="s">
        <v>4908</v>
      </c>
      <c r="BI291" s="81" t="s">
        <v>5212</v>
      </c>
      <c r="BJ291" s="81" t="s">
        <v>351</v>
      </c>
      <c r="BL291" s="81" t="s">
        <v>955</v>
      </c>
      <c r="BM291" s="81">
        <v>288</v>
      </c>
      <c r="BN291" s="81" t="str">
        <f t="shared" si="211"/>
        <v>='Augusti 42'!C12</v>
      </c>
      <c r="CA291" s="81" t="s">
        <v>2</v>
      </c>
      <c r="CB291" s="81">
        <f t="shared" si="220"/>
        <v>0</v>
      </c>
      <c r="CC291" s="81">
        <f t="shared" si="221"/>
        <v>0</v>
      </c>
      <c r="CD291" s="81" t="s">
        <v>16</v>
      </c>
      <c r="CE291" s="81">
        <f t="shared" si="222"/>
        <v>0</v>
      </c>
      <c r="CF291" s="81">
        <f t="shared" si="223"/>
        <v>0</v>
      </c>
      <c r="CG291" s="81" t="s">
        <v>5</v>
      </c>
      <c r="CH291" s="81">
        <f t="shared" si="224"/>
        <v>0</v>
      </c>
      <c r="CI291" s="81">
        <f t="shared" si="225"/>
        <v>0</v>
      </c>
      <c r="CJ291" s="81" t="s">
        <v>18</v>
      </c>
      <c r="CK291" s="81">
        <f t="shared" si="226"/>
        <v>0</v>
      </c>
      <c r="CL291" s="81">
        <f t="shared" si="227"/>
        <v>0</v>
      </c>
      <c r="CM291" s="81" t="s">
        <v>4</v>
      </c>
      <c r="CN291" s="81">
        <f t="shared" si="228"/>
        <v>0</v>
      </c>
      <c r="CO291" s="81">
        <f t="shared" si="229"/>
        <v>0</v>
      </c>
      <c r="CP291" s="81" t="s">
        <v>22</v>
      </c>
      <c r="CQ291" s="81">
        <f t="shared" si="230"/>
        <v>0</v>
      </c>
      <c r="CR291" s="81">
        <f t="shared" si="231"/>
        <v>0</v>
      </c>
      <c r="CS291" s="81" t="s">
        <v>21</v>
      </c>
      <c r="CT291" s="81">
        <f t="shared" si="232"/>
        <v>0</v>
      </c>
      <c r="CU291" s="81">
        <f t="shared" si="233"/>
        <v>0</v>
      </c>
      <c r="CV291" s="81" t="s">
        <v>998</v>
      </c>
      <c r="CW291" s="81">
        <f t="shared" si="234"/>
        <v>0</v>
      </c>
      <c r="CX291" s="81">
        <f t="shared" si="235"/>
        <v>0</v>
      </c>
      <c r="CY291" s="81" t="s">
        <v>19</v>
      </c>
      <c r="CZ291" s="81">
        <f t="shared" si="236"/>
        <v>0</v>
      </c>
      <c r="DA291" s="81">
        <f t="shared" si="237"/>
        <v>0</v>
      </c>
      <c r="DB291" s="81" t="s">
        <v>20</v>
      </c>
      <c r="DC291" s="81">
        <f t="shared" si="238"/>
        <v>0</v>
      </c>
      <c r="DD291" s="81">
        <f t="shared" si="239"/>
        <v>0</v>
      </c>
      <c r="DE291" s="81" t="s">
        <v>23</v>
      </c>
      <c r="DF291" s="81">
        <f t="shared" si="240"/>
        <v>0</v>
      </c>
      <c r="DG291" s="81">
        <f t="shared" si="241"/>
        <v>0</v>
      </c>
      <c r="DH291" s="81" t="s">
        <v>15</v>
      </c>
      <c r="DI291" s="81">
        <f t="shared" si="242"/>
        <v>0</v>
      </c>
      <c r="DJ291" s="81">
        <f t="shared" si="243"/>
        <v>0</v>
      </c>
      <c r="DK291" s="81" t="s">
        <v>5513</v>
      </c>
      <c r="DL291" s="81">
        <f t="shared" si="244"/>
        <v>0</v>
      </c>
      <c r="DM291" s="81">
        <f t="shared" si="245"/>
        <v>0</v>
      </c>
      <c r="DN291" s="81" t="s">
        <v>7</v>
      </c>
      <c r="DO291" s="81">
        <f t="shared" si="246"/>
        <v>0</v>
      </c>
      <c r="DP291" s="81">
        <f t="shared" si="247"/>
        <v>0</v>
      </c>
      <c r="DQ291" s="81" t="s">
        <v>1</v>
      </c>
      <c r="DR291" s="81">
        <f t="shared" si="248"/>
        <v>0</v>
      </c>
      <c r="DS291" s="81">
        <f t="shared" si="249"/>
        <v>0</v>
      </c>
    </row>
    <row r="292" spans="14:123" x14ac:dyDescent="0.3">
      <c r="N292" s="81">
        <f>IF(Q293=0,IF(Q292=0,,"x"),)</f>
        <v>0</v>
      </c>
      <c r="O292" s="81">
        <f t="shared" si="250"/>
        <v>0</v>
      </c>
      <c r="P292" s="81">
        <f t="shared" si="215"/>
        <v>0</v>
      </c>
      <c r="Q292" s="81">
        <f t="shared" si="251"/>
        <v>0</v>
      </c>
      <c r="S292" s="81">
        <f t="shared" si="216"/>
        <v>0</v>
      </c>
      <c r="T292" s="81">
        <f t="shared" si="252"/>
        <v>0</v>
      </c>
      <c r="U292" s="81">
        <f t="shared" si="217"/>
        <v>0</v>
      </c>
      <c r="AI292" s="81">
        <v>289</v>
      </c>
      <c r="AJ292" s="81" t="str">
        <f t="shared" si="208"/>
        <v>September 42</v>
      </c>
      <c r="AK292" s="81" t="str">
        <f t="shared" si="254"/>
        <v>September</v>
      </c>
      <c r="AL292" s="81">
        <f t="shared" si="253"/>
        <v>42</v>
      </c>
      <c r="AM292" s="81" t="str">
        <f t="shared" si="218"/>
        <v>='September 42'!</v>
      </c>
      <c r="AN292" s="81" t="str">
        <f t="shared" si="212"/>
        <v>='September 42'!C27</v>
      </c>
      <c r="AO292" s="81" t="s">
        <v>1292</v>
      </c>
      <c r="AR292" s="81" t="s">
        <v>352</v>
      </c>
      <c r="AS292" s="83" t="str">
        <f t="shared" si="209"/>
        <v>='September 42'!C6</v>
      </c>
      <c r="AT292" s="83">
        <f t="shared" si="210"/>
        <v>0</v>
      </c>
      <c r="AV292" s="81" t="s">
        <v>653</v>
      </c>
      <c r="AW292" s="81" t="s">
        <v>4486</v>
      </c>
      <c r="AX292" s="81" t="s">
        <v>4487</v>
      </c>
      <c r="AY292" s="81" t="s">
        <v>4488</v>
      </c>
      <c r="AZ292" s="81" t="s">
        <v>4489</v>
      </c>
      <c r="BA292" s="81" t="s">
        <v>4490</v>
      </c>
      <c r="BB292" s="81" t="s">
        <v>4491</v>
      </c>
      <c r="BC292" s="81" t="s">
        <v>4492</v>
      </c>
      <c r="BD292" s="81" t="s">
        <v>4493</v>
      </c>
      <c r="BE292" s="81" t="s">
        <v>4494</v>
      </c>
      <c r="BF292" s="81" t="s">
        <v>4495</v>
      </c>
      <c r="BG292" s="81" t="s">
        <v>4496</v>
      </c>
      <c r="BH292" s="81" t="s">
        <v>4909</v>
      </c>
      <c r="BI292" s="81" t="s">
        <v>5213</v>
      </c>
      <c r="BJ292" s="81" t="s">
        <v>352</v>
      </c>
      <c r="BL292" s="81" t="s">
        <v>956</v>
      </c>
      <c r="BM292" s="81">
        <v>289</v>
      </c>
      <c r="BN292" s="81" t="str">
        <f t="shared" si="211"/>
        <v>='September 42'!C12</v>
      </c>
      <c r="CA292" s="81" t="s">
        <v>2</v>
      </c>
      <c r="CB292" s="81">
        <f t="shared" si="220"/>
        <v>0</v>
      </c>
      <c r="CC292" s="81">
        <f t="shared" si="221"/>
        <v>0</v>
      </c>
      <c r="CD292" s="81" t="s">
        <v>16</v>
      </c>
      <c r="CE292" s="81">
        <f t="shared" si="222"/>
        <v>0</v>
      </c>
      <c r="CF292" s="81">
        <f t="shared" si="223"/>
        <v>0</v>
      </c>
      <c r="CG292" s="81" t="s">
        <v>5</v>
      </c>
      <c r="CH292" s="81">
        <f t="shared" si="224"/>
        <v>0</v>
      </c>
      <c r="CI292" s="81">
        <f t="shared" si="225"/>
        <v>0</v>
      </c>
      <c r="CJ292" s="81" t="s">
        <v>18</v>
      </c>
      <c r="CK292" s="81">
        <f t="shared" si="226"/>
        <v>0</v>
      </c>
      <c r="CL292" s="81">
        <f t="shared" si="227"/>
        <v>0</v>
      </c>
      <c r="CM292" s="81" t="s">
        <v>4</v>
      </c>
      <c r="CN292" s="81">
        <f t="shared" si="228"/>
        <v>0</v>
      </c>
      <c r="CO292" s="81">
        <f t="shared" si="229"/>
        <v>0</v>
      </c>
      <c r="CP292" s="81" t="s">
        <v>22</v>
      </c>
      <c r="CQ292" s="81">
        <f t="shared" si="230"/>
        <v>0</v>
      </c>
      <c r="CR292" s="81">
        <f t="shared" si="231"/>
        <v>0</v>
      </c>
      <c r="CS292" s="81" t="s">
        <v>21</v>
      </c>
      <c r="CT292" s="81">
        <f t="shared" si="232"/>
        <v>0</v>
      </c>
      <c r="CU292" s="81">
        <f t="shared" si="233"/>
        <v>0</v>
      </c>
      <c r="CV292" s="81" t="s">
        <v>998</v>
      </c>
      <c r="CW292" s="81">
        <f t="shared" si="234"/>
        <v>0</v>
      </c>
      <c r="CX292" s="81">
        <f t="shared" si="235"/>
        <v>0</v>
      </c>
      <c r="CY292" s="81" t="s">
        <v>19</v>
      </c>
      <c r="CZ292" s="81">
        <f t="shared" si="236"/>
        <v>0</v>
      </c>
      <c r="DA292" s="81">
        <f t="shared" si="237"/>
        <v>0</v>
      </c>
      <c r="DB292" s="81" t="s">
        <v>20</v>
      </c>
      <c r="DC292" s="81">
        <f t="shared" si="238"/>
        <v>0</v>
      </c>
      <c r="DD292" s="81">
        <f t="shared" si="239"/>
        <v>0</v>
      </c>
      <c r="DE292" s="81" t="s">
        <v>23</v>
      </c>
      <c r="DF292" s="81">
        <f t="shared" si="240"/>
        <v>0</v>
      </c>
      <c r="DG292" s="81">
        <f t="shared" si="241"/>
        <v>0</v>
      </c>
      <c r="DH292" s="81" t="s">
        <v>15</v>
      </c>
      <c r="DI292" s="81">
        <f t="shared" si="242"/>
        <v>0</v>
      </c>
      <c r="DJ292" s="81">
        <f t="shared" si="243"/>
        <v>0</v>
      </c>
      <c r="DK292" s="81" t="s">
        <v>5514</v>
      </c>
      <c r="DL292" s="81">
        <f t="shared" si="244"/>
        <v>0</v>
      </c>
      <c r="DM292" s="81">
        <f t="shared" si="245"/>
        <v>0</v>
      </c>
      <c r="DN292" s="81" t="s">
        <v>7</v>
      </c>
      <c r="DO292" s="81">
        <f t="shared" si="246"/>
        <v>0</v>
      </c>
      <c r="DP292" s="81">
        <f t="shared" si="247"/>
        <v>0</v>
      </c>
      <c r="DQ292" s="81" t="s">
        <v>1</v>
      </c>
      <c r="DR292" s="81">
        <f t="shared" si="248"/>
        <v>0</v>
      </c>
      <c r="DS292" s="81">
        <f t="shared" si="249"/>
        <v>0</v>
      </c>
    </row>
    <row r="293" spans="14:123" x14ac:dyDescent="0.3">
      <c r="N293" s="81">
        <f>IF(Q294=0,IF(Q293=0,,"x"),)</f>
        <v>0</v>
      </c>
      <c r="O293" s="81">
        <f t="shared" si="250"/>
        <v>0</v>
      </c>
      <c r="P293" s="81">
        <f t="shared" si="215"/>
        <v>0</v>
      </c>
      <c r="AI293" s="81">
        <v>290</v>
      </c>
      <c r="AJ293" s="81" t="str">
        <f t="shared" si="208"/>
        <v>Oktober 42</v>
      </c>
      <c r="AK293" s="81" t="str">
        <f t="shared" si="254"/>
        <v>Oktober</v>
      </c>
      <c r="AL293" s="81">
        <f t="shared" si="253"/>
        <v>42</v>
      </c>
      <c r="AM293" s="81" t="str">
        <f t="shared" si="218"/>
        <v>='Oktober 42'!</v>
      </c>
      <c r="AN293" s="81" t="str">
        <f t="shared" si="212"/>
        <v>='Oktober 42'!C27</v>
      </c>
      <c r="AO293" s="81" t="s">
        <v>1293</v>
      </c>
      <c r="AR293" s="81" t="s">
        <v>353</v>
      </c>
      <c r="AS293" s="83" t="str">
        <f t="shared" si="209"/>
        <v>='Oktober 42'!C6</v>
      </c>
      <c r="AT293" s="83">
        <f t="shared" si="210"/>
        <v>0</v>
      </c>
      <c r="AV293" s="81" t="s">
        <v>654</v>
      </c>
      <c r="AW293" s="81" t="s">
        <v>4497</v>
      </c>
      <c r="AX293" s="81" t="s">
        <v>4498</v>
      </c>
      <c r="AY293" s="81" t="s">
        <v>4499</v>
      </c>
      <c r="AZ293" s="81" t="s">
        <v>4500</v>
      </c>
      <c r="BA293" s="81" t="s">
        <v>4501</v>
      </c>
      <c r="BB293" s="81" t="s">
        <v>4502</v>
      </c>
      <c r="BC293" s="81" t="s">
        <v>4503</v>
      </c>
      <c r="BD293" s="81" t="s">
        <v>4504</v>
      </c>
      <c r="BE293" s="81" t="s">
        <v>4505</v>
      </c>
      <c r="BF293" s="81" t="s">
        <v>4506</v>
      </c>
      <c r="BG293" s="81" t="s">
        <v>4507</v>
      </c>
      <c r="BH293" s="81" t="s">
        <v>4910</v>
      </c>
      <c r="BI293" s="81" t="s">
        <v>5214</v>
      </c>
      <c r="BJ293" s="81" t="s">
        <v>353</v>
      </c>
      <c r="BL293" s="81" t="s">
        <v>957</v>
      </c>
      <c r="BM293" s="81">
        <v>290</v>
      </c>
      <c r="BN293" s="81" t="str">
        <f t="shared" si="211"/>
        <v>='Oktober 42'!C12</v>
      </c>
      <c r="CA293" s="81" t="s">
        <v>2</v>
      </c>
      <c r="CB293" s="81">
        <f t="shared" si="220"/>
        <v>0</v>
      </c>
      <c r="CC293" s="81">
        <f t="shared" si="221"/>
        <v>0</v>
      </c>
      <c r="CD293" s="81" t="s">
        <v>16</v>
      </c>
      <c r="CE293" s="81">
        <f t="shared" si="222"/>
        <v>0</v>
      </c>
      <c r="CF293" s="81">
        <f t="shared" si="223"/>
        <v>0</v>
      </c>
      <c r="CG293" s="81" t="s">
        <v>5</v>
      </c>
      <c r="CH293" s="81">
        <f t="shared" si="224"/>
        <v>0</v>
      </c>
      <c r="CI293" s="81">
        <f t="shared" si="225"/>
        <v>0</v>
      </c>
      <c r="CJ293" s="81" t="s">
        <v>18</v>
      </c>
      <c r="CK293" s="81">
        <f t="shared" si="226"/>
        <v>0</v>
      </c>
      <c r="CL293" s="81">
        <f t="shared" si="227"/>
        <v>0</v>
      </c>
      <c r="CM293" s="81" t="s">
        <v>4</v>
      </c>
      <c r="CN293" s="81">
        <f t="shared" si="228"/>
        <v>0</v>
      </c>
      <c r="CO293" s="81">
        <f t="shared" si="229"/>
        <v>0</v>
      </c>
      <c r="CP293" s="81" t="s">
        <v>22</v>
      </c>
      <c r="CQ293" s="81">
        <f t="shared" si="230"/>
        <v>0</v>
      </c>
      <c r="CR293" s="81">
        <f t="shared" si="231"/>
        <v>0</v>
      </c>
      <c r="CS293" s="81" t="s">
        <v>21</v>
      </c>
      <c r="CT293" s="81">
        <f t="shared" si="232"/>
        <v>0</v>
      </c>
      <c r="CU293" s="81">
        <f t="shared" si="233"/>
        <v>0</v>
      </c>
      <c r="CV293" s="81" t="s">
        <v>998</v>
      </c>
      <c r="CW293" s="81">
        <f t="shared" si="234"/>
        <v>0</v>
      </c>
      <c r="CX293" s="81">
        <f t="shared" si="235"/>
        <v>0</v>
      </c>
      <c r="CY293" s="81" t="s">
        <v>19</v>
      </c>
      <c r="CZ293" s="81">
        <f t="shared" si="236"/>
        <v>0</v>
      </c>
      <c r="DA293" s="81">
        <f t="shared" si="237"/>
        <v>0</v>
      </c>
      <c r="DB293" s="81" t="s">
        <v>20</v>
      </c>
      <c r="DC293" s="81">
        <f t="shared" si="238"/>
        <v>0</v>
      </c>
      <c r="DD293" s="81">
        <f t="shared" si="239"/>
        <v>0</v>
      </c>
      <c r="DE293" s="81" t="s">
        <v>23</v>
      </c>
      <c r="DF293" s="81">
        <f t="shared" si="240"/>
        <v>0</v>
      </c>
      <c r="DG293" s="81">
        <f t="shared" si="241"/>
        <v>0</v>
      </c>
      <c r="DH293" s="81" t="s">
        <v>15</v>
      </c>
      <c r="DI293" s="81">
        <f t="shared" si="242"/>
        <v>0</v>
      </c>
      <c r="DJ293" s="81">
        <f t="shared" si="243"/>
        <v>0</v>
      </c>
      <c r="DK293" s="81" t="s">
        <v>5515</v>
      </c>
      <c r="DL293" s="81">
        <f t="shared" si="244"/>
        <v>0</v>
      </c>
      <c r="DM293" s="81">
        <f t="shared" si="245"/>
        <v>0</v>
      </c>
      <c r="DN293" s="81" t="s">
        <v>7</v>
      </c>
      <c r="DO293" s="81">
        <f t="shared" si="246"/>
        <v>0</v>
      </c>
      <c r="DP293" s="81">
        <f t="shared" si="247"/>
        <v>0</v>
      </c>
      <c r="DQ293" s="81" t="s">
        <v>1</v>
      </c>
      <c r="DR293" s="81">
        <f t="shared" si="248"/>
        <v>0</v>
      </c>
      <c r="DS293" s="81">
        <f t="shared" si="249"/>
        <v>0</v>
      </c>
    </row>
    <row r="294" spans="14:123" x14ac:dyDescent="0.3">
      <c r="AI294" s="81">
        <v>291</v>
      </c>
      <c r="AJ294" s="81" t="str">
        <f t="shared" si="208"/>
        <v>November 42</v>
      </c>
      <c r="AK294" s="81" t="str">
        <f t="shared" si="254"/>
        <v>November</v>
      </c>
      <c r="AL294" s="81">
        <f t="shared" si="253"/>
        <v>42</v>
      </c>
      <c r="AM294" s="81" t="str">
        <f t="shared" si="218"/>
        <v>='November 42'!</v>
      </c>
      <c r="AN294" s="81" t="str">
        <f t="shared" si="212"/>
        <v>='November 42'!C27</v>
      </c>
      <c r="AO294" s="81" t="s">
        <v>1294</v>
      </c>
      <c r="AR294" s="81" t="s">
        <v>354</v>
      </c>
      <c r="AS294" s="83" t="str">
        <f t="shared" si="209"/>
        <v>='November 42'!C6</v>
      </c>
      <c r="AT294" s="83">
        <f t="shared" si="210"/>
        <v>0</v>
      </c>
      <c r="AV294" s="81" t="s">
        <v>655</v>
      </c>
      <c r="AW294" s="81" t="s">
        <v>4508</v>
      </c>
      <c r="AX294" s="81" t="s">
        <v>4509</v>
      </c>
      <c r="AY294" s="81" t="s">
        <v>4510</v>
      </c>
      <c r="AZ294" s="81" t="s">
        <v>4511</v>
      </c>
      <c r="BA294" s="81" t="s">
        <v>4512</v>
      </c>
      <c r="BB294" s="81" t="s">
        <v>4513</v>
      </c>
      <c r="BC294" s="81" t="s">
        <v>4514</v>
      </c>
      <c r="BD294" s="81" t="s">
        <v>4515</v>
      </c>
      <c r="BE294" s="81" t="s">
        <v>4516</v>
      </c>
      <c r="BF294" s="81" t="s">
        <v>4517</v>
      </c>
      <c r="BG294" s="81" t="s">
        <v>4518</v>
      </c>
      <c r="BH294" s="81" t="s">
        <v>4911</v>
      </c>
      <c r="BI294" s="81" t="s">
        <v>5215</v>
      </c>
      <c r="BJ294" s="81" t="s">
        <v>354</v>
      </c>
      <c r="BL294" s="81" t="s">
        <v>958</v>
      </c>
      <c r="BM294" s="81">
        <v>291</v>
      </c>
      <c r="BN294" s="81" t="str">
        <f t="shared" si="211"/>
        <v>='November 42'!C12</v>
      </c>
      <c r="CA294" s="81" t="s">
        <v>2</v>
      </c>
      <c r="CB294" s="81">
        <f t="shared" si="220"/>
        <v>0</v>
      </c>
      <c r="CC294" s="81">
        <f t="shared" si="221"/>
        <v>0</v>
      </c>
      <c r="CD294" s="81" t="s">
        <v>16</v>
      </c>
      <c r="CE294" s="81">
        <f t="shared" si="222"/>
        <v>0</v>
      </c>
      <c r="CF294" s="81">
        <f t="shared" si="223"/>
        <v>0</v>
      </c>
      <c r="CG294" s="81" t="s">
        <v>5</v>
      </c>
      <c r="CH294" s="81">
        <f t="shared" si="224"/>
        <v>0</v>
      </c>
      <c r="CI294" s="81">
        <f t="shared" si="225"/>
        <v>0</v>
      </c>
      <c r="CJ294" s="81" t="s">
        <v>18</v>
      </c>
      <c r="CK294" s="81">
        <f t="shared" si="226"/>
        <v>0</v>
      </c>
      <c r="CL294" s="81">
        <f t="shared" si="227"/>
        <v>0</v>
      </c>
      <c r="CM294" s="81" t="s">
        <v>4</v>
      </c>
      <c r="CN294" s="81">
        <f t="shared" si="228"/>
        <v>0</v>
      </c>
      <c r="CO294" s="81">
        <f t="shared" si="229"/>
        <v>0</v>
      </c>
      <c r="CP294" s="81" t="s">
        <v>22</v>
      </c>
      <c r="CQ294" s="81">
        <f t="shared" si="230"/>
        <v>0</v>
      </c>
      <c r="CR294" s="81">
        <f t="shared" si="231"/>
        <v>0</v>
      </c>
      <c r="CS294" s="81" t="s">
        <v>21</v>
      </c>
      <c r="CT294" s="81">
        <f t="shared" si="232"/>
        <v>0</v>
      </c>
      <c r="CU294" s="81">
        <f t="shared" si="233"/>
        <v>0</v>
      </c>
      <c r="CV294" s="81" t="s">
        <v>998</v>
      </c>
      <c r="CW294" s="81">
        <f t="shared" si="234"/>
        <v>0</v>
      </c>
      <c r="CX294" s="81">
        <f t="shared" si="235"/>
        <v>0</v>
      </c>
      <c r="CY294" s="81" t="s">
        <v>19</v>
      </c>
      <c r="CZ294" s="81">
        <f t="shared" si="236"/>
        <v>0</v>
      </c>
      <c r="DA294" s="81">
        <f t="shared" si="237"/>
        <v>0</v>
      </c>
      <c r="DB294" s="81" t="s">
        <v>20</v>
      </c>
      <c r="DC294" s="81">
        <f t="shared" si="238"/>
        <v>0</v>
      </c>
      <c r="DD294" s="81">
        <f t="shared" si="239"/>
        <v>0</v>
      </c>
      <c r="DE294" s="81" t="s">
        <v>23</v>
      </c>
      <c r="DF294" s="81">
        <f t="shared" si="240"/>
        <v>0</v>
      </c>
      <c r="DG294" s="81">
        <f t="shared" si="241"/>
        <v>0</v>
      </c>
      <c r="DH294" s="81" t="s">
        <v>15</v>
      </c>
      <c r="DI294" s="81">
        <f t="shared" si="242"/>
        <v>0</v>
      </c>
      <c r="DJ294" s="81">
        <f t="shared" si="243"/>
        <v>0</v>
      </c>
      <c r="DK294" s="81" t="s">
        <v>5516</v>
      </c>
      <c r="DL294" s="81">
        <f t="shared" si="244"/>
        <v>0</v>
      </c>
      <c r="DM294" s="81">
        <f t="shared" si="245"/>
        <v>0</v>
      </c>
      <c r="DN294" s="81" t="s">
        <v>7</v>
      </c>
      <c r="DO294" s="81">
        <f t="shared" si="246"/>
        <v>0</v>
      </c>
      <c r="DP294" s="81">
        <f t="shared" si="247"/>
        <v>0</v>
      </c>
      <c r="DQ294" s="81" t="s">
        <v>1</v>
      </c>
      <c r="DR294" s="81">
        <f t="shared" si="248"/>
        <v>0</v>
      </c>
      <c r="DS294" s="81">
        <f t="shared" si="249"/>
        <v>0</v>
      </c>
    </row>
    <row r="295" spans="14:123" x14ac:dyDescent="0.3">
      <c r="AI295" s="81">
        <v>292</v>
      </c>
      <c r="AJ295" s="81" t="str">
        <f t="shared" si="208"/>
        <v>December 42</v>
      </c>
      <c r="AK295" s="81" t="str">
        <f t="shared" si="254"/>
        <v>December</v>
      </c>
      <c r="AL295" s="81">
        <f t="shared" si="253"/>
        <v>42</v>
      </c>
      <c r="AM295" s="81" t="str">
        <f t="shared" si="218"/>
        <v>='December 42'!</v>
      </c>
      <c r="AN295" s="81" t="str">
        <f t="shared" si="212"/>
        <v>='December 42'!C27</v>
      </c>
      <c r="AO295" s="81" t="s">
        <v>1295</v>
      </c>
      <c r="AR295" s="81" t="s">
        <v>355</v>
      </c>
      <c r="AS295" s="83" t="str">
        <f t="shared" si="209"/>
        <v>='December 42'!C6</v>
      </c>
      <c r="AT295" s="83">
        <f t="shared" si="210"/>
        <v>0</v>
      </c>
      <c r="AV295" s="81" t="s">
        <v>656</v>
      </c>
      <c r="AW295" s="81" t="s">
        <v>4519</v>
      </c>
      <c r="AX295" s="81" t="s">
        <v>4520</v>
      </c>
      <c r="AY295" s="81" t="s">
        <v>4521</v>
      </c>
      <c r="AZ295" s="81" t="s">
        <v>4522</v>
      </c>
      <c r="BA295" s="81" t="s">
        <v>4523</v>
      </c>
      <c r="BB295" s="81" t="s">
        <v>4524</v>
      </c>
      <c r="BC295" s="81" t="s">
        <v>4525</v>
      </c>
      <c r="BD295" s="81" t="s">
        <v>4526</v>
      </c>
      <c r="BE295" s="81" t="s">
        <v>4527</v>
      </c>
      <c r="BF295" s="81" t="s">
        <v>4528</v>
      </c>
      <c r="BG295" s="81" t="s">
        <v>4529</v>
      </c>
      <c r="BH295" s="81" t="s">
        <v>4912</v>
      </c>
      <c r="BI295" s="81" t="s">
        <v>5216</v>
      </c>
      <c r="BJ295" s="81" t="s">
        <v>355</v>
      </c>
      <c r="BL295" s="81" t="s">
        <v>959</v>
      </c>
      <c r="BM295" s="81">
        <v>292</v>
      </c>
      <c r="BN295" s="81" t="str">
        <f t="shared" si="211"/>
        <v>='December 42'!C12</v>
      </c>
      <c r="CA295" s="81" t="s">
        <v>2</v>
      </c>
      <c r="CB295" s="81">
        <f t="shared" si="220"/>
        <v>0</v>
      </c>
      <c r="CC295" s="81">
        <f t="shared" si="221"/>
        <v>0</v>
      </c>
      <c r="CD295" s="81" t="s">
        <v>16</v>
      </c>
      <c r="CE295" s="81">
        <f t="shared" si="222"/>
        <v>0</v>
      </c>
      <c r="CF295" s="81">
        <f t="shared" si="223"/>
        <v>0</v>
      </c>
      <c r="CG295" s="81" t="s">
        <v>5</v>
      </c>
      <c r="CH295" s="81">
        <f t="shared" si="224"/>
        <v>0</v>
      </c>
      <c r="CI295" s="81">
        <f t="shared" si="225"/>
        <v>0</v>
      </c>
      <c r="CJ295" s="81" t="s">
        <v>18</v>
      </c>
      <c r="CK295" s="81">
        <f t="shared" si="226"/>
        <v>0</v>
      </c>
      <c r="CL295" s="81">
        <f t="shared" si="227"/>
        <v>0</v>
      </c>
      <c r="CM295" s="81" t="s">
        <v>4</v>
      </c>
      <c r="CN295" s="81">
        <f t="shared" si="228"/>
        <v>0</v>
      </c>
      <c r="CO295" s="81">
        <f t="shared" si="229"/>
        <v>0</v>
      </c>
      <c r="CP295" s="81" t="s">
        <v>22</v>
      </c>
      <c r="CQ295" s="81">
        <f t="shared" si="230"/>
        <v>0</v>
      </c>
      <c r="CR295" s="81">
        <f t="shared" si="231"/>
        <v>0</v>
      </c>
      <c r="CS295" s="81" t="s">
        <v>21</v>
      </c>
      <c r="CT295" s="81">
        <f t="shared" si="232"/>
        <v>0</v>
      </c>
      <c r="CU295" s="81">
        <f t="shared" si="233"/>
        <v>0</v>
      </c>
      <c r="CV295" s="81" t="s">
        <v>998</v>
      </c>
      <c r="CW295" s="81">
        <f t="shared" si="234"/>
        <v>0</v>
      </c>
      <c r="CX295" s="81">
        <f t="shared" si="235"/>
        <v>0</v>
      </c>
      <c r="CY295" s="81" t="s">
        <v>19</v>
      </c>
      <c r="CZ295" s="81">
        <f t="shared" si="236"/>
        <v>0</v>
      </c>
      <c r="DA295" s="81">
        <f t="shared" si="237"/>
        <v>0</v>
      </c>
      <c r="DB295" s="81" t="s">
        <v>20</v>
      </c>
      <c r="DC295" s="81">
        <f t="shared" si="238"/>
        <v>0</v>
      </c>
      <c r="DD295" s="81">
        <f t="shared" si="239"/>
        <v>0</v>
      </c>
      <c r="DE295" s="81" t="s">
        <v>23</v>
      </c>
      <c r="DF295" s="81">
        <f t="shared" si="240"/>
        <v>0</v>
      </c>
      <c r="DG295" s="81">
        <f t="shared" si="241"/>
        <v>0</v>
      </c>
      <c r="DH295" s="81" t="s">
        <v>15</v>
      </c>
      <c r="DI295" s="81">
        <f t="shared" si="242"/>
        <v>0</v>
      </c>
      <c r="DJ295" s="81">
        <f t="shared" si="243"/>
        <v>0</v>
      </c>
      <c r="DK295" s="81" t="s">
        <v>5517</v>
      </c>
      <c r="DL295" s="81">
        <f t="shared" si="244"/>
        <v>0</v>
      </c>
      <c r="DM295" s="81">
        <f t="shared" si="245"/>
        <v>0</v>
      </c>
      <c r="DN295" s="81" t="s">
        <v>7</v>
      </c>
      <c r="DO295" s="81">
        <f t="shared" si="246"/>
        <v>0</v>
      </c>
      <c r="DP295" s="81">
        <f t="shared" si="247"/>
        <v>0</v>
      </c>
      <c r="DQ295" s="81" t="s">
        <v>1</v>
      </c>
      <c r="DR295" s="81">
        <f t="shared" si="248"/>
        <v>0</v>
      </c>
      <c r="DS295" s="81">
        <f t="shared" si="249"/>
        <v>0</v>
      </c>
    </row>
    <row r="296" spans="14:123" x14ac:dyDescent="0.3">
      <c r="AI296" s="81">
        <v>293</v>
      </c>
      <c r="AJ296" s="81" t="str">
        <f t="shared" si="208"/>
        <v>Januari 43</v>
      </c>
      <c r="AK296" s="81" t="str">
        <f t="shared" si="254"/>
        <v>Januari</v>
      </c>
      <c r="AL296" s="81">
        <f t="shared" si="253"/>
        <v>43</v>
      </c>
      <c r="AM296" s="81" t="str">
        <f t="shared" si="218"/>
        <v>='Januari 43'!</v>
      </c>
      <c r="AN296" s="81" t="str">
        <f t="shared" si="212"/>
        <v>='Januari 43'!C27</v>
      </c>
      <c r="AO296" s="81" t="s">
        <v>1296</v>
      </c>
      <c r="AR296" s="81" t="s">
        <v>356</v>
      </c>
      <c r="AS296" s="83" t="str">
        <f t="shared" si="209"/>
        <v>='Januari 43'!C6</v>
      </c>
      <c r="AT296" s="83">
        <f t="shared" si="210"/>
        <v>0</v>
      </c>
      <c r="AV296" s="81" t="s">
        <v>657</v>
      </c>
      <c r="AW296" s="81" t="s">
        <v>4530</v>
      </c>
      <c r="AX296" s="81" t="s">
        <v>4531</v>
      </c>
      <c r="AY296" s="81" t="s">
        <v>4532</v>
      </c>
      <c r="AZ296" s="81" t="s">
        <v>4533</v>
      </c>
      <c r="BA296" s="81" t="s">
        <v>4534</v>
      </c>
      <c r="BB296" s="81" t="s">
        <v>4535</v>
      </c>
      <c r="BC296" s="81" t="s">
        <v>4536</v>
      </c>
      <c r="BD296" s="81" t="s">
        <v>4537</v>
      </c>
      <c r="BE296" s="81" t="s">
        <v>4538</v>
      </c>
      <c r="BF296" s="81" t="s">
        <v>4539</v>
      </c>
      <c r="BG296" s="81" t="s">
        <v>4540</v>
      </c>
      <c r="BH296" s="81" t="s">
        <v>4913</v>
      </c>
      <c r="BI296" s="81" t="s">
        <v>5217</v>
      </c>
      <c r="BJ296" s="81" t="s">
        <v>356</v>
      </c>
      <c r="BL296" s="81" t="s">
        <v>960</v>
      </c>
      <c r="BM296" s="81">
        <v>293</v>
      </c>
      <c r="BN296" s="81" t="str">
        <f t="shared" si="211"/>
        <v>='Januari 43'!C12</v>
      </c>
      <c r="CA296" s="81" t="s">
        <v>2</v>
      </c>
      <c r="CB296" s="81">
        <f t="shared" si="220"/>
        <v>0</v>
      </c>
      <c r="CC296" s="81">
        <f t="shared" si="221"/>
        <v>0</v>
      </c>
      <c r="CD296" s="81" t="s">
        <v>16</v>
      </c>
      <c r="CE296" s="81">
        <f t="shared" si="222"/>
        <v>0</v>
      </c>
      <c r="CF296" s="81">
        <f t="shared" si="223"/>
        <v>0</v>
      </c>
      <c r="CG296" s="81" t="s">
        <v>5</v>
      </c>
      <c r="CH296" s="81">
        <f t="shared" si="224"/>
        <v>0</v>
      </c>
      <c r="CI296" s="81">
        <f t="shared" si="225"/>
        <v>0</v>
      </c>
      <c r="CJ296" s="81" t="s">
        <v>18</v>
      </c>
      <c r="CK296" s="81">
        <f t="shared" si="226"/>
        <v>0</v>
      </c>
      <c r="CL296" s="81">
        <f t="shared" si="227"/>
        <v>0</v>
      </c>
      <c r="CM296" s="81" t="s">
        <v>4</v>
      </c>
      <c r="CN296" s="81">
        <f t="shared" si="228"/>
        <v>0</v>
      </c>
      <c r="CO296" s="81">
        <f t="shared" si="229"/>
        <v>0</v>
      </c>
      <c r="CP296" s="81" t="s">
        <v>22</v>
      </c>
      <c r="CQ296" s="81">
        <f t="shared" si="230"/>
        <v>0</v>
      </c>
      <c r="CR296" s="81">
        <f t="shared" si="231"/>
        <v>0</v>
      </c>
      <c r="CS296" s="81" t="s">
        <v>21</v>
      </c>
      <c r="CT296" s="81">
        <f t="shared" si="232"/>
        <v>0</v>
      </c>
      <c r="CU296" s="81">
        <f t="shared" si="233"/>
        <v>0</v>
      </c>
      <c r="CV296" s="81" t="s">
        <v>998</v>
      </c>
      <c r="CW296" s="81">
        <f t="shared" si="234"/>
        <v>0</v>
      </c>
      <c r="CX296" s="81">
        <f t="shared" si="235"/>
        <v>0</v>
      </c>
      <c r="CY296" s="81" t="s">
        <v>19</v>
      </c>
      <c r="CZ296" s="81">
        <f t="shared" si="236"/>
        <v>0</v>
      </c>
      <c r="DA296" s="81">
        <f t="shared" si="237"/>
        <v>0</v>
      </c>
      <c r="DB296" s="81" t="s">
        <v>20</v>
      </c>
      <c r="DC296" s="81">
        <f t="shared" si="238"/>
        <v>0</v>
      </c>
      <c r="DD296" s="81">
        <f t="shared" si="239"/>
        <v>0</v>
      </c>
      <c r="DE296" s="81" t="s">
        <v>23</v>
      </c>
      <c r="DF296" s="81">
        <f t="shared" si="240"/>
        <v>0</v>
      </c>
      <c r="DG296" s="81">
        <f t="shared" si="241"/>
        <v>0</v>
      </c>
      <c r="DH296" s="81" t="s">
        <v>15</v>
      </c>
      <c r="DI296" s="81">
        <f t="shared" si="242"/>
        <v>0</v>
      </c>
      <c r="DJ296" s="81">
        <f t="shared" si="243"/>
        <v>0</v>
      </c>
      <c r="DK296" s="81" t="s">
        <v>5518</v>
      </c>
      <c r="DL296" s="81">
        <f t="shared" si="244"/>
        <v>0</v>
      </c>
      <c r="DM296" s="81">
        <f t="shared" si="245"/>
        <v>0</v>
      </c>
      <c r="DN296" s="81" t="s">
        <v>7</v>
      </c>
      <c r="DO296" s="81">
        <f t="shared" si="246"/>
        <v>0</v>
      </c>
      <c r="DP296" s="81">
        <f t="shared" si="247"/>
        <v>0</v>
      </c>
      <c r="DQ296" s="81" t="s">
        <v>1</v>
      </c>
      <c r="DR296" s="81">
        <f t="shared" si="248"/>
        <v>0</v>
      </c>
      <c r="DS296" s="81">
        <f t="shared" si="249"/>
        <v>0</v>
      </c>
    </row>
    <row r="297" spans="14:123" x14ac:dyDescent="0.3">
      <c r="AI297" s="81">
        <v>294</v>
      </c>
      <c r="AJ297" s="81" t="str">
        <f t="shared" si="208"/>
        <v>Februari 43</v>
      </c>
      <c r="AK297" s="81" t="str">
        <f t="shared" si="254"/>
        <v>Februari</v>
      </c>
      <c r="AL297" s="81">
        <f t="shared" si="253"/>
        <v>43</v>
      </c>
      <c r="AM297" s="81" t="str">
        <f t="shared" si="218"/>
        <v>='Februari 43'!</v>
      </c>
      <c r="AN297" s="81" t="str">
        <f t="shared" si="212"/>
        <v>='Februari 43'!C27</v>
      </c>
      <c r="AO297" s="81" t="s">
        <v>1297</v>
      </c>
      <c r="AR297" s="81" t="s">
        <v>357</v>
      </c>
      <c r="AS297" s="83" t="str">
        <f t="shared" si="209"/>
        <v>='Februari 43'!C6</v>
      </c>
      <c r="AT297" s="83">
        <f t="shared" si="210"/>
        <v>0</v>
      </c>
      <c r="AV297" s="81" t="s">
        <v>658</v>
      </c>
      <c r="AW297" s="81" t="s">
        <v>4541</v>
      </c>
      <c r="AX297" s="81" t="s">
        <v>4542</v>
      </c>
      <c r="AY297" s="81" t="s">
        <v>4543</v>
      </c>
      <c r="AZ297" s="81" t="s">
        <v>4544</v>
      </c>
      <c r="BA297" s="81" t="s">
        <v>4545</v>
      </c>
      <c r="BB297" s="81" t="s">
        <v>4546</v>
      </c>
      <c r="BC297" s="81" t="s">
        <v>4547</v>
      </c>
      <c r="BD297" s="81" t="s">
        <v>4548</v>
      </c>
      <c r="BE297" s="81" t="s">
        <v>4549</v>
      </c>
      <c r="BF297" s="81" t="s">
        <v>4550</v>
      </c>
      <c r="BG297" s="81" t="s">
        <v>4551</v>
      </c>
      <c r="BH297" s="81" t="s">
        <v>4914</v>
      </c>
      <c r="BI297" s="81" t="s">
        <v>5218</v>
      </c>
      <c r="BJ297" s="81" t="s">
        <v>357</v>
      </c>
      <c r="BL297" s="81" t="s">
        <v>961</v>
      </c>
      <c r="BM297" s="81">
        <v>294</v>
      </c>
      <c r="BN297" s="81" t="str">
        <f t="shared" si="211"/>
        <v>='Februari 43'!C12</v>
      </c>
      <c r="CA297" s="81" t="s">
        <v>2</v>
      </c>
      <c r="CB297" s="81">
        <f t="shared" si="220"/>
        <v>0</v>
      </c>
      <c r="CC297" s="81">
        <f t="shared" si="221"/>
        <v>0</v>
      </c>
      <c r="CD297" s="81" t="s">
        <v>16</v>
      </c>
      <c r="CE297" s="81">
        <f t="shared" si="222"/>
        <v>0</v>
      </c>
      <c r="CF297" s="81">
        <f t="shared" si="223"/>
        <v>0</v>
      </c>
      <c r="CG297" s="81" t="s">
        <v>5</v>
      </c>
      <c r="CH297" s="81">
        <f t="shared" si="224"/>
        <v>0</v>
      </c>
      <c r="CI297" s="81">
        <f t="shared" si="225"/>
        <v>0</v>
      </c>
      <c r="CJ297" s="81" t="s">
        <v>18</v>
      </c>
      <c r="CK297" s="81">
        <f t="shared" si="226"/>
        <v>0</v>
      </c>
      <c r="CL297" s="81">
        <f t="shared" si="227"/>
        <v>0</v>
      </c>
      <c r="CM297" s="81" t="s">
        <v>4</v>
      </c>
      <c r="CN297" s="81">
        <f t="shared" si="228"/>
        <v>0</v>
      </c>
      <c r="CO297" s="81">
        <f t="shared" si="229"/>
        <v>0</v>
      </c>
      <c r="CP297" s="81" t="s">
        <v>22</v>
      </c>
      <c r="CQ297" s="81">
        <f t="shared" si="230"/>
        <v>0</v>
      </c>
      <c r="CR297" s="81">
        <f t="shared" si="231"/>
        <v>0</v>
      </c>
      <c r="CS297" s="81" t="s">
        <v>21</v>
      </c>
      <c r="CT297" s="81">
        <f t="shared" si="232"/>
        <v>0</v>
      </c>
      <c r="CU297" s="81">
        <f t="shared" si="233"/>
        <v>0</v>
      </c>
      <c r="CV297" s="81" t="s">
        <v>998</v>
      </c>
      <c r="CW297" s="81">
        <f t="shared" si="234"/>
        <v>0</v>
      </c>
      <c r="CX297" s="81">
        <f t="shared" si="235"/>
        <v>0</v>
      </c>
      <c r="CY297" s="81" t="s">
        <v>19</v>
      </c>
      <c r="CZ297" s="81">
        <f t="shared" si="236"/>
        <v>0</v>
      </c>
      <c r="DA297" s="81">
        <f t="shared" si="237"/>
        <v>0</v>
      </c>
      <c r="DB297" s="81" t="s">
        <v>20</v>
      </c>
      <c r="DC297" s="81">
        <f t="shared" si="238"/>
        <v>0</v>
      </c>
      <c r="DD297" s="81">
        <f t="shared" si="239"/>
        <v>0</v>
      </c>
      <c r="DE297" s="81" t="s">
        <v>23</v>
      </c>
      <c r="DF297" s="81">
        <f t="shared" si="240"/>
        <v>0</v>
      </c>
      <c r="DG297" s="81">
        <f t="shared" si="241"/>
        <v>0</v>
      </c>
      <c r="DH297" s="81" t="s">
        <v>15</v>
      </c>
      <c r="DI297" s="81">
        <f t="shared" si="242"/>
        <v>0</v>
      </c>
      <c r="DJ297" s="81">
        <f t="shared" si="243"/>
        <v>0</v>
      </c>
      <c r="DK297" s="81" t="s">
        <v>5519</v>
      </c>
      <c r="DL297" s="81">
        <f t="shared" si="244"/>
        <v>0</v>
      </c>
      <c r="DM297" s="81">
        <f t="shared" si="245"/>
        <v>0</v>
      </c>
      <c r="DN297" s="81" t="s">
        <v>7</v>
      </c>
      <c r="DO297" s="81">
        <f t="shared" si="246"/>
        <v>0</v>
      </c>
      <c r="DP297" s="81">
        <f t="shared" si="247"/>
        <v>0</v>
      </c>
      <c r="DQ297" s="81" t="s">
        <v>1</v>
      </c>
      <c r="DR297" s="81">
        <f t="shared" si="248"/>
        <v>0</v>
      </c>
      <c r="DS297" s="81">
        <f t="shared" si="249"/>
        <v>0</v>
      </c>
    </row>
    <row r="298" spans="14:123" x14ac:dyDescent="0.3">
      <c r="AI298" s="81">
        <v>295</v>
      </c>
      <c r="AJ298" s="81" t="str">
        <f t="shared" si="208"/>
        <v>Mars 43</v>
      </c>
      <c r="AK298" s="81" t="str">
        <f t="shared" si="254"/>
        <v>Mars</v>
      </c>
      <c r="AL298" s="81">
        <f t="shared" si="253"/>
        <v>43</v>
      </c>
      <c r="AM298" s="81" t="str">
        <f t="shared" si="218"/>
        <v>='Mars 43'!</v>
      </c>
      <c r="AN298" s="81" t="str">
        <f t="shared" si="212"/>
        <v>='Mars 43'!C27</v>
      </c>
      <c r="AO298" s="81" t="s">
        <v>1298</v>
      </c>
      <c r="AR298" s="81" t="s">
        <v>358</v>
      </c>
      <c r="AS298" s="83" t="str">
        <f t="shared" si="209"/>
        <v>='Mars 43'!C6</v>
      </c>
      <c r="AT298" s="83">
        <f t="shared" si="210"/>
        <v>0</v>
      </c>
      <c r="AV298" s="81" t="s">
        <v>659</v>
      </c>
      <c r="AW298" s="81" t="s">
        <v>4552</v>
      </c>
      <c r="AX298" s="81" t="s">
        <v>4553</v>
      </c>
      <c r="AY298" s="81" t="s">
        <v>4554</v>
      </c>
      <c r="AZ298" s="81" t="s">
        <v>4555</v>
      </c>
      <c r="BA298" s="81" t="s">
        <v>4556</v>
      </c>
      <c r="BB298" s="81" t="s">
        <v>4557</v>
      </c>
      <c r="BC298" s="81" t="s">
        <v>4558</v>
      </c>
      <c r="BD298" s="81" t="s">
        <v>4559</v>
      </c>
      <c r="BE298" s="81" t="s">
        <v>4560</v>
      </c>
      <c r="BF298" s="81" t="s">
        <v>4561</v>
      </c>
      <c r="BG298" s="81" t="s">
        <v>4562</v>
      </c>
      <c r="BH298" s="81" t="s">
        <v>4915</v>
      </c>
      <c r="BI298" s="81" t="s">
        <v>5219</v>
      </c>
      <c r="BJ298" s="81" t="s">
        <v>358</v>
      </c>
      <c r="BL298" s="81" t="s">
        <v>962</v>
      </c>
      <c r="BM298" s="81">
        <v>295</v>
      </c>
      <c r="BN298" s="81" t="str">
        <f t="shared" si="211"/>
        <v>='Mars 43'!C12</v>
      </c>
      <c r="CA298" s="81" t="s">
        <v>2</v>
      </c>
      <c r="CB298" s="81">
        <f t="shared" si="220"/>
        <v>0</v>
      </c>
      <c r="CC298" s="81">
        <f t="shared" si="221"/>
        <v>0</v>
      </c>
      <c r="CD298" s="81" t="s">
        <v>16</v>
      </c>
      <c r="CE298" s="81">
        <f t="shared" si="222"/>
        <v>0</v>
      </c>
      <c r="CF298" s="81">
        <f t="shared" si="223"/>
        <v>0</v>
      </c>
      <c r="CG298" s="81" t="s">
        <v>5</v>
      </c>
      <c r="CH298" s="81">
        <f t="shared" si="224"/>
        <v>0</v>
      </c>
      <c r="CI298" s="81">
        <f t="shared" si="225"/>
        <v>0</v>
      </c>
      <c r="CJ298" s="81" t="s">
        <v>18</v>
      </c>
      <c r="CK298" s="81">
        <f t="shared" si="226"/>
        <v>0</v>
      </c>
      <c r="CL298" s="81">
        <f t="shared" si="227"/>
        <v>0</v>
      </c>
      <c r="CM298" s="81" t="s">
        <v>4</v>
      </c>
      <c r="CN298" s="81">
        <f t="shared" si="228"/>
        <v>0</v>
      </c>
      <c r="CO298" s="81">
        <f t="shared" si="229"/>
        <v>0</v>
      </c>
      <c r="CP298" s="81" t="s">
        <v>22</v>
      </c>
      <c r="CQ298" s="81">
        <f t="shared" si="230"/>
        <v>0</v>
      </c>
      <c r="CR298" s="81">
        <f t="shared" si="231"/>
        <v>0</v>
      </c>
      <c r="CS298" s="81" t="s">
        <v>21</v>
      </c>
      <c r="CT298" s="81">
        <f t="shared" si="232"/>
        <v>0</v>
      </c>
      <c r="CU298" s="81">
        <f t="shared" si="233"/>
        <v>0</v>
      </c>
      <c r="CV298" s="81" t="s">
        <v>998</v>
      </c>
      <c r="CW298" s="81">
        <f t="shared" si="234"/>
        <v>0</v>
      </c>
      <c r="CX298" s="81">
        <f t="shared" si="235"/>
        <v>0</v>
      </c>
      <c r="CY298" s="81" t="s">
        <v>19</v>
      </c>
      <c r="CZ298" s="81">
        <f t="shared" si="236"/>
        <v>0</v>
      </c>
      <c r="DA298" s="81">
        <f t="shared" si="237"/>
        <v>0</v>
      </c>
      <c r="DB298" s="81" t="s">
        <v>20</v>
      </c>
      <c r="DC298" s="81">
        <f t="shared" si="238"/>
        <v>0</v>
      </c>
      <c r="DD298" s="81">
        <f t="shared" si="239"/>
        <v>0</v>
      </c>
      <c r="DE298" s="81" t="s">
        <v>23</v>
      </c>
      <c r="DF298" s="81">
        <f t="shared" si="240"/>
        <v>0</v>
      </c>
      <c r="DG298" s="81">
        <f t="shared" si="241"/>
        <v>0</v>
      </c>
      <c r="DH298" s="81" t="s">
        <v>15</v>
      </c>
      <c r="DI298" s="81">
        <f t="shared" si="242"/>
        <v>0</v>
      </c>
      <c r="DJ298" s="81">
        <f t="shared" si="243"/>
        <v>0</v>
      </c>
      <c r="DK298" s="81" t="s">
        <v>5520</v>
      </c>
      <c r="DL298" s="81">
        <f t="shared" si="244"/>
        <v>0</v>
      </c>
      <c r="DM298" s="81">
        <f t="shared" si="245"/>
        <v>0</v>
      </c>
      <c r="DN298" s="81" t="s">
        <v>7</v>
      </c>
      <c r="DO298" s="81">
        <f t="shared" si="246"/>
        <v>0</v>
      </c>
      <c r="DP298" s="81">
        <f t="shared" si="247"/>
        <v>0</v>
      </c>
      <c r="DQ298" s="81" t="s">
        <v>1</v>
      </c>
      <c r="DR298" s="81">
        <f t="shared" si="248"/>
        <v>0</v>
      </c>
      <c r="DS298" s="81">
        <f t="shared" si="249"/>
        <v>0</v>
      </c>
    </row>
    <row r="299" spans="14:123" x14ac:dyDescent="0.3">
      <c r="AI299" s="81">
        <v>296</v>
      </c>
      <c r="AJ299" s="81" t="str">
        <f t="shared" si="208"/>
        <v>April 43</v>
      </c>
      <c r="AK299" s="81" t="str">
        <f t="shared" si="254"/>
        <v>April</v>
      </c>
      <c r="AL299" s="81">
        <f t="shared" si="253"/>
        <v>43</v>
      </c>
      <c r="AM299" s="81" t="str">
        <f t="shared" si="218"/>
        <v>='April 43'!</v>
      </c>
      <c r="AN299" s="81" t="str">
        <f t="shared" si="212"/>
        <v>='April 43'!C27</v>
      </c>
      <c r="AO299" s="81" t="s">
        <v>1299</v>
      </c>
      <c r="AR299" s="81" t="s">
        <v>359</v>
      </c>
      <c r="AS299" s="83" t="str">
        <f t="shared" si="209"/>
        <v>='April 43'!C6</v>
      </c>
      <c r="AT299" s="83">
        <f t="shared" si="210"/>
        <v>0</v>
      </c>
      <c r="AV299" s="81" t="s">
        <v>660</v>
      </c>
      <c r="AW299" s="81" t="s">
        <v>4563</v>
      </c>
      <c r="AX299" s="81" t="s">
        <v>4564</v>
      </c>
      <c r="AY299" s="81" t="s">
        <v>4565</v>
      </c>
      <c r="AZ299" s="81" t="s">
        <v>4566</v>
      </c>
      <c r="BA299" s="81" t="s">
        <v>4567</v>
      </c>
      <c r="BB299" s="81" t="s">
        <v>4568</v>
      </c>
      <c r="BC299" s="81" t="s">
        <v>4569</v>
      </c>
      <c r="BD299" s="81" t="s">
        <v>4570</v>
      </c>
      <c r="BE299" s="81" t="s">
        <v>4571</v>
      </c>
      <c r="BF299" s="81" t="s">
        <v>4572</v>
      </c>
      <c r="BG299" s="81" t="s">
        <v>4573</v>
      </c>
      <c r="BH299" s="81" t="s">
        <v>4916</v>
      </c>
      <c r="BI299" s="81" t="s">
        <v>5220</v>
      </c>
      <c r="BJ299" s="81" t="s">
        <v>359</v>
      </c>
      <c r="BL299" s="81" t="s">
        <v>963</v>
      </c>
      <c r="BM299" s="81">
        <v>296</v>
      </c>
      <c r="BN299" s="81" t="str">
        <f t="shared" si="211"/>
        <v>='April 43'!C12</v>
      </c>
      <c r="CA299" s="81" t="s">
        <v>2</v>
      </c>
      <c r="CB299" s="81">
        <f t="shared" si="220"/>
        <v>0</v>
      </c>
      <c r="CC299" s="81">
        <f t="shared" si="221"/>
        <v>0</v>
      </c>
      <c r="CD299" s="81" t="s">
        <v>16</v>
      </c>
      <c r="CE299" s="81">
        <f t="shared" si="222"/>
        <v>0</v>
      </c>
      <c r="CF299" s="81">
        <f t="shared" si="223"/>
        <v>0</v>
      </c>
      <c r="CG299" s="81" t="s">
        <v>5</v>
      </c>
      <c r="CH299" s="81">
        <f t="shared" si="224"/>
        <v>0</v>
      </c>
      <c r="CI299" s="81">
        <f t="shared" si="225"/>
        <v>0</v>
      </c>
      <c r="CJ299" s="81" t="s">
        <v>18</v>
      </c>
      <c r="CK299" s="81">
        <f t="shared" si="226"/>
        <v>0</v>
      </c>
      <c r="CL299" s="81">
        <f t="shared" si="227"/>
        <v>0</v>
      </c>
      <c r="CM299" s="81" t="s">
        <v>4</v>
      </c>
      <c r="CN299" s="81">
        <f t="shared" si="228"/>
        <v>0</v>
      </c>
      <c r="CO299" s="81">
        <f t="shared" si="229"/>
        <v>0</v>
      </c>
      <c r="CP299" s="81" t="s">
        <v>22</v>
      </c>
      <c r="CQ299" s="81">
        <f t="shared" si="230"/>
        <v>0</v>
      </c>
      <c r="CR299" s="81">
        <f t="shared" si="231"/>
        <v>0</v>
      </c>
      <c r="CS299" s="81" t="s">
        <v>21</v>
      </c>
      <c r="CT299" s="81">
        <f t="shared" si="232"/>
        <v>0</v>
      </c>
      <c r="CU299" s="81">
        <f t="shared" si="233"/>
        <v>0</v>
      </c>
      <c r="CV299" s="81" t="s">
        <v>998</v>
      </c>
      <c r="CW299" s="81">
        <f t="shared" si="234"/>
        <v>0</v>
      </c>
      <c r="CX299" s="81">
        <f t="shared" si="235"/>
        <v>0</v>
      </c>
      <c r="CY299" s="81" t="s">
        <v>19</v>
      </c>
      <c r="CZ299" s="81">
        <f t="shared" si="236"/>
        <v>0</v>
      </c>
      <c r="DA299" s="81">
        <f t="shared" si="237"/>
        <v>0</v>
      </c>
      <c r="DB299" s="81" t="s">
        <v>20</v>
      </c>
      <c r="DC299" s="81">
        <f t="shared" si="238"/>
        <v>0</v>
      </c>
      <c r="DD299" s="81">
        <f t="shared" si="239"/>
        <v>0</v>
      </c>
      <c r="DE299" s="81" t="s">
        <v>23</v>
      </c>
      <c r="DF299" s="81">
        <f t="shared" si="240"/>
        <v>0</v>
      </c>
      <c r="DG299" s="81">
        <f t="shared" si="241"/>
        <v>0</v>
      </c>
      <c r="DH299" s="81" t="s">
        <v>15</v>
      </c>
      <c r="DI299" s="81">
        <f t="shared" si="242"/>
        <v>0</v>
      </c>
      <c r="DJ299" s="81">
        <f t="shared" si="243"/>
        <v>0</v>
      </c>
      <c r="DK299" s="81" t="s">
        <v>5521</v>
      </c>
      <c r="DL299" s="81">
        <f t="shared" si="244"/>
        <v>0</v>
      </c>
      <c r="DM299" s="81">
        <f t="shared" si="245"/>
        <v>0</v>
      </c>
      <c r="DN299" s="81" t="s">
        <v>7</v>
      </c>
      <c r="DO299" s="81">
        <f t="shared" si="246"/>
        <v>0</v>
      </c>
      <c r="DP299" s="81">
        <f t="shared" si="247"/>
        <v>0</v>
      </c>
      <c r="DQ299" s="81" t="s">
        <v>1</v>
      </c>
      <c r="DR299" s="81">
        <f t="shared" si="248"/>
        <v>0</v>
      </c>
      <c r="DS299" s="81">
        <f t="shared" si="249"/>
        <v>0</v>
      </c>
    </row>
    <row r="300" spans="14:123" x14ac:dyDescent="0.3">
      <c r="AI300" s="81">
        <v>297</v>
      </c>
      <c r="AJ300" s="81" t="str">
        <f t="shared" si="208"/>
        <v>Maj 43</v>
      </c>
      <c r="AK300" s="81" t="str">
        <f t="shared" si="254"/>
        <v>Maj</v>
      </c>
      <c r="AL300" s="81">
        <f t="shared" si="253"/>
        <v>43</v>
      </c>
      <c r="AM300" s="81" t="str">
        <f t="shared" si="218"/>
        <v>='Maj 43'!</v>
      </c>
      <c r="AN300" s="81" t="str">
        <f t="shared" si="212"/>
        <v>='Maj 43'!C27</v>
      </c>
      <c r="AO300" s="81" t="s">
        <v>1300</v>
      </c>
      <c r="AR300" s="81" t="s">
        <v>360</v>
      </c>
      <c r="AS300" s="83" t="str">
        <f t="shared" si="209"/>
        <v>='Maj 43'!C6</v>
      </c>
      <c r="AT300" s="83">
        <f t="shared" si="210"/>
        <v>0</v>
      </c>
      <c r="AV300" s="81" t="s">
        <v>661</v>
      </c>
      <c r="AW300" s="81" t="s">
        <v>4574</v>
      </c>
      <c r="AX300" s="81" t="s">
        <v>4575</v>
      </c>
      <c r="AY300" s="81" t="s">
        <v>4576</v>
      </c>
      <c r="AZ300" s="81" t="s">
        <v>4577</v>
      </c>
      <c r="BA300" s="81" t="s">
        <v>4578</v>
      </c>
      <c r="BB300" s="81" t="s">
        <v>4579</v>
      </c>
      <c r="BC300" s="81" t="s">
        <v>4580</v>
      </c>
      <c r="BD300" s="81" t="s">
        <v>4581</v>
      </c>
      <c r="BE300" s="81" t="s">
        <v>4582</v>
      </c>
      <c r="BF300" s="81" t="s">
        <v>4583</v>
      </c>
      <c r="BG300" s="81" t="s">
        <v>4584</v>
      </c>
      <c r="BH300" s="81" t="s">
        <v>4917</v>
      </c>
      <c r="BI300" s="81" t="s">
        <v>5221</v>
      </c>
      <c r="BJ300" s="81" t="s">
        <v>360</v>
      </c>
      <c r="BL300" s="81" t="s">
        <v>964</v>
      </c>
      <c r="BM300" s="81">
        <v>297</v>
      </c>
      <c r="BN300" s="81" t="str">
        <f t="shared" si="211"/>
        <v>='Maj 43'!C12</v>
      </c>
      <c r="CA300" s="81" t="s">
        <v>2</v>
      </c>
      <c r="CB300" s="81">
        <f t="shared" si="220"/>
        <v>0</v>
      </c>
      <c r="CC300" s="81">
        <f t="shared" si="221"/>
        <v>0</v>
      </c>
      <c r="CD300" s="81" t="s">
        <v>16</v>
      </c>
      <c r="CE300" s="81">
        <f t="shared" si="222"/>
        <v>0</v>
      </c>
      <c r="CF300" s="81">
        <f t="shared" si="223"/>
        <v>0</v>
      </c>
      <c r="CG300" s="81" t="s">
        <v>5</v>
      </c>
      <c r="CH300" s="81">
        <f t="shared" si="224"/>
        <v>0</v>
      </c>
      <c r="CI300" s="81">
        <f t="shared" si="225"/>
        <v>0</v>
      </c>
      <c r="CJ300" s="81" t="s">
        <v>18</v>
      </c>
      <c r="CK300" s="81">
        <f t="shared" si="226"/>
        <v>0</v>
      </c>
      <c r="CL300" s="81">
        <f t="shared" si="227"/>
        <v>0</v>
      </c>
      <c r="CM300" s="81" t="s">
        <v>4</v>
      </c>
      <c r="CN300" s="81">
        <f t="shared" si="228"/>
        <v>0</v>
      </c>
      <c r="CO300" s="81">
        <f t="shared" si="229"/>
        <v>0</v>
      </c>
      <c r="CP300" s="81" t="s">
        <v>22</v>
      </c>
      <c r="CQ300" s="81">
        <f t="shared" si="230"/>
        <v>0</v>
      </c>
      <c r="CR300" s="81">
        <f t="shared" si="231"/>
        <v>0</v>
      </c>
      <c r="CS300" s="81" t="s">
        <v>21</v>
      </c>
      <c r="CT300" s="81">
        <f t="shared" si="232"/>
        <v>0</v>
      </c>
      <c r="CU300" s="81">
        <f t="shared" si="233"/>
        <v>0</v>
      </c>
      <c r="CV300" s="81" t="s">
        <v>998</v>
      </c>
      <c r="CW300" s="81">
        <f t="shared" si="234"/>
        <v>0</v>
      </c>
      <c r="CX300" s="81">
        <f t="shared" si="235"/>
        <v>0</v>
      </c>
      <c r="CY300" s="81" t="s">
        <v>19</v>
      </c>
      <c r="CZ300" s="81">
        <f t="shared" si="236"/>
        <v>0</v>
      </c>
      <c r="DA300" s="81">
        <f t="shared" si="237"/>
        <v>0</v>
      </c>
      <c r="DB300" s="81" t="s">
        <v>20</v>
      </c>
      <c r="DC300" s="81">
        <f t="shared" si="238"/>
        <v>0</v>
      </c>
      <c r="DD300" s="81">
        <f t="shared" si="239"/>
        <v>0</v>
      </c>
      <c r="DE300" s="81" t="s">
        <v>23</v>
      </c>
      <c r="DF300" s="81">
        <f t="shared" si="240"/>
        <v>0</v>
      </c>
      <c r="DG300" s="81">
        <f t="shared" si="241"/>
        <v>0</v>
      </c>
      <c r="DH300" s="81" t="s">
        <v>15</v>
      </c>
      <c r="DI300" s="81">
        <f t="shared" si="242"/>
        <v>0</v>
      </c>
      <c r="DJ300" s="81">
        <f t="shared" si="243"/>
        <v>0</v>
      </c>
      <c r="DK300" s="81" t="s">
        <v>5522</v>
      </c>
      <c r="DL300" s="81">
        <f t="shared" si="244"/>
        <v>0</v>
      </c>
      <c r="DM300" s="81">
        <f t="shared" si="245"/>
        <v>0</v>
      </c>
      <c r="DN300" s="81" t="s">
        <v>7</v>
      </c>
      <c r="DO300" s="81">
        <f t="shared" si="246"/>
        <v>0</v>
      </c>
      <c r="DP300" s="81">
        <f t="shared" si="247"/>
        <v>0</v>
      </c>
      <c r="DQ300" s="81" t="s">
        <v>1</v>
      </c>
      <c r="DR300" s="81">
        <f t="shared" si="248"/>
        <v>0</v>
      </c>
      <c r="DS300" s="81">
        <f t="shared" si="249"/>
        <v>0</v>
      </c>
    </row>
    <row r="301" spans="14:123" x14ac:dyDescent="0.3">
      <c r="AI301" s="81">
        <v>298</v>
      </c>
      <c r="AJ301" s="81" t="str">
        <f t="shared" si="208"/>
        <v>Juni 43</v>
      </c>
      <c r="AK301" s="81" t="str">
        <f t="shared" si="254"/>
        <v>Juni</v>
      </c>
      <c r="AL301" s="81">
        <f t="shared" si="253"/>
        <v>43</v>
      </c>
      <c r="AM301" s="81" t="str">
        <f t="shared" si="218"/>
        <v>='Juni 43'!</v>
      </c>
      <c r="AN301" s="81" t="str">
        <f t="shared" si="212"/>
        <v>='Juni 43'!C27</v>
      </c>
      <c r="AO301" s="81" t="s">
        <v>1301</v>
      </c>
      <c r="AR301" s="81" t="s">
        <v>361</v>
      </c>
      <c r="AS301" s="83" t="str">
        <f t="shared" si="209"/>
        <v>='Juni 43'!C6</v>
      </c>
      <c r="AT301" s="83">
        <f t="shared" si="210"/>
        <v>0</v>
      </c>
      <c r="AV301" s="81" t="s">
        <v>662</v>
      </c>
      <c r="AW301" s="81" t="s">
        <v>4585</v>
      </c>
      <c r="AX301" s="81" t="s">
        <v>4586</v>
      </c>
      <c r="AY301" s="81" t="s">
        <v>4587</v>
      </c>
      <c r="AZ301" s="81" t="s">
        <v>4588</v>
      </c>
      <c r="BA301" s="81" t="s">
        <v>4589</v>
      </c>
      <c r="BB301" s="81" t="s">
        <v>4590</v>
      </c>
      <c r="BC301" s="81" t="s">
        <v>4591</v>
      </c>
      <c r="BD301" s="81" t="s">
        <v>4592</v>
      </c>
      <c r="BE301" s="81" t="s">
        <v>4593</v>
      </c>
      <c r="BF301" s="81" t="s">
        <v>4594</v>
      </c>
      <c r="BG301" s="81" t="s">
        <v>4595</v>
      </c>
      <c r="BH301" s="81" t="s">
        <v>4918</v>
      </c>
      <c r="BI301" s="81" t="s">
        <v>5222</v>
      </c>
      <c r="BJ301" s="81" t="s">
        <v>361</v>
      </c>
      <c r="BL301" s="81" t="s">
        <v>965</v>
      </c>
      <c r="BM301" s="81">
        <v>298</v>
      </c>
      <c r="BN301" s="81" t="str">
        <f t="shared" si="211"/>
        <v>='Juni 43'!C12</v>
      </c>
      <c r="CA301" s="81" t="s">
        <v>2</v>
      </c>
      <c r="CB301" s="81">
        <f t="shared" si="220"/>
        <v>0</v>
      </c>
      <c r="CC301" s="81">
        <f t="shared" si="221"/>
        <v>0</v>
      </c>
      <c r="CD301" s="81" t="s">
        <v>16</v>
      </c>
      <c r="CE301" s="81">
        <f t="shared" si="222"/>
        <v>0</v>
      </c>
      <c r="CF301" s="81">
        <f t="shared" si="223"/>
        <v>0</v>
      </c>
      <c r="CG301" s="81" t="s">
        <v>5</v>
      </c>
      <c r="CH301" s="81">
        <f t="shared" si="224"/>
        <v>0</v>
      </c>
      <c r="CI301" s="81">
        <f t="shared" si="225"/>
        <v>0</v>
      </c>
      <c r="CJ301" s="81" t="s">
        <v>18</v>
      </c>
      <c r="CK301" s="81">
        <f t="shared" si="226"/>
        <v>0</v>
      </c>
      <c r="CL301" s="81">
        <f t="shared" si="227"/>
        <v>0</v>
      </c>
      <c r="CM301" s="81" t="s">
        <v>4</v>
      </c>
      <c r="CN301" s="81">
        <f t="shared" si="228"/>
        <v>0</v>
      </c>
      <c r="CO301" s="81">
        <f t="shared" si="229"/>
        <v>0</v>
      </c>
      <c r="CP301" s="81" t="s">
        <v>22</v>
      </c>
      <c r="CQ301" s="81">
        <f t="shared" si="230"/>
        <v>0</v>
      </c>
      <c r="CR301" s="81">
        <f t="shared" si="231"/>
        <v>0</v>
      </c>
      <c r="CS301" s="81" t="s">
        <v>21</v>
      </c>
      <c r="CT301" s="81">
        <f t="shared" si="232"/>
        <v>0</v>
      </c>
      <c r="CU301" s="81">
        <f t="shared" si="233"/>
        <v>0</v>
      </c>
      <c r="CV301" s="81" t="s">
        <v>998</v>
      </c>
      <c r="CW301" s="81">
        <f t="shared" si="234"/>
        <v>0</v>
      </c>
      <c r="CX301" s="81">
        <f t="shared" si="235"/>
        <v>0</v>
      </c>
      <c r="CY301" s="81" t="s">
        <v>19</v>
      </c>
      <c r="CZ301" s="81">
        <f t="shared" si="236"/>
        <v>0</v>
      </c>
      <c r="DA301" s="81">
        <f t="shared" si="237"/>
        <v>0</v>
      </c>
      <c r="DB301" s="81" t="s">
        <v>20</v>
      </c>
      <c r="DC301" s="81">
        <f t="shared" si="238"/>
        <v>0</v>
      </c>
      <c r="DD301" s="81">
        <f t="shared" si="239"/>
        <v>0</v>
      </c>
      <c r="DE301" s="81" t="s">
        <v>23</v>
      </c>
      <c r="DF301" s="81">
        <f t="shared" si="240"/>
        <v>0</v>
      </c>
      <c r="DG301" s="81">
        <f t="shared" si="241"/>
        <v>0</v>
      </c>
      <c r="DH301" s="81" t="s">
        <v>15</v>
      </c>
      <c r="DI301" s="81">
        <f t="shared" si="242"/>
        <v>0</v>
      </c>
      <c r="DJ301" s="81">
        <f t="shared" si="243"/>
        <v>0</v>
      </c>
      <c r="DK301" s="81" t="s">
        <v>5523</v>
      </c>
      <c r="DL301" s="81">
        <f t="shared" si="244"/>
        <v>0</v>
      </c>
      <c r="DM301" s="81">
        <f t="shared" si="245"/>
        <v>0</v>
      </c>
      <c r="DN301" s="81" t="s">
        <v>7</v>
      </c>
      <c r="DO301" s="81">
        <f t="shared" si="246"/>
        <v>0</v>
      </c>
      <c r="DP301" s="81">
        <f t="shared" si="247"/>
        <v>0</v>
      </c>
      <c r="DQ301" s="81" t="s">
        <v>1</v>
      </c>
      <c r="DR301" s="81">
        <f t="shared" si="248"/>
        <v>0</v>
      </c>
      <c r="DS301" s="81">
        <f t="shared" si="249"/>
        <v>0</v>
      </c>
    </row>
    <row r="302" spans="14:123" x14ac:dyDescent="0.3">
      <c r="AI302" s="81">
        <v>299</v>
      </c>
      <c r="AJ302" s="81" t="str">
        <f t="shared" si="208"/>
        <v>Juli 43</v>
      </c>
      <c r="AK302" s="81" t="str">
        <f t="shared" si="254"/>
        <v>Juli</v>
      </c>
      <c r="AL302" s="81">
        <f t="shared" si="253"/>
        <v>43</v>
      </c>
      <c r="AM302" s="81" t="str">
        <f t="shared" si="218"/>
        <v>='Juli 43'!</v>
      </c>
      <c r="AN302" s="81" t="str">
        <f t="shared" si="212"/>
        <v>='Juli 43'!C27</v>
      </c>
      <c r="AO302" s="81" t="s">
        <v>1302</v>
      </c>
      <c r="AR302" s="81" t="s">
        <v>362</v>
      </c>
      <c r="AS302" s="83" t="str">
        <f t="shared" si="209"/>
        <v>='Juli 43'!C6</v>
      </c>
      <c r="AT302" s="83">
        <f t="shared" si="210"/>
        <v>0</v>
      </c>
      <c r="AV302" s="81" t="s">
        <v>663</v>
      </c>
      <c r="AW302" s="81" t="s">
        <v>4596</v>
      </c>
      <c r="AX302" s="81" t="s">
        <v>4597</v>
      </c>
      <c r="AY302" s="81" t="s">
        <v>4598</v>
      </c>
      <c r="AZ302" s="81" t="s">
        <v>4599</v>
      </c>
      <c r="BA302" s="81" t="s">
        <v>4600</v>
      </c>
      <c r="BB302" s="81" t="s">
        <v>4601</v>
      </c>
      <c r="BC302" s="81" t="s">
        <v>4602</v>
      </c>
      <c r="BD302" s="81" t="s">
        <v>4603</v>
      </c>
      <c r="BE302" s="81" t="s">
        <v>4604</v>
      </c>
      <c r="BF302" s="81" t="s">
        <v>4605</v>
      </c>
      <c r="BG302" s="81" t="s">
        <v>4606</v>
      </c>
      <c r="BH302" s="81" t="s">
        <v>4919</v>
      </c>
      <c r="BI302" s="81" t="s">
        <v>5223</v>
      </c>
      <c r="BJ302" s="81" t="s">
        <v>362</v>
      </c>
      <c r="BL302" s="81" t="s">
        <v>966</v>
      </c>
      <c r="BM302" s="81">
        <v>299</v>
      </c>
      <c r="BN302" s="81" t="str">
        <f t="shared" si="211"/>
        <v>='Juli 43'!C12</v>
      </c>
      <c r="CA302" s="81" t="s">
        <v>2</v>
      </c>
      <c r="CB302" s="81">
        <f t="shared" si="220"/>
        <v>0</v>
      </c>
      <c r="CC302" s="81">
        <f t="shared" si="221"/>
        <v>0</v>
      </c>
      <c r="CD302" s="81" t="s">
        <v>16</v>
      </c>
      <c r="CE302" s="81">
        <f t="shared" si="222"/>
        <v>0</v>
      </c>
      <c r="CF302" s="81">
        <f t="shared" si="223"/>
        <v>0</v>
      </c>
      <c r="CG302" s="81" t="s">
        <v>5</v>
      </c>
      <c r="CH302" s="81">
        <f t="shared" si="224"/>
        <v>0</v>
      </c>
      <c r="CI302" s="81">
        <f t="shared" si="225"/>
        <v>0</v>
      </c>
      <c r="CJ302" s="81" t="s">
        <v>18</v>
      </c>
      <c r="CK302" s="81">
        <f t="shared" si="226"/>
        <v>0</v>
      </c>
      <c r="CL302" s="81">
        <f t="shared" si="227"/>
        <v>0</v>
      </c>
      <c r="CM302" s="81" t="s">
        <v>4</v>
      </c>
      <c r="CN302" s="81">
        <f t="shared" si="228"/>
        <v>0</v>
      </c>
      <c r="CO302" s="81">
        <f t="shared" si="229"/>
        <v>0</v>
      </c>
      <c r="CP302" s="81" t="s">
        <v>22</v>
      </c>
      <c r="CQ302" s="81">
        <f t="shared" si="230"/>
        <v>0</v>
      </c>
      <c r="CR302" s="81">
        <f t="shared" si="231"/>
        <v>0</v>
      </c>
      <c r="CS302" s="81" t="s">
        <v>21</v>
      </c>
      <c r="CT302" s="81">
        <f t="shared" si="232"/>
        <v>0</v>
      </c>
      <c r="CU302" s="81">
        <f t="shared" si="233"/>
        <v>0</v>
      </c>
      <c r="CV302" s="81" t="s">
        <v>998</v>
      </c>
      <c r="CW302" s="81">
        <f t="shared" si="234"/>
        <v>0</v>
      </c>
      <c r="CX302" s="81">
        <f t="shared" si="235"/>
        <v>0</v>
      </c>
      <c r="CY302" s="81" t="s">
        <v>19</v>
      </c>
      <c r="CZ302" s="81">
        <f t="shared" si="236"/>
        <v>0</v>
      </c>
      <c r="DA302" s="81">
        <f t="shared" si="237"/>
        <v>0</v>
      </c>
      <c r="DB302" s="81" t="s">
        <v>20</v>
      </c>
      <c r="DC302" s="81">
        <f t="shared" si="238"/>
        <v>0</v>
      </c>
      <c r="DD302" s="81">
        <f t="shared" si="239"/>
        <v>0</v>
      </c>
      <c r="DE302" s="81" t="s">
        <v>23</v>
      </c>
      <c r="DF302" s="81">
        <f t="shared" si="240"/>
        <v>0</v>
      </c>
      <c r="DG302" s="81">
        <f t="shared" si="241"/>
        <v>0</v>
      </c>
      <c r="DH302" s="81" t="s">
        <v>15</v>
      </c>
      <c r="DI302" s="81">
        <f t="shared" si="242"/>
        <v>0</v>
      </c>
      <c r="DJ302" s="81">
        <f t="shared" si="243"/>
        <v>0</v>
      </c>
      <c r="DK302" s="81" t="s">
        <v>5524</v>
      </c>
      <c r="DL302" s="81">
        <f t="shared" si="244"/>
        <v>0</v>
      </c>
      <c r="DM302" s="81">
        <f t="shared" si="245"/>
        <v>0</v>
      </c>
      <c r="DN302" s="81" t="s">
        <v>7</v>
      </c>
      <c r="DO302" s="81">
        <f t="shared" si="246"/>
        <v>0</v>
      </c>
      <c r="DP302" s="81">
        <f t="shared" si="247"/>
        <v>0</v>
      </c>
      <c r="DQ302" s="81" t="s">
        <v>1</v>
      </c>
      <c r="DR302" s="81">
        <f t="shared" si="248"/>
        <v>0</v>
      </c>
      <c r="DS302" s="81">
        <f t="shared" si="249"/>
        <v>0</v>
      </c>
    </row>
    <row r="303" spans="14:123" x14ac:dyDescent="0.3">
      <c r="AI303" s="81">
        <v>300</v>
      </c>
      <c r="AJ303" s="81" t="str">
        <f t="shared" si="208"/>
        <v>Augusti 43</v>
      </c>
      <c r="AK303" s="81" t="str">
        <f t="shared" si="254"/>
        <v>Augusti</v>
      </c>
      <c r="AL303" s="81">
        <f t="shared" si="253"/>
        <v>43</v>
      </c>
      <c r="AM303" s="81" t="str">
        <f t="shared" si="218"/>
        <v>='Augusti 43'!</v>
      </c>
      <c r="AN303" s="81" t="str">
        <f t="shared" si="212"/>
        <v>='Augusti 43'!C27</v>
      </c>
      <c r="AO303" s="81" t="s">
        <v>1303</v>
      </c>
      <c r="AR303" s="81" t="s">
        <v>363</v>
      </c>
      <c r="AS303" s="83" t="str">
        <f t="shared" si="209"/>
        <v>='Augusti 43'!C6</v>
      </c>
      <c r="AT303" s="83">
        <f t="shared" si="210"/>
        <v>0</v>
      </c>
      <c r="AV303" s="81" t="s">
        <v>664</v>
      </c>
      <c r="AW303" s="81" t="s">
        <v>4607</v>
      </c>
      <c r="AX303" s="81" t="s">
        <v>4608</v>
      </c>
      <c r="AY303" s="81" t="s">
        <v>4609</v>
      </c>
      <c r="AZ303" s="81" t="s">
        <v>4610</v>
      </c>
      <c r="BA303" s="81" t="s">
        <v>4611</v>
      </c>
      <c r="BB303" s="81" t="s">
        <v>4612</v>
      </c>
      <c r="BC303" s="81" t="s">
        <v>4613</v>
      </c>
      <c r="BD303" s="81" t="s">
        <v>4614</v>
      </c>
      <c r="BE303" s="81" t="s">
        <v>4615</v>
      </c>
      <c r="BF303" s="81" t="s">
        <v>4616</v>
      </c>
      <c r="BG303" s="81" t="s">
        <v>4617</v>
      </c>
      <c r="BH303" s="81" t="s">
        <v>4920</v>
      </c>
      <c r="BI303" s="81" t="s">
        <v>5224</v>
      </c>
      <c r="BJ303" s="81" t="s">
        <v>363</v>
      </c>
      <c r="BL303" s="81" t="s">
        <v>967</v>
      </c>
      <c r="BM303" s="81">
        <v>300</v>
      </c>
      <c r="BN303" s="81" t="str">
        <f t="shared" si="211"/>
        <v>='Augusti 43'!C12</v>
      </c>
      <c r="CA303" s="81" t="s">
        <v>2</v>
      </c>
      <c r="CB303" s="81">
        <f t="shared" si="220"/>
        <v>0</v>
      </c>
      <c r="CC303" s="81">
        <f t="shared" si="221"/>
        <v>0</v>
      </c>
      <c r="CD303" s="81" t="s">
        <v>16</v>
      </c>
      <c r="CE303" s="81">
        <f t="shared" si="222"/>
        <v>0</v>
      </c>
      <c r="CF303" s="81">
        <f t="shared" si="223"/>
        <v>0</v>
      </c>
      <c r="CG303" s="81" t="s">
        <v>5</v>
      </c>
      <c r="CH303" s="81">
        <f t="shared" si="224"/>
        <v>0</v>
      </c>
      <c r="CI303" s="81">
        <f t="shared" si="225"/>
        <v>0</v>
      </c>
      <c r="CJ303" s="81" t="s">
        <v>18</v>
      </c>
      <c r="CK303" s="81">
        <f t="shared" si="226"/>
        <v>0</v>
      </c>
      <c r="CL303" s="81">
        <f t="shared" si="227"/>
        <v>0</v>
      </c>
      <c r="CM303" s="81" t="s">
        <v>4</v>
      </c>
      <c r="CN303" s="81">
        <f t="shared" si="228"/>
        <v>0</v>
      </c>
      <c r="CO303" s="81">
        <f t="shared" si="229"/>
        <v>0</v>
      </c>
      <c r="CP303" s="81" t="s">
        <v>22</v>
      </c>
      <c r="CQ303" s="81">
        <f t="shared" si="230"/>
        <v>0</v>
      </c>
      <c r="CR303" s="81">
        <f t="shared" si="231"/>
        <v>0</v>
      </c>
      <c r="CS303" s="81" t="s">
        <v>21</v>
      </c>
      <c r="CT303" s="81">
        <f t="shared" si="232"/>
        <v>0</v>
      </c>
      <c r="CU303" s="81">
        <f t="shared" si="233"/>
        <v>0</v>
      </c>
      <c r="CV303" s="81" t="s">
        <v>998</v>
      </c>
      <c r="CW303" s="81">
        <f t="shared" si="234"/>
        <v>0</v>
      </c>
      <c r="CX303" s="81">
        <f t="shared" si="235"/>
        <v>0</v>
      </c>
      <c r="CY303" s="81" t="s">
        <v>19</v>
      </c>
      <c r="CZ303" s="81">
        <f t="shared" si="236"/>
        <v>0</v>
      </c>
      <c r="DA303" s="81">
        <f t="shared" si="237"/>
        <v>0</v>
      </c>
      <c r="DB303" s="81" t="s">
        <v>20</v>
      </c>
      <c r="DC303" s="81">
        <f t="shared" si="238"/>
        <v>0</v>
      </c>
      <c r="DD303" s="81">
        <f t="shared" si="239"/>
        <v>0</v>
      </c>
      <c r="DE303" s="81" t="s">
        <v>23</v>
      </c>
      <c r="DF303" s="81">
        <f t="shared" si="240"/>
        <v>0</v>
      </c>
      <c r="DG303" s="81">
        <f t="shared" si="241"/>
        <v>0</v>
      </c>
      <c r="DH303" s="81" t="s">
        <v>15</v>
      </c>
      <c r="DI303" s="81">
        <f t="shared" si="242"/>
        <v>0</v>
      </c>
      <c r="DJ303" s="81">
        <f t="shared" si="243"/>
        <v>0</v>
      </c>
      <c r="DK303" s="81" t="s">
        <v>5525</v>
      </c>
      <c r="DL303" s="81">
        <f t="shared" si="244"/>
        <v>0</v>
      </c>
      <c r="DM303" s="81">
        <f t="shared" si="245"/>
        <v>0</v>
      </c>
      <c r="DN303" s="81" t="s">
        <v>7</v>
      </c>
      <c r="DO303" s="81">
        <f t="shared" si="246"/>
        <v>0</v>
      </c>
      <c r="DP303" s="81">
        <f t="shared" si="247"/>
        <v>0</v>
      </c>
      <c r="DQ303" s="81" t="s">
        <v>1</v>
      </c>
      <c r="DR303" s="81">
        <f t="shared" si="248"/>
        <v>0</v>
      </c>
      <c r="DS303" s="81">
        <f t="shared" si="249"/>
        <v>0</v>
      </c>
    </row>
    <row r="304" spans="14:123" x14ac:dyDescent="0.3">
      <c r="AI304" s="81">
        <v>301</v>
      </c>
      <c r="AJ304" s="81" t="str">
        <f t="shared" si="208"/>
        <v>September 43</v>
      </c>
      <c r="AK304" s="81" t="str">
        <f t="shared" si="254"/>
        <v>September</v>
      </c>
      <c r="AL304" s="81">
        <f t="shared" si="253"/>
        <v>43</v>
      </c>
      <c r="BL304" s="81" t="s">
        <v>968</v>
      </c>
      <c r="BM304" s="81">
        <v>301</v>
      </c>
      <c r="BN304" s="81">
        <f t="shared" si="211"/>
        <v>0</v>
      </c>
      <c r="CA304" s="81" t="s">
        <v>2</v>
      </c>
      <c r="CB304" s="81">
        <f t="shared" si="220"/>
        <v>0</v>
      </c>
      <c r="CC304" s="81">
        <f t="shared" si="221"/>
        <v>0</v>
      </c>
      <c r="CD304" s="81" t="s">
        <v>16</v>
      </c>
      <c r="CE304" s="81">
        <f t="shared" si="222"/>
        <v>0</v>
      </c>
      <c r="CF304" s="81">
        <f t="shared" si="223"/>
        <v>0</v>
      </c>
      <c r="CG304" s="81" t="s">
        <v>5</v>
      </c>
      <c r="CH304" s="81">
        <f t="shared" si="224"/>
        <v>0</v>
      </c>
      <c r="CI304" s="81">
        <f t="shared" si="225"/>
        <v>0</v>
      </c>
      <c r="CJ304" s="81" t="s">
        <v>18</v>
      </c>
      <c r="CK304" s="81">
        <f t="shared" si="226"/>
        <v>0</v>
      </c>
      <c r="CL304" s="81">
        <f t="shared" si="227"/>
        <v>0</v>
      </c>
      <c r="CM304" s="81" t="s">
        <v>4</v>
      </c>
      <c r="CN304" s="81">
        <f t="shared" si="228"/>
        <v>0</v>
      </c>
      <c r="CO304" s="81">
        <f t="shared" si="229"/>
        <v>0</v>
      </c>
      <c r="CP304" s="81" t="s">
        <v>22</v>
      </c>
      <c r="CQ304" s="81">
        <f t="shared" si="230"/>
        <v>0</v>
      </c>
      <c r="CR304" s="81">
        <f t="shared" si="231"/>
        <v>0</v>
      </c>
      <c r="CS304" s="81" t="s">
        <v>21</v>
      </c>
      <c r="CT304" s="81">
        <f t="shared" si="232"/>
        <v>0</v>
      </c>
      <c r="CU304" s="81">
        <f t="shared" si="233"/>
        <v>0</v>
      </c>
      <c r="CV304" s="81" t="s">
        <v>998</v>
      </c>
      <c r="CW304" s="81">
        <f t="shared" si="234"/>
        <v>0</v>
      </c>
      <c r="CX304" s="81">
        <f t="shared" si="235"/>
        <v>0</v>
      </c>
      <c r="CY304" s="81" t="s">
        <v>19</v>
      </c>
      <c r="CZ304" s="81">
        <f t="shared" si="236"/>
        <v>0</v>
      </c>
      <c r="DA304" s="81">
        <f t="shared" si="237"/>
        <v>0</v>
      </c>
      <c r="DB304" s="81" t="s">
        <v>20</v>
      </c>
      <c r="DC304" s="81">
        <f t="shared" si="238"/>
        <v>0</v>
      </c>
      <c r="DD304" s="81">
        <f t="shared" si="239"/>
        <v>0</v>
      </c>
      <c r="DE304" s="81" t="s">
        <v>23</v>
      </c>
      <c r="DF304" s="81">
        <f t="shared" si="240"/>
        <v>0</v>
      </c>
      <c r="DG304" s="81">
        <f t="shared" si="241"/>
        <v>0</v>
      </c>
      <c r="DH304" s="81" t="s">
        <v>15</v>
      </c>
      <c r="DI304" s="81">
        <f t="shared" si="242"/>
        <v>0</v>
      </c>
      <c r="DJ304" s="81">
        <f t="shared" si="243"/>
        <v>0</v>
      </c>
      <c r="DK304" s="81" t="s">
        <v>5526</v>
      </c>
      <c r="DL304" s="81">
        <f t="shared" si="244"/>
        <v>0</v>
      </c>
      <c r="DM304" s="81">
        <f t="shared" si="245"/>
        <v>0</v>
      </c>
      <c r="DN304" s="81" t="s">
        <v>7</v>
      </c>
      <c r="DO304" s="81">
        <f t="shared" si="246"/>
        <v>0</v>
      </c>
      <c r="DP304" s="81">
        <f t="shared" si="247"/>
        <v>0</v>
      </c>
      <c r="DQ304" s="81" t="s">
        <v>1</v>
      </c>
      <c r="DR304" s="81">
        <f t="shared" si="248"/>
        <v>0</v>
      </c>
      <c r="DS304" s="81">
        <f t="shared" si="249"/>
        <v>0</v>
      </c>
    </row>
    <row r="305" spans="35:123" x14ac:dyDescent="0.3">
      <c r="AI305" s="81">
        <v>302</v>
      </c>
      <c r="AJ305" s="81" t="str">
        <f t="shared" si="208"/>
        <v>Oktober 43</v>
      </c>
      <c r="AK305" s="81" t="str">
        <f t="shared" si="254"/>
        <v>Oktober</v>
      </c>
      <c r="AL305" s="81">
        <f t="shared" si="253"/>
        <v>43</v>
      </c>
      <c r="BL305" s="81" t="s">
        <v>969</v>
      </c>
      <c r="BM305" s="81">
        <v>302</v>
      </c>
      <c r="BN305" s="81">
        <f t="shared" si="211"/>
        <v>0</v>
      </c>
      <c r="CA305" s="81" t="s">
        <v>2</v>
      </c>
      <c r="CB305" s="81">
        <f t="shared" si="220"/>
        <v>0</v>
      </c>
      <c r="CC305" s="81">
        <f t="shared" si="221"/>
        <v>0</v>
      </c>
      <c r="CD305" s="81" t="s">
        <v>16</v>
      </c>
      <c r="CE305" s="81">
        <f t="shared" si="222"/>
        <v>0</v>
      </c>
      <c r="CF305" s="81">
        <f t="shared" si="223"/>
        <v>0</v>
      </c>
      <c r="CG305" s="81" t="s">
        <v>5</v>
      </c>
      <c r="CH305" s="81">
        <f t="shared" si="224"/>
        <v>0</v>
      </c>
      <c r="CI305" s="81">
        <f t="shared" si="225"/>
        <v>0</v>
      </c>
      <c r="CJ305" s="81" t="s">
        <v>18</v>
      </c>
      <c r="CK305" s="81">
        <f t="shared" si="226"/>
        <v>0</v>
      </c>
      <c r="CL305" s="81">
        <f t="shared" si="227"/>
        <v>0</v>
      </c>
      <c r="CM305" s="81" t="s">
        <v>4</v>
      </c>
      <c r="CN305" s="81">
        <f t="shared" si="228"/>
        <v>0</v>
      </c>
      <c r="CO305" s="81">
        <f t="shared" si="229"/>
        <v>0</v>
      </c>
      <c r="CP305" s="81" t="s">
        <v>22</v>
      </c>
      <c r="CQ305" s="81">
        <f t="shared" si="230"/>
        <v>0</v>
      </c>
      <c r="CR305" s="81">
        <f t="shared" si="231"/>
        <v>0</v>
      </c>
      <c r="CS305" s="81" t="s">
        <v>21</v>
      </c>
      <c r="CT305" s="81">
        <f t="shared" si="232"/>
        <v>0</v>
      </c>
      <c r="CU305" s="81">
        <f t="shared" si="233"/>
        <v>0</v>
      </c>
      <c r="CV305" s="81" t="s">
        <v>998</v>
      </c>
      <c r="CW305" s="81">
        <f t="shared" si="234"/>
        <v>0</v>
      </c>
      <c r="CX305" s="81">
        <f t="shared" si="235"/>
        <v>0</v>
      </c>
      <c r="CY305" s="81" t="s">
        <v>19</v>
      </c>
      <c r="CZ305" s="81">
        <f t="shared" si="236"/>
        <v>0</v>
      </c>
      <c r="DA305" s="81">
        <f t="shared" si="237"/>
        <v>0</v>
      </c>
      <c r="DB305" s="81" t="s">
        <v>20</v>
      </c>
      <c r="DC305" s="81">
        <f t="shared" si="238"/>
        <v>0</v>
      </c>
      <c r="DD305" s="81">
        <f t="shared" si="239"/>
        <v>0</v>
      </c>
      <c r="DE305" s="81" t="s">
        <v>23</v>
      </c>
      <c r="DF305" s="81">
        <f t="shared" si="240"/>
        <v>0</v>
      </c>
      <c r="DG305" s="81">
        <f t="shared" si="241"/>
        <v>0</v>
      </c>
      <c r="DH305" s="81" t="s">
        <v>15</v>
      </c>
      <c r="DI305" s="81">
        <f t="shared" si="242"/>
        <v>0</v>
      </c>
      <c r="DJ305" s="81">
        <f t="shared" si="243"/>
        <v>0</v>
      </c>
      <c r="DK305" s="81" t="s">
        <v>5527</v>
      </c>
      <c r="DL305" s="81">
        <f t="shared" si="244"/>
        <v>0</v>
      </c>
      <c r="DM305" s="81">
        <f t="shared" si="245"/>
        <v>0</v>
      </c>
      <c r="DN305" s="81" t="s">
        <v>7</v>
      </c>
      <c r="DO305" s="81">
        <f t="shared" si="246"/>
        <v>0</v>
      </c>
      <c r="DP305" s="81">
        <f t="shared" si="247"/>
        <v>0</v>
      </c>
      <c r="DQ305" s="81" t="s">
        <v>1</v>
      </c>
      <c r="DR305" s="81">
        <f t="shared" si="248"/>
        <v>0</v>
      </c>
      <c r="DS305" s="81">
        <f t="shared" si="249"/>
        <v>0</v>
      </c>
    </row>
    <row r="306" spans="35:123" x14ac:dyDescent="0.3">
      <c r="AI306" s="81">
        <v>303</v>
      </c>
      <c r="AJ306" s="81" t="str">
        <f t="shared" si="208"/>
        <v>November 43</v>
      </c>
      <c r="AK306" s="81" t="str">
        <f t="shared" si="254"/>
        <v>November</v>
      </c>
      <c r="AL306" s="81">
        <f t="shared" si="253"/>
        <v>43</v>
      </c>
      <c r="BL306" s="81" t="s">
        <v>970</v>
      </c>
      <c r="BM306" s="81">
        <v>303</v>
      </c>
      <c r="BN306" s="81">
        <f t="shared" si="211"/>
        <v>0</v>
      </c>
      <c r="CA306" s="81" t="s">
        <v>2</v>
      </c>
      <c r="CB306" s="81">
        <f t="shared" si="220"/>
        <v>0</v>
      </c>
      <c r="CC306" s="81">
        <f t="shared" si="221"/>
        <v>0</v>
      </c>
      <c r="CD306" s="81" t="s">
        <v>16</v>
      </c>
      <c r="CE306" s="81">
        <f t="shared" si="222"/>
        <v>0</v>
      </c>
      <c r="CF306" s="81">
        <f t="shared" si="223"/>
        <v>0</v>
      </c>
      <c r="CG306" s="81" t="s">
        <v>5</v>
      </c>
      <c r="CH306" s="81">
        <f t="shared" si="224"/>
        <v>0</v>
      </c>
      <c r="CI306" s="81">
        <f t="shared" si="225"/>
        <v>0</v>
      </c>
      <c r="CJ306" s="81" t="s">
        <v>18</v>
      </c>
      <c r="CK306" s="81">
        <f t="shared" si="226"/>
        <v>0</v>
      </c>
      <c r="CL306" s="81">
        <f t="shared" si="227"/>
        <v>0</v>
      </c>
      <c r="CM306" s="81" t="s">
        <v>4</v>
      </c>
      <c r="CN306" s="81">
        <f t="shared" si="228"/>
        <v>0</v>
      </c>
      <c r="CO306" s="81">
        <f t="shared" si="229"/>
        <v>0</v>
      </c>
      <c r="CP306" s="81" t="s">
        <v>22</v>
      </c>
      <c r="CQ306" s="81">
        <f t="shared" si="230"/>
        <v>0</v>
      </c>
      <c r="CR306" s="81">
        <f t="shared" si="231"/>
        <v>0</v>
      </c>
      <c r="CS306" s="81" t="s">
        <v>21</v>
      </c>
      <c r="CT306" s="81">
        <f t="shared" si="232"/>
        <v>0</v>
      </c>
      <c r="CU306" s="81">
        <f t="shared" si="233"/>
        <v>0</v>
      </c>
      <c r="CV306" s="81" t="s">
        <v>998</v>
      </c>
      <c r="CW306" s="81">
        <f t="shared" si="234"/>
        <v>0</v>
      </c>
      <c r="CX306" s="81">
        <f t="shared" si="235"/>
        <v>0</v>
      </c>
      <c r="CY306" s="81" t="s">
        <v>19</v>
      </c>
      <c r="CZ306" s="81">
        <f t="shared" si="236"/>
        <v>0</v>
      </c>
      <c r="DA306" s="81">
        <f t="shared" si="237"/>
        <v>0</v>
      </c>
      <c r="DB306" s="81" t="s">
        <v>20</v>
      </c>
      <c r="DC306" s="81">
        <f t="shared" si="238"/>
        <v>0</v>
      </c>
      <c r="DD306" s="81">
        <f t="shared" si="239"/>
        <v>0</v>
      </c>
      <c r="DE306" s="81" t="s">
        <v>23</v>
      </c>
      <c r="DF306" s="81">
        <f t="shared" si="240"/>
        <v>0</v>
      </c>
      <c r="DG306" s="81">
        <f t="shared" si="241"/>
        <v>0</v>
      </c>
      <c r="DH306" s="81" t="s">
        <v>15</v>
      </c>
      <c r="DI306" s="81">
        <f t="shared" si="242"/>
        <v>0</v>
      </c>
      <c r="DJ306" s="81">
        <f t="shared" si="243"/>
        <v>0</v>
      </c>
      <c r="DK306" s="81" t="s">
        <v>5528</v>
      </c>
      <c r="DL306" s="81">
        <f t="shared" si="244"/>
        <v>0</v>
      </c>
      <c r="DM306" s="81">
        <f t="shared" si="245"/>
        <v>0</v>
      </c>
      <c r="DN306" s="81" t="s">
        <v>7</v>
      </c>
      <c r="DO306" s="81">
        <f t="shared" si="246"/>
        <v>0</v>
      </c>
      <c r="DP306" s="81">
        <f t="shared" si="247"/>
        <v>0</v>
      </c>
      <c r="DQ306" s="81" t="s">
        <v>1</v>
      </c>
      <c r="DR306" s="81">
        <f t="shared" si="248"/>
        <v>0</v>
      </c>
      <c r="DS306" s="81">
        <f t="shared" si="249"/>
        <v>0</v>
      </c>
    </row>
    <row r="307" spans="35:123" x14ac:dyDescent="0.3">
      <c r="AI307" s="81">
        <v>304</v>
      </c>
      <c r="AJ307" s="81" t="str">
        <f t="shared" si="208"/>
        <v>December 43</v>
      </c>
      <c r="AK307" s="81" t="str">
        <f t="shared" si="254"/>
        <v>December</v>
      </c>
      <c r="AL307" s="81">
        <f t="shared" si="253"/>
        <v>43</v>
      </c>
      <c r="BL307" s="81" t="s">
        <v>971</v>
      </c>
      <c r="BM307" s="81">
        <v>304</v>
      </c>
      <c r="BN307" s="81">
        <f t="shared" si="211"/>
        <v>0</v>
      </c>
      <c r="CA307" s="81" t="s">
        <v>2</v>
      </c>
      <c r="CB307" s="81">
        <f t="shared" si="220"/>
        <v>0</v>
      </c>
      <c r="CC307" s="81">
        <f t="shared" si="221"/>
        <v>0</v>
      </c>
      <c r="CD307" s="81" t="s">
        <v>16</v>
      </c>
      <c r="CE307" s="81">
        <f t="shared" si="222"/>
        <v>0</v>
      </c>
      <c r="CF307" s="81">
        <f t="shared" si="223"/>
        <v>0</v>
      </c>
      <c r="CG307" s="81" t="s">
        <v>5</v>
      </c>
      <c r="CH307" s="81">
        <f t="shared" si="224"/>
        <v>0</v>
      </c>
      <c r="CI307" s="81">
        <f t="shared" si="225"/>
        <v>0</v>
      </c>
      <c r="CJ307" s="81" t="s">
        <v>18</v>
      </c>
      <c r="CK307" s="81">
        <f t="shared" si="226"/>
        <v>0</v>
      </c>
      <c r="CL307" s="81">
        <f t="shared" si="227"/>
        <v>0</v>
      </c>
      <c r="CM307" s="81" t="s">
        <v>4</v>
      </c>
      <c r="CN307" s="81">
        <f t="shared" si="228"/>
        <v>0</v>
      </c>
      <c r="CO307" s="81">
        <f t="shared" si="229"/>
        <v>0</v>
      </c>
      <c r="CP307" s="81" t="s">
        <v>22</v>
      </c>
      <c r="CQ307" s="81">
        <f t="shared" si="230"/>
        <v>0</v>
      </c>
      <c r="CR307" s="81">
        <f t="shared" si="231"/>
        <v>0</v>
      </c>
      <c r="CS307" s="81" t="s">
        <v>21</v>
      </c>
      <c r="CT307" s="81">
        <f t="shared" si="232"/>
        <v>0</v>
      </c>
      <c r="CU307" s="81">
        <f t="shared" si="233"/>
        <v>0</v>
      </c>
      <c r="CV307" s="81" t="s">
        <v>998</v>
      </c>
      <c r="CW307" s="81">
        <f t="shared" si="234"/>
        <v>0</v>
      </c>
      <c r="CX307" s="81">
        <f t="shared" si="235"/>
        <v>0</v>
      </c>
      <c r="CY307" s="81" t="s">
        <v>19</v>
      </c>
      <c r="CZ307" s="81">
        <f t="shared" si="236"/>
        <v>0</v>
      </c>
      <c r="DA307" s="81">
        <f t="shared" si="237"/>
        <v>0</v>
      </c>
      <c r="DB307" s="81" t="s">
        <v>20</v>
      </c>
      <c r="DC307" s="81">
        <f t="shared" si="238"/>
        <v>0</v>
      </c>
      <c r="DD307" s="81">
        <f t="shared" si="239"/>
        <v>0</v>
      </c>
      <c r="DE307" s="81" t="s">
        <v>23</v>
      </c>
      <c r="DF307" s="81">
        <f t="shared" si="240"/>
        <v>0</v>
      </c>
      <c r="DG307" s="81">
        <f t="shared" si="241"/>
        <v>0</v>
      </c>
      <c r="DH307" s="81" t="s">
        <v>15</v>
      </c>
      <c r="DI307" s="81">
        <f t="shared" si="242"/>
        <v>0</v>
      </c>
      <c r="DJ307" s="81">
        <f t="shared" si="243"/>
        <v>0</v>
      </c>
      <c r="DK307" s="81" t="s">
        <v>5529</v>
      </c>
      <c r="DL307" s="81">
        <f t="shared" si="244"/>
        <v>0</v>
      </c>
      <c r="DM307" s="81">
        <f t="shared" si="245"/>
        <v>0</v>
      </c>
      <c r="DN307" s="81" t="s">
        <v>7</v>
      </c>
      <c r="DO307" s="81">
        <f t="shared" si="246"/>
        <v>0</v>
      </c>
      <c r="DP307" s="81">
        <f t="shared" si="247"/>
        <v>0</v>
      </c>
      <c r="DQ307" s="81" t="s">
        <v>1</v>
      </c>
      <c r="DR307" s="81">
        <f t="shared" si="248"/>
        <v>0</v>
      </c>
      <c r="DS307" s="81">
        <f t="shared" si="249"/>
        <v>0</v>
      </c>
    </row>
    <row r="308" spans="35:123" x14ac:dyDescent="0.3">
      <c r="AI308" s="81">
        <v>305</v>
      </c>
      <c r="AJ308" s="81" t="str">
        <f t="shared" si="208"/>
        <v>Januari 44</v>
      </c>
      <c r="AK308" s="81" t="str">
        <f t="shared" si="254"/>
        <v>Januari</v>
      </c>
      <c r="AL308" s="81">
        <f t="shared" si="253"/>
        <v>44</v>
      </c>
      <c r="BL308" s="81" t="s">
        <v>972</v>
      </c>
      <c r="BM308" s="81">
        <v>305</v>
      </c>
      <c r="BN308" s="81">
        <f t="shared" si="211"/>
        <v>0</v>
      </c>
      <c r="CA308" s="81" t="s">
        <v>2</v>
      </c>
      <c r="CB308" s="81">
        <f t="shared" si="220"/>
        <v>0</v>
      </c>
      <c r="CC308" s="81">
        <f t="shared" si="221"/>
        <v>0</v>
      </c>
      <c r="CD308" s="81" t="s">
        <v>16</v>
      </c>
      <c r="CE308" s="81">
        <f t="shared" si="222"/>
        <v>0</v>
      </c>
      <c r="CF308" s="81">
        <f t="shared" si="223"/>
        <v>0</v>
      </c>
      <c r="CG308" s="81" t="s">
        <v>5</v>
      </c>
      <c r="CH308" s="81">
        <f t="shared" si="224"/>
        <v>0</v>
      </c>
      <c r="CI308" s="81">
        <f t="shared" si="225"/>
        <v>0</v>
      </c>
      <c r="CJ308" s="81" t="s">
        <v>18</v>
      </c>
      <c r="CK308" s="81">
        <f t="shared" si="226"/>
        <v>0</v>
      </c>
      <c r="CL308" s="81">
        <f t="shared" si="227"/>
        <v>0</v>
      </c>
      <c r="CM308" s="81" t="s">
        <v>4</v>
      </c>
      <c r="CN308" s="81">
        <f t="shared" si="228"/>
        <v>0</v>
      </c>
      <c r="CO308" s="81">
        <f t="shared" si="229"/>
        <v>0</v>
      </c>
      <c r="CP308" s="81" t="s">
        <v>22</v>
      </c>
      <c r="CQ308" s="81">
        <f t="shared" si="230"/>
        <v>0</v>
      </c>
      <c r="CR308" s="81">
        <f t="shared" si="231"/>
        <v>0</v>
      </c>
      <c r="CS308" s="81" t="s">
        <v>21</v>
      </c>
      <c r="CT308" s="81">
        <f t="shared" si="232"/>
        <v>0</v>
      </c>
      <c r="CU308" s="81">
        <f t="shared" si="233"/>
        <v>0</v>
      </c>
      <c r="CV308" s="81" t="s">
        <v>998</v>
      </c>
      <c r="CW308" s="81">
        <f t="shared" si="234"/>
        <v>0</v>
      </c>
      <c r="CX308" s="81">
        <f t="shared" si="235"/>
        <v>0</v>
      </c>
      <c r="CY308" s="81" t="s">
        <v>19</v>
      </c>
      <c r="CZ308" s="81">
        <f t="shared" si="236"/>
        <v>0</v>
      </c>
      <c r="DA308" s="81">
        <f t="shared" si="237"/>
        <v>0</v>
      </c>
      <c r="DB308" s="81" t="s">
        <v>20</v>
      </c>
      <c r="DC308" s="81">
        <f t="shared" si="238"/>
        <v>0</v>
      </c>
      <c r="DD308" s="81">
        <f t="shared" si="239"/>
        <v>0</v>
      </c>
      <c r="DE308" s="81" t="s">
        <v>23</v>
      </c>
      <c r="DF308" s="81">
        <f t="shared" si="240"/>
        <v>0</v>
      </c>
      <c r="DG308" s="81">
        <f t="shared" si="241"/>
        <v>0</v>
      </c>
      <c r="DH308" s="81" t="s">
        <v>15</v>
      </c>
      <c r="DI308" s="81">
        <f t="shared" si="242"/>
        <v>0</v>
      </c>
      <c r="DJ308" s="81">
        <f t="shared" si="243"/>
        <v>0</v>
      </c>
      <c r="DK308" s="81" t="s">
        <v>5530</v>
      </c>
      <c r="DL308" s="81">
        <f t="shared" si="244"/>
        <v>0</v>
      </c>
      <c r="DM308" s="81">
        <f t="shared" si="245"/>
        <v>0</v>
      </c>
      <c r="DN308" s="81" t="s">
        <v>7</v>
      </c>
      <c r="DO308" s="81">
        <f t="shared" si="246"/>
        <v>0</v>
      </c>
      <c r="DP308" s="81">
        <f t="shared" si="247"/>
        <v>0</v>
      </c>
      <c r="DQ308" s="81" t="s">
        <v>1</v>
      </c>
      <c r="DR308" s="81">
        <f t="shared" si="248"/>
        <v>0</v>
      </c>
      <c r="DS308" s="81">
        <f t="shared" si="249"/>
        <v>0</v>
      </c>
    </row>
    <row r="309" spans="35:123" x14ac:dyDescent="0.3">
      <c r="AI309" s="81">
        <v>306</v>
      </c>
      <c r="AJ309" s="81" t="str">
        <f t="shared" si="208"/>
        <v>Februari 44</v>
      </c>
      <c r="AK309" s="81" t="str">
        <f t="shared" si="254"/>
        <v>Februari</v>
      </c>
      <c r="AL309" s="81">
        <f t="shared" si="253"/>
        <v>44</v>
      </c>
      <c r="BL309" s="81" t="s">
        <v>973</v>
      </c>
      <c r="BM309" s="81">
        <v>306</v>
      </c>
      <c r="BN309" s="81">
        <f t="shared" si="211"/>
        <v>0</v>
      </c>
      <c r="CA309" s="81" t="s">
        <v>2</v>
      </c>
      <c r="CB309" s="81">
        <f t="shared" si="220"/>
        <v>0</v>
      </c>
      <c r="CC309" s="81">
        <f t="shared" si="221"/>
        <v>0</v>
      </c>
      <c r="CD309" s="81" t="s">
        <v>16</v>
      </c>
      <c r="CE309" s="81">
        <f t="shared" si="222"/>
        <v>0</v>
      </c>
      <c r="CF309" s="81">
        <f t="shared" si="223"/>
        <v>0</v>
      </c>
      <c r="CG309" s="81" t="s">
        <v>5</v>
      </c>
      <c r="CH309" s="81">
        <f t="shared" si="224"/>
        <v>0</v>
      </c>
      <c r="CI309" s="81">
        <f t="shared" si="225"/>
        <v>0</v>
      </c>
      <c r="CJ309" s="81" t="s">
        <v>18</v>
      </c>
      <c r="CK309" s="81">
        <f t="shared" si="226"/>
        <v>0</v>
      </c>
      <c r="CL309" s="81">
        <f t="shared" si="227"/>
        <v>0</v>
      </c>
      <c r="CM309" s="81" t="s">
        <v>4</v>
      </c>
      <c r="CN309" s="81">
        <f t="shared" si="228"/>
        <v>0</v>
      </c>
      <c r="CO309" s="81">
        <f t="shared" si="229"/>
        <v>0</v>
      </c>
      <c r="CP309" s="81" t="s">
        <v>22</v>
      </c>
      <c r="CQ309" s="81">
        <f t="shared" si="230"/>
        <v>0</v>
      </c>
      <c r="CR309" s="81">
        <f t="shared" si="231"/>
        <v>0</v>
      </c>
      <c r="CS309" s="81" t="s">
        <v>21</v>
      </c>
      <c r="CT309" s="81">
        <f t="shared" si="232"/>
        <v>0</v>
      </c>
      <c r="CU309" s="81">
        <f t="shared" si="233"/>
        <v>0</v>
      </c>
      <c r="CV309" s="81" t="s">
        <v>998</v>
      </c>
      <c r="CW309" s="81">
        <f t="shared" si="234"/>
        <v>0</v>
      </c>
      <c r="CX309" s="81">
        <f t="shared" si="235"/>
        <v>0</v>
      </c>
      <c r="CY309" s="81" t="s">
        <v>19</v>
      </c>
      <c r="CZ309" s="81">
        <f t="shared" si="236"/>
        <v>0</v>
      </c>
      <c r="DA309" s="81">
        <f t="shared" si="237"/>
        <v>0</v>
      </c>
      <c r="DB309" s="81" t="s">
        <v>20</v>
      </c>
      <c r="DC309" s="81">
        <f t="shared" si="238"/>
        <v>0</v>
      </c>
      <c r="DD309" s="81">
        <f t="shared" si="239"/>
        <v>0</v>
      </c>
      <c r="DE309" s="81" t="s">
        <v>23</v>
      </c>
      <c r="DF309" s="81">
        <f t="shared" si="240"/>
        <v>0</v>
      </c>
      <c r="DG309" s="81">
        <f t="shared" si="241"/>
        <v>0</v>
      </c>
      <c r="DH309" s="81" t="s">
        <v>15</v>
      </c>
      <c r="DI309" s="81">
        <f t="shared" si="242"/>
        <v>0</v>
      </c>
      <c r="DJ309" s="81">
        <f t="shared" si="243"/>
        <v>0</v>
      </c>
      <c r="DK309" s="81" t="s">
        <v>5531</v>
      </c>
      <c r="DL309" s="81">
        <f t="shared" si="244"/>
        <v>0</v>
      </c>
      <c r="DM309" s="81">
        <f t="shared" si="245"/>
        <v>0</v>
      </c>
      <c r="DN309" s="81" t="s">
        <v>7</v>
      </c>
      <c r="DO309" s="81">
        <f t="shared" si="246"/>
        <v>0</v>
      </c>
      <c r="DP309" s="81">
        <f t="shared" si="247"/>
        <v>0</v>
      </c>
      <c r="DQ309" s="81" t="s">
        <v>1</v>
      </c>
      <c r="DR309" s="81">
        <f t="shared" si="248"/>
        <v>0</v>
      </c>
      <c r="DS309" s="81">
        <f t="shared" si="249"/>
        <v>0</v>
      </c>
    </row>
    <row r="310" spans="35:123" x14ac:dyDescent="0.3">
      <c r="AI310" s="81">
        <v>307</v>
      </c>
      <c r="AJ310" s="81" t="str">
        <f t="shared" si="208"/>
        <v>Mars 44</v>
      </c>
      <c r="AK310" s="81" t="str">
        <f t="shared" si="254"/>
        <v>Mars</v>
      </c>
      <c r="AL310" s="81">
        <f t="shared" si="253"/>
        <v>44</v>
      </c>
      <c r="BL310" s="81" t="s">
        <v>974</v>
      </c>
      <c r="BM310" s="81">
        <v>307</v>
      </c>
      <c r="BN310" s="81">
        <f t="shared" si="211"/>
        <v>0</v>
      </c>
      <c r="CA310" s="81" t="s">
        <v>2</v>
      </c>
      <c r="CB310" s="81">
        <f t="shared" si="220"/>
        <v>0</v>
      </c>
      <c r="CC310" s="81">
        <f t="shared" si="221"/>
        <v>0</v>
      </c>
      <c r="CD310" s="81" t="s">
        <v>16</v>
      </c>
      <c r="CE310" s="81">
        <f t="shared" si="222"/>
        <v>0</v>
      </c>
      <c r="CF310" s="81">
        <f t="shared" si="223"/>
        <v>0</v>
      </c>
      <c r="CG310" s="81" t="s">
        <v>5</v>
      </c>
      <c r="CH310" s="81">
        <f t="shared" si="224"/>
        <v>0</v>
      </c>
      <c r="CI310" s="81">
        <f t="shared" si="225"/>
        <v>0</v>
      </c>
      <c r="CJ310" s="81" t="s">
        <v>18</v>
      </c>
      <c r="CK310" s="81">
        <f t="shared" si="226"/>
        <v>0</v>
      </c>
      <c r="CL310" s="81">
        <f t="shared" si="227"/>
        <v>0</v>
      </c>
      <c r="CM310" s="81" t="s">
        <v>4</v>
      </c>
      <c r="CN310" s="81">
        <f t="shared" si="228"/>
        <v>0</v>
      </c>
      <c r="CO310" s="81">
        <f t="shared" si="229"/>
        <v>0</v>
      </c>
      <c r="CP310" s="81" t="s">
        <v>22</v>
      </c>
      <c r="CQ310" s="81">
        <f t="shared" si="230"/>
        <v>0</v>
      </c>
      <c r="CR310" s="81">
        <f t="shared" si="231"/>
        <v>0</v>
      </c>
      <c r="CS310" s="81" t="s">
        <v>21</v>
      </c>
      <c r="CT310" s="81">
        <f t="shared" si="232"/>
        <v>0</v>
      </c>
      <c r="CU310" s="81">
        <f t="shared" si="233"/>
        <v>0</v>
      </c>
      <c r="CV310" s="81" t="s">
        <v>998</v>
      </c>
      <c r="CW310" s="81">
        <f t="shared" si="234"/>
        <v>0</v>
      </c>
      <c r="CX310" s="81">
        <f t="shared" si="235"/>
        <v>0</v>
      </c>
      <c r="CY310" s="81" t="s">
        <v>19</v>
      </c>
      <c r="CZ310" s="81">
        <f t="shared" si="236"/>
        <v>0</v>
      </c>
      <c r="DA310" s="81">
        <f t="shared" si="237"/>
        <v>0</v>
      </c>
      <c r="DB310" s="81" t="s">
        <v>20</v>
      </c>
      <c r="DC310" s="81">
        <f t="shared" si="238"/>
        <v>0</v>
      </c>
      <c r="DD310" s="81">
        <f t="shared" si="239"/>
        <v>0</v>
      </c>
      <c r="DE310" s="81" t="s">
        <v>23</v>
      </c>
      <c r="DF310" s="81">
        <f t="shared" si="240"/>
        <v>0</v>
      </c>
      <c r="DG310" s="81">
        <f t="shared" si="241"/>
        <v>0</v>
      </c>
      <c r="DH310" s="81" t="s">
        <v>15</v>
      </c>
      <c r="DI310" s="81">
        <f t="shared" si="242"/>
        <v>0</v>
      </c>
      <c r="DJ310" s="81">
        <f t="shared" si="243"/>
        <v>0</v>
      </c>
      <c r="DK310" s="81" t="s">
        <v>5532</v>
      </c>
      <c r="DL310" s="81">
        <f t="shared" si="244"/>
        <v>0</v>
      </c>
      <c r="DM310" s="81">
        <f t="shared" si="245"/>
        <v>0</v>
      </c>
      <c r="DN310" s="81" t="s">
        <v>7</v>
      </c>
      <c r="DO310" s="81">
        <f t="shared" si="246"/>
        <v>0</v>
      </c>
      <c r="DP310" s="81">
        <f t="shared" si="247"/>
        <v>0</v>
      </c>
      <c r="DQ310" s="81" t="s">
        <v>1</v>
      </c>
      <c r="DR310" s="81">
        <f t="shared" si="248"/>
        <v>0</v>
      </c>
      <c r="DS310" s="81">
        <f t="shared" si="249"/>
        <v>0</v>
      </c>
    </row>
    <row r="311" spans="35:123" x14ac:dyDescent="0.3">
      <c r="AI311" s="81">
        <v>308</v>
      </c>
      <c r="AJ311" s="81" t="str">
        <f t="shared" si="208"/>
        <v>April 44</v>
      </c>
      <c r="AK311" s="81" t="str">
        <f t="shared" si="254"/>
        <v>April</v>
      </c>
      <c r="AL311" s="81">
        <f t="shared" si="253"/>
        <v>44</v>
      </c>
      <c r="BL311" s="81" t="s">
        <v>975</v>
      </c>
      <c r="BM311" s="81">
        <v>308</v>
      </c>
      <c r="BN311" s="81">
        <f t="shared" si="211"/>
        <v>0</v>
      </c>
      <c r="CA311" s="81" t="s">
        <v>2</v>
      </c>
      <c r="CB311" s="81">
        <f t="shared" si="220"/>
        <v>0</v>
      </c>
      <c r="CC311" s="81">
        <f t="shared" si="221"/>
        <v>0</v>
      </c>
      <c r="CD311" s="81" t="s">
        <v>16</v>
      </c>
      <c r="CE311" s="81">
        <f t="shared" si="222"/>
        <v>0</v>
      </c>
      <c r="CF311" s="81">
        <f t="shared" si="223"/>
        <v>0</v>
      </c>
      <c r="CG311" s="81" t="s">
        <v>5</v>
      </c>
      <c r="CH311" s="81">
        <f t="shared" si="224"/>
        <v>0</v>
      </c>
      <c r="CI311" s="81">
        <f t="shared" si="225"/>
        <v>0</v>
      </c>
      <c r="CJ311" s="81" t="s">
        <v>18</v>
      </c>
      <c r="CK311" s="81">
        <f t="shared" si="226"/>
        <v>0</v>
      </c>
      <c r="CL311" s="81">
        <f t="shared" si="227"/>
        <v>0</v>
      </c>
      <c r="CM311" s="81" t="s">
        <v>4</v>
      </c>
      <c r="CN311" s="81">
        <f t="shared" si="228"/>
        <v>0</v>
      </c>
      <c r="CO311" s="81">
        <f t="shared" si="229"/>
        <v>0</v>
      </c>
      <c r="CP311" s="81" t="s">
        <v>22</v>
      </c>
      <c r="CQ311" s="81">
        <f t="shared" si="230"/>
        <v>0</v>
      </c>
      <c r="CR311" s="81">
        <f t="shared" si="231"/>
        <v>0</v>
      </c>
      <c r="CS311" s="81" t="s">
        <v>21</v>
      </c>
      <c r="CT311" s="81">
        <f t="shared" si="232"/>
        <v>0</v>
      </c>
      <c r="CU311" s="81">
        <f t="shared" si="233"/>
        <v>0</v>
      </c>
      <c r="CV311" s="81" t="s">
        <v>998</v>
      </c>
      <c r="CW311" s="81">
        <f t="shared" si="234"/>
        <v>0</v>
      </c>
      <c r="CX311" s="81">
        <f t="shared" si="235"/>
        <v>0</v>
      </c>
      <c r="CY311" s="81" t="s">
        <v>19</v>
      </c>
      <c r="CZ311" s="81">
        <f t="shared" si="236"/>
        <v>0</v>
      </c>
      <c r="DA311" s="81">
        <f t="shared" si="237"/>
        <v>0</v>
      </c>
      <c r="DB311" s="81" t="s">
        <v>20</v>
      </c>
      <c r="DC311" s="81">
        <f t="shared" si="238"/>
        <v>0</v>
      </c>
      <c r="DD311" s="81">
        <f t="shared" si="239"/>
        <v>0</v>
      </c>
      <c r="DE311" s="81" t="s">
        <v>23</v>
      </c>
      <c r="DF311" s="81">
        <f t="shared" si="240"/>
        <v>0</v>
      </c>
      <c r="DG311" s="81">
        <f t="shared" si="241"/>
        <v>0</v>
      </c>
      <c r="DH311" s="81" t="s">
        <v>15</v>
      </c>
      <c r="DI311" s="81">
        <f t="shared" si="242"/>
        <v>0</v>
      </c>
      <c r="DJ311" s="81">
        <f t="shared" si="243"/>
        <v>0</v>
      </c>
      <c r="DK311" s="81" t="s">
        <v>5533</v>
      </c>
      <c r="DL311" s="81">
        <f t="shared" si="244"/>
        <v>0</v>
      </c>
      <c r="DM311" s="81">
        <f t="shared" si="245"/>
        <v>0</v>
      </c>
      <c r="DN311" s="81" t="s">
        <v>7</v>
      </c>
      <c r="DO311" s="81">
        <f t="shared" si="246"/>
        <v>0</v>
      </c>
      <c r="DP311" s="81">
        <f t="shared" si="247"/>
        <v>0</v>
      </c>
      <c r="DQ311" s="81" t="s">
        <v>1</v>
      </c>
      <c r="DR311" s="81">
        <f t="shared" si="248"/>
        <v>0</v>
      </c>
      <c r="DS311" s="81">
        <f t="shared" si="249"/>
        <v>0</v>
      </c>
    </row>
    <row r="312" spans="35:123" x14ac:dyDescent="0.3">
      <c r="AI312" s="81">
        <v>309</v>
      </c>
      <c r="AJ312" s="81" t="str">
        <f t="shared" si="208"/>
        <v>Maj 44</v>
      </c>
      <c r="AK312" s="81" t="str">
        <f t="shared" si="254"/>
        <v>Maj</v>
      </c>
      <c r="AL312" s="81">
        <f t="shared" si="253"/>
        <v>44</v>
      </c>
      <c r="BL312" s="81" t="s">
        <v>976</v>
      </c>
      <c r="BM312" s="81">
        <v>309</v>
      </c>
      <c r="BN312" s="81">
        <f t="shared" si="211"/>
        <v>0</v>
      </c>
      <c r="CA312" s="81" t="s">
        <v>2</v>
      </c>
      <c r="CB312" s="81">
        <f t="shared" si="220"/>
        <v>0</v>
      </c>
      <c r="CC312" s="81">
        <f t="shared" si="221"/>
        <v>0</v>
      </c>
      <c r="CD312" s="81" t="s">
        <v>16</v>
      </c>
      <c r="CE312" s="81">
        <f t="shared" si="222"/>
        <v>0</v>
      </c>
      <c r="CF312" s="81">
        <f t="shared" si="223"/>
        <v>0</v>
      </c>
      <c r="CG312" s="81" t="s">
        <v>5</v>
      </c>
      <c r="CH312" s="81">
        <f t="shared" si="224"/>
        <v>0</v>
      </c>
      <c r="CI312" s="81">
        <f t="shared" si="225"/>
        <v>0</v>
      </c>
      <c r="CJ312" s="81" t="s">
        <v>18</v>
      </c>
      <c r="CK312" s="81">
        <f t="shared" si="226"/>
        <v>0</v>
      </c>
      <c r="CL312" s="81">
        <f t="shared" si="227"/>
        <v>0</v>
      </c>
      <c r="CM312" s="81" t="s">
        <v>4</v>
      </c>
      <c r="CN312" s="81">
        <f t="shared" si="228"/>
        <v>0</v>
      </c>
      <c r="CO312" s="81">
        <f t="shared" si="229"/>
        <v>0</v>
      </c>
      <c r="CP312" s="81" t="s">
        <v>22</v>
      </c>
      <c r="CQ312" s="81">
        <f t="shared" si="230"/>
        <v>0</v>
      </c>
      <c r="CR312" s="81">
        <f t="shared" si="231"/>
        <v>0</v>
      </c>
      <c r="CS312" s="81" t="s">
        <v>21</v>
      </c>
      <c r="CT312" s="81">
        <f t="shared" si="232"/>
        <v>0</v>
      </c>
      <c r="CU312" s="81">
        <f t="shared" si="233"/>
        <v>0</v>
      </c>
      <c r="CV312" s="81" t="s">
        <v>998</v>
      </c>
      <c r="CW312" s="81">
        <f t="shared" si="234"/>
        <v>0</v>
      </c>
      <c r="CX312" s="81">
        <f t="shared" si="235"/>
        <v>0</v>
      </c>
      <c r="CY312" s="81" t="s">
        <v>19</v>
      </c>
      <c r="CZ312" s="81">
        <f t="shared" si="236"/>
        <v>0</v>
      </c>
      <c r="DA312" s="81">
        <f t="shared" si="237"/>
        <v>0</v>
      </c>
      <c r="DB312" s="81" t="s">
        <v>20</v>
      </c>
      <c r="DC312" s="81">
        <f t="shared" si="238"/>
        <v>0</v>
      </c>
      <c r="DD312" s="81">
        <f t="shared" si="239"/>
        <v>0</v>
      </c>
      <c r="DE312" s="81" t="s">
        <v>23</v>
      </c>
      <c r="DF312" s="81">
        <f t="shared" si="240"/>
        <v>0</v>
      </c>
      <c r="DG312" s="81">
        <f t="shared" si="241"/>
        <v>0</v>
      </c>
      <c r="DH312" s="81" t="s">
        <v>15</v>
      </c>
      <c r="DI312" s="81">
        <f t="shared" si="242"/>
        <v>0</v>
      </c>
      <c r="DJ312" s="81">
        <f t="shared" si="243"/>
        <v>0</v>
      </c>
      <c r="DK312" s="81" t="s">
        <v>5534</v>
      </c>
      <c r="DL312" s="81">
        <f t="shared" si="244"/>
        <v>0</v>
      </c>
      <c r="DM312" s="81">
        <f t="shared" si="245"/>
        <v>0</v>
      </c>
      <c r="DN312" s="81" t="s">
        <v>7</v>
      </c>
      <c r="DO312" s="81">
        <f t="shared" si="246"/>
        <v>0</v>
      </c>
      <c r="DP312" s="81">
        <f t="shared" si="247"/>
        <v>0</v>
      </c>
      <c r="DQ312" s="81" t="s">
        <v>1</v>
      </c>
      <c r="DR312" s="81">
        <f t="shared" si="248"/>
        <v>0</v>
      </c>
      <c r="DS312" s="81">
        <f t="shared" si="249"/>
        <v>0</v>
      </c>
    </row>
    <row r="313" spans="35:123" x14ac:dyDescent="0.3">
      <c r="AI313" s="81">
        <v>310</v>
      </c>
      <c r="AJ313" s="81" t="str">
        <f t="shared" si="208"/>
        <v>Juni 44</v>
      </c>
      <c r="AK313" s="81" t="str">
        <f t="shared" si="254"/>
        <v>Juni</v>
      </c>
      <c r="AL313" s="81">
        <f t="shared" si="253"/>
        <v>44</v>
      </c>
      <c r="BL313" s="81" t="s">
        <v>977</v>
      </c>
      <c r="BM313" s="81">
        <v>310</v>
      </c>
      <c r="BN313" s="81">
        <f t="shared" si="211"/>
        <v>0</v>
      </c>
      <c r="CA313" s="81" t="s">
        <v>2</v>
      </c>
      <c r="CB313" s="81">
        <f t="shared" si="220"/>
        <v>0</v>
      </c>
      <c r="CC313" s="81">
        <f t="shared" si="221"/>
        <v>0</v>
      </c>
      <c r="CD313" s="81" t="s">
        <v>16</v>
      </c>
      <c r="CE313" s="81">
        <f t="shared" si="222"/>
        <v>0</v>
      </c>
      <c r="CF313" s="81">
        <f t="shared" si="223"/>
        <v>0</v>
      </c>
      <c r="CG313" s="81" t="s">
        <v>5</v>
      </c>
      <c r="CH313" s="81">
        <f t="shared" si="224"/>
        <v>0</v>
      </c>
      <c r="CI313" s="81">
        <f t="shared" si="225"/>
        <v>0</v>
      </c>
      <c r="CJ313" s="81" t="s">
        <v>18</v>
      </c>
      <c r="CK313" s="81">
        <f t="shared" si="226"/>
        <v>0</v>
      </c>
      <c r="CL313" s="81">
        <f t="shared" si="227"/>
        <v>0</v>
      </c>
      <c r="CM313" s="81" t="s">
        <v>4</v>
      </c>
      <c r="CN313" s="81">
        <f t="shared" si="228"/>
        <v>0</v>
      </c>
      <c r="CO313" s="81">
        <f t="shared" si="229"/>
        <v>0</v>
      </c>
      <c r="CP313" s="81" t="s">
        <v>22</v>
      </c>
      <c r="CQ313" s="81">
        <f t="shared" si="230"/>
        <v>0</v>
      </c>
      <c r="CR313" s="81">
        <f t="shared" si="231"/>
        <v>0</v>
      </c>
      <c r="CS313" s="81" t="s">
        <v>21</v>
      </c>
      <c r="CT313" s="81">
        <f t="shared" si="232"/>
        <v>0</v>
      </c>
      <c r="CU313" s="81">
        <f t="shared" si="233"/>
        <v>0</v>
      </c>
      <c r="CV313" s="81" t="s">
        <v>998</v>
      </c>
      <c r="CW313" s="81">
        <f t="shared" si="234"/>
        <v>0</v>
      </c>
      <c r="CX313" s="81">
        <f t="shared" si="235"/>
        <v>0</v>
      </c>
      <c r="CY313" s="81" t="s">
        <v>19</v>
      </c>
      <c r="CZ313" s="81">
        <f t="shared" si="236"/>
        <v>0</v>
      </c>
      <c r="DA313" s="81">
        <f t="shared" si="237"/>
        <v>0</v>
      </c>
      <c r="DB313" s="81" t="s">
        <v>20</v>
      </c>
      <c r="DC313" s="81">
        <f t="shared" si="238"/>
        <v>0</v>
      </c>
      <c r="DD313" s="81">
        <f t="shared" si="239"/>
        <v>0</v>
      </c>
      <c r="DE313" s="81" t="s">
        <v>23</v>
      </c>
      <c r="DF313" s="81">
        <f t="shared" si="240"/>
        <v>0</v>
      </c>
      <c r="DG313" s="81">
        <f t="shared" si="241"/>
        <v>0</v>
      </c>
      <c r="DH313" s="81" t="s">
        <v>15</v>
      </c>
      <c r="DI313" s="81">
        <f t="shared" si="242"/>
        <v>0</v>
      </c>
      <c r="DJ313" s="81">
        <f t="shared" si="243"/>
        <v>0</v>
      </c>
      <c r="DK313" s="81" t="s">
        <v>5535</v>
      </c>
      <c r="DL313" s="81">
        <f t="shared" si="244"/>
        <v>0</v>
      </c>
      <c r="DM313" s="81">
        <f t="shared" si="245"/>
        <v>0</v>
      </c>
      <c r="DN313" s="81" t="s">
        <v>7</v>
      </c>
      <c r="DO313" s="81">
        <f t="shared" si="246"/>
        <v>0</v>
      </c>
      <c r="DP313" s="81">
        <f t="shared" si="247"/>
        <v>0</v>
      </c>
      <c r="DQ313" s="81" t="s">
        <v>1</v>
      </c>
      <c r="DR313" s="81">
        <f t="shared" si="248"/>
        <v>0</v>
      </c>
      <c r="DS313" s="81">
        <f t="shared" si="249"/>
        <v>0</v>
      </c>
    </row>
    <row r="314" spans="35:123" x14ac:dyDescent="0.3">
      <c r="AI314" s="81">
        <v>311</v>
      </c>
      <c r="AJ314" s="81" t="str">
        <f t="shared" si="208"/>
        <v>Juli 44</v>
      </c>
      <c r="AK314" s="81" t="str">
        <f t="shared" si="254"/>
        <v>Juli</v>
      </c>
      <c r="AL314" s="81">
        <f t="shared" si="253"/>
        <v>44</v>
      </c>
      <c r="BL314" s="81" t="s">
        <v>978</v>
      </c>
      <c r="BM314" s="81">
        <v>311</v>
      </c>
      <c r="BN314" s="81">
        <f t="shared" si="211"/>
        <v>0</v>
      </c>
      <c r="CA314" s="81" t="s">
        <v>2</v>
      </c>
      <c r="CB314" s="81">
        <f t="shared" si="220"/>
        <v>0</v>
      </c>
      <c r="CC314" s="81">
        <f t="shared" si="221"/>
        <v>0</v>
      </c>
      <c r="CD314" s="81" t="s">
        <v>16</v>
      </c>
      <c r="CE314" s="81">
        <f t="shared" si="222"/>
        <v>0</v>
      </c>
      <c r="CF314" s="81">
        <f t="shared" si="223"/>
        <v>0</v>
      </c>
      <c r="CG314" s="81" t="s">
        <v>5</v>
      </c>
      <c r="CH314" s="81">
        <f t="shared" si="224"/>
        <v>0</v>
      </c>
      <c r="CI314" s="81">
        <f t="shared" si="225"/>
        <v>0</v>
      </c>
      <c r="CJ314" s="81" t="s">
        <v>18</v>
      </c>
      <c r="CK314" s="81">
        <f t="shared" si="226"/>
        <v>0</v>
      </c>
      <c r="CL314" s="81">
        <f t="shared" si="227"/>
        <v>0</v>
      </c>
      <c r="CM314" s="81" t="s">
        <v>4</v>
      </c>
      <c r="CN314" s="81">
        <f t="shared" si="228"/>
        <v>0</v>
      </c>
      <c r="CO314" s="81">
        <f t="shared" si="229"/>
        <v>0</v>
      </c>
      <c r="CP314" s="81" t="s">
        <v>22</v>
      </c>
      <c r="CQ314" s="81">
        <f t="shared" si="230"/>
        <v>0</v>
      </c>
      <c r="CR314" s="81">
        <f t="shared" si="231"/>
        <v>0</v>
      </c>
      <c r="CS314" s="81" t="s">
        <v>21</v>
      </c>
      <c r="CT314" s="81">
        <f t="shared" si="232"/>
        <v>0</v>
      </c>
      <c r="CU314" s="81">
        <f t="shared" si="233"/>
        <v>0</v>
      </c>
      <c r="CV314" s="81" t="s">
        <v>998</v>
      </c>
      <c r="CW314" s="81">
        <f t="shared" si="234"/>
        <v>0</v>
      </c>
      <c r="CX314" s="81">
        <f t="shared" si="235"/>
        <v>0</v>
      </c>
      <c r="CY314" s="81" t="s">
        <v>19</v>
      </c>
      <c r="CZ314" s="81">
        <f t="shared" si="236"/>
        <v>0</v>
      </c>
      <c r="DA314" s="81">
        <f t="shared" si="237"/>
        <v>0</v>
      </c>
      <c r="DB314" s="81" t="s">
        <v>20</v>
      </c>
      <c r="DC314" s="81">
        <f t="shared" si="238"/>
        <v>0</v>
      </c>
      <c r="DD314" s="81">
        <f t="shared" si="239"/>
        <v>0</v>
      </c>
      <c r="DE314" s="81" t="s">
        <v>23</v>
      </c>
      <c r="DF314" s="81">
        <f t="shared" si="240"/>
        <v>0</v>
      </c>
      <c r="DG314" s="81">
        <f t="shared" si="241"/>
        <v>0</v>
      </c>
      <c r="DH314" s="81" t="s">
        <v>15</v>
      </c>
      <c r="DI314" s="81">
        <f t="shared" si="242"/>
        <v>0</v>
      </c>
      <c r="DJ314" s="81">
        <f t="shared" si="243"/>
        <v>0</v>
      </c>
      <c r="DK314" s="81" t="s">
        <v>5536</v>
      </c>
      <c r="DL314" s="81">
        <f t="shared" si="244"/>
        <v>0</v>
      </c>
      <c r="DM314" s="81">
        <f t="shared" si="245"/>
        <v>0</v>
      </c>
      <c r="DN314" s="81" t="s">
        <v>7</v>
      </c>
      <c r="DO314" s="81">
        <f t="shared" si="246"/>
        <v>0</v>
      </c>
      <c r="DP314" s="81">
        <f t="shared" si="247"/>
        <v>0</v>
      </c>
      <c r="DQ314" s="81" t="s">
        <v>1</v>
      </c>
      <c r="DR314" s="81">
        <f t="shared" si="248"/>
        <v>0</v>
      </c>
      <c r="DS314" s="81">
        <f t="shared" si="249"/>
        <v>0</v>
      </c>
    </row>
    <row r="315" spans="35:123" x14ac:dyDescent="0.3">
      <c r="AI315" s="81">
        <v>312</v>
      </c>
      <c r="AJ315" s="81" t="str">
        <f t="shared" si="208"/>
        <v>Augusti 44</v>
      </c>
      <c r="AK315" s="81" t="str">
        <f t="shared" si="254"/>
        <v>Augusti</v>
      </c>
      <c r="AL315" s="81">
        <f t="shared" si="253"/>
        <v>44</v>
      </c>
      <c r="BL315" s="81" t="s">
        <v>979</v>
      </c>
      <c r="BM315" s="81">
        <v>312</v>
      </c>
      <c r="BN315" s="81">
        <f t="shared" si="211"/>
        <v>0</v>
      </c>
      <c r="CA315" s="81" t="s">
        <v>2</v>
      </c>
      <c r="CB315" s="81">
        <f t="shared" si="220"/>
        <v>0</v>
      </c>
      <c r="CC315" s="81">
        <f t="shared" si="221"/>
        <v>0</v>
      </c>
      <c r="CD315" s="81" t="s">
        <v>16</v>
      </c>
      <c r="CE315" s="81">
        <f t="shared" si="222"/>
        <v>0</v>
      </c>
      <c r="CF315" s="81">
        <f t="shared" si="223"/>
        <v>0</v>
      </c>
      <c r="CG315" s="81" t="s">
        <v>5</v>
      </c>
      <c r="CH315" s="81">
        <f t="shared" si="224"/>
        <v>0</v>
      </c>
      <c r="CI315" s="81">
        <f t="shared" si="225"/>
        <v>0</v>
      </c>
      <c r="CJ315" s="81" t="s">
        <v>18</v>
      </c>
      <c r="CK315" s="81">
        <f t="shared" si="226"/>
        <v>0</v>
      </c>
      <c r="CL315" s="81">
        <f t="shared" si="227"/>
        <v>0</v>
      </c>
      <c r="CM315" s="81" t="s">
        <v>4</v>
      </c>
      <c r="CN315" s="81">
        <f t="shared" si="228"/>
        <v>0</v>
      </c>
      <c r="CO315" s="81">
        <f t="shared" si="229"/>
        <v>0</v>
      </c>
      <c r="CP315" s="81" t="s">
        <v>22</v>
      </c>
      <c r="CQ315" s="81">
        <f t="shared" si="230"/>
        <v>0</v>
      </c>
      <c r="CR315" s="81">
        <f t="shared" si="231"/>
        <v>0</v>
      </c>
      <c r="CS315" s="81" t="s">
        <v>21</v>
      </c>
      <c r="CT315" s="81">
        <f t="shared" si="232"/>
        <v>0</v>
      </c>
      <c r="CU315" s="81">
        <f t="shared" si="233"/>
        <v>0</v>
      </c>
      <c r="CV315" s="81" t="s">
        <v>998</v>
      </c>
      <c r="CW315" s="81">
        <f t="shared" si="234"/>
        <v>0</v>
      </c>
      <c r="CX315" s="81">
        <f t="shared" si="235"/>
        <v>0</v>
      </c>
      <c r="CY315" s="81" t="s">
        <v>19</v>
      </c>
      <c r="CZ315" s="81">
        <f t="shared" si="236"/>
        <v>0</v>
      </c>
      <c r="DA315" s="81">
        <f t="shared" si="237"/>
        <v>0</v>
      </c>
      <c r="DB315" s="81" t="s">
        <v>20</v>
      </c>
      <c r="DC315" s="81">
        <f t="shared" si="238"/>
        <v>0</v>
      </c>
      <c r="DD315" s="81">
        <f t="shared" si="239"/>
        <v>0</v>
      </c>
      <c r="DE315" s="81" t="s">
        <v>23</v>
      </c>
      <c r="DF315" s="81">
        <f t="shared" si="240"/>
        <v>0</v>
      </c>
      <c r="DG315" s="81">
        <f t="shared" si="241"/>
        <v>0</v>
      </c>
      <c r="DH315" s="81" t="s">
        <v>15</v>
      </c>
      <c r="DI315" s="81">
        <f t="shared" si="242"/>
        <v>0</v>
      </c>
      <c r="DJ315" s="81">
        <f t="shared" si="243"/>
        <v>0</v>
      </c>
      <c r="DK315" s="81" t="s">
        <v>5537</v>
      </c>
      <c r="DL315" s="81">
        <f t="shared" si="244"/>
        <v>0</v>
      </c>
      <c r="DM315" s="81">
        <f t="shared" si="245"/>
        <v>0</v>
      </c>
      <c r="DN315" s="81" t="s">
        <v>7</v>
      </c>
      <c r="DO315" s="81">
        <f t="shared" si="246"/>
        <v>0</v>
      </c>
      <c r="DP315" s="81">
        <f t="shared" si="247"/>
        <v>0</v>
      </c>
      <c r="DQ315" s="81" t="s">
        <v>1</v>
      </c>
      <c r="DR315" s="81">
        <f t="shared" si="248"/>
        <v>0</v>
      </c>
      <c r="DS315" s="81">
        <f t="shared" si="249"/>
        <v>0</v>
      </c>
    </row>
    <row r="316" spans="35:123" x14ac:dyDescent="0.3">
      <c r="AI316" s="81">
        <v>313</v>
      </c>
      <c r="AJ316" s="81" t="str">
        <f t="shared" si="208"/>
        <v>September 44</v>
      </c>
      <c r="AK316" s="81" t="str">
        <f t="shared" si="254"/>
        <v>September</v>
      </c>
      <c r="AL316" s="81">
        <f t="shared" si="253"/>
        <v>44</v>
      </c>
      <c r="BL316" s="81" t="s">
        <v>980</v>
      </c>
      <c r="BM316" s="81">
        <v>313</v>
      </c>
      <c r="BN316" s="81">
        <f t="shared" si="211"/>
        <v>0</v>
      </c>
      <c r="CA316" s="81" t="s">
        <v>2</v>
      </c>
      <c r="CB316" s="81">
        <f t="shared" si="220"/>
        <v>0</v>
      </c>
      <c r="CC316" s="81">
        <f t="shared" si="221"/>
        <v>0</v>
      </c>
      <c r="CD316" s="81" t="s">
        <v>16</v>
      </c>
      <c r="CE316" s="81">
        <f t="shared" si="222"/>
        <v>0</v>
      </c>
      <c r="CF316" s="81">
        <f t="shared" si="223"/>
        <v>0</v>
      </c>
      <c r="CG316" s="81" t="s">
        <v>5</v>
      </c>
      <c r="CH316" s="81">
        <f t="shared" si="224"/>
        <v>0</v>
      </c>
      <c r="CI316" s="81">
        <f t="shared" si="225"/>
        <v>0</v>
      </c>
      <c r="CJ316" s="81" t="s">
        <v>18</v>
      </c>
      <c r="CK316" s="81">
        <f t="shared" si="226"/>
        <v>0</v>
      </c>
      <c r="CL316" s="81">
        <f t="shared" si="227"/>
        <v>0</v>
      </c>
      <c r="CM316" s="81" t="s">
        <v>4</v>
      </c>
      <c r="CN316" s="81">
        <f t="shared" si="228"/>
        <v>0</v>
      </c>
      <c r="CO316" s="81">
        <f t="shared" si="229"/>
        <v>0</v>
      </c>
      <c r="CP316" s="81" t="s">
        <v>22</v>
      </c>
      <c r="CQ316" s="81">
        <f t="shared" si="230"/>
        <v>0</v>
      </c>
      <c r="CR316" s="81">
        <f t="shared" si="231"/>
        <v>0</v>
      </c>
      <c r="CS316" s="81" t="s">
        <v>21</v>
      </c>
      <c r="CT316" s="81">
        <f t="shared" si="232"/>
        <v>0</v>
      </c>
      <c r="CU316" s="81">
        <f t="shared" si="233"/>
        <v>0</v>
      </c>
      <c r="CV316" s="81" t="s">
        <v>998</v>
      </c>
      <c r="CW316" s="81">
        <f t="shared" si="234"/>
        <v>0</v>
      </c>
      <c r="CX316" s="81">
        <f t="shared" si="235"/>
        <v>0</v>
      </c>
      <c r="CY316" s="81" t="s">
        <v>19</v>
      </c>
      <c r="CZ316" s="81">
        <f t="shared" si="236"/>
        <v>0</v>
      </c>
      <c r="DA316" s="81">
        <f t="shared" si="237"/>
        <v>0</v>
      </c>
      <c r="DB316" s="81" t="s">
        <v>20</v>
      </c>
      <c r="DC316" s="81">
        <f t="shared" si="238"/>
        <v>0</v>
      </c>
      <c r="DD316" s="81">
        <f t="shared" si="239"/>
        <v>0</v>
      </c>
      <c r="DE316" s="81" t="s">
        <v>23</v>
      </c>
      <c r="DF316" s="81">
        <f t="shared" si="240"/>
        <v>0</v>
      </c>
      <c r="DG316" s="81">
        <f t="shared" si="241"/>
        <v>0</v>
      </c>
      <c r="DH316" s="81" t="s">
        <v>15</v>
      </c>
      <c r="DI316" s="81">
        <f t="shared" si="242"/>
        <v>0</v>
      </c>
      <c r="DJ316" s="81">
        <f t="shared" si="243"/>
        <v>0</v>
      </c>
      <c r="DK316" s="81" t="s">
        <v>5538</v>
      </c>
      <c r="DL316" s="81">
        <f t="shared" si="244"/>
        <v>0</v>
      </c>
      <c r="DM316" s="81">
        <f t="shared" si="245"/>
        <v>0</v>
      </c>
      <c r="DN316" s="81" t="s">
        <v>7</v>
      </c>
      <c r="DO316" s="81">
        <f t="shared" si="246"/>
        <v>0</v>
      </c>
      <c r="DP316" s="81">
        <f t="shared" si="247"/>
        <v>0</v>
      </c>
      <c r="DQ316" s="81" t="s">
        <v>1</v>
      </c>
      <c r="DR316" s="81">
        <f t="shared" si="248"/>
        <v>0</v>
      </c>
      <c r="DS316" s="81">
        <f t="shared" si="249"/>
        <v>0</v>
      </c>
    </row>
    <row r="317" spans="35:123" x14ac:dyDescent="0.3">
      <c r="AI317" s="81">
        <v>314</v>
      </c>
      <c r="AJ317" s="81" t="str">
        <f t="shared" si="208"/>
        <v>Oktober 44</v>
      </c>
      <c r="AK317" s="81" t="str">
        <f t="shared" si="254"/>
        <v>Oktober</v>
      </c>
      <c r="AL317" s="81">
        <f t="shared" si="253"/>
        <v>44</v>
      </c>
      <c r="BL317" s="81" t="s">
        <v>981</v>
      </c>
      <c r="BM317" s="81">
        <v>314</v>
      </c>
      <c r="BN317" s="81">
        <f t="shared" si="211"/>
        <v>0</v>
      </c>
      <c r="CA317" s="81" t="s">
        <v>2</v>
      </c>
      <c r="CB317" s="81">
        <f t="shared" si="220"/>
        <v>0</v>
      </c>
      <c r="CC317" s="81">
        <f t="shared" si="221"/>
        <v>0</v>
      </c>
      <c r="CD317" s="81" t="s">
        <v>16</v>
      </c>
      <c r="CE317" s="81">
        <f t="shared" si="222"/>
        <v>0</v>
      </c>
      <c r="CF317" s="81">
        <f t="shared" si="223"/>
        <v>0</v>
      </c>
      <c r="CG317" s="81" t="s">
        <v>5</v>
      </c>
      <c r="CH317" s="81">
        <f t="shared" si="224"/>
        <v>0</v>
      </c>
      <c r="CI317" s="81">
        <f t="shared" si="225"/>
        <v>0</v>
      </c>
      <c r="CJ317" s="81" t="s">
        <v>18</v>
      </c>
      <c r="CK317" s="81">
        <f t="shared" si="226"/>
        <v>0</v>
      </c>
      <c r="CL317" s="81">
        <f t="shared" si="227"/>
        <v>0</v>
      </c>
      <c r="CM317" s="81" t="s">
        <v>4</v>
      </c>
      <c r="CN317" s="81">
        <f t="shared" si="228"/>
        <v>0</v>
      </c>
      <c r="CO317" s="81">
        <f t="shared" si="229"/>
        <v>0</v>
      </c>
      <c r="CP317" s="81" t="s">
        <v>22</v>
      </c>
      <c r="CQ317" s="81">
        <f t="shared" si="230"/>
        <v>0</v>
      </c>
      <c r="CR317" s="81">
        <f t="shared" si="231"/>
        <v>0</v>
      </c>
      <c r="CS317" s="81" t="s">
        <v>21</v>
      </c>
      <c r="CT317" s="81">
        <f t="shared" si="232"/>
        <v>0</v>
      </c>
      <c r="CU317" s="81">
        <f t="shared" si="233"/>
        <v>0</v>
      </c>
      <c r="CV317" s="81" t="s">
        <v>998</v>
      </c>
      <c r="CW317" s="81">
        <f t="shared" si="234"/>
        <v>0</v>
      </c>
      <c r="CX317" s="81">
        <f t="shared" si="235"/>
        <v>0</v>
      </c>
      <c r="CY317" s="81" t="s">
        <v>19</v>
      </c>
      <c r="CZ317" s="81">
        <f t="shared" si="236"/>
        <v>0</v>
      </c>
      <c r="DA317" s="81">
        <f t="shared" si="237"/>
        <v>0</v>
      </c>
      <c r="DB317" s="81" t="s">
        <v>20</v>
      </c>
      <c r="DC317" s="81">
        <f t="shared" si="238"/>
        <v>0</v>
      </c>
      <c r="DD317" s="81">
        <f t="shared" si="239"/>
        <v>0</v>
      </c>
      <c r="DE317" s="81" t="s">
        <v>23</v>
      </c>
      <c r="DF317" s="81">
        <f t="shared" si="240"/>
        <v>0</v>
      </c>
      <c r="DG317" s="81">
        <f t="shared" si="241"/>
        <v>0</v>
      </c>
      <c r="DH317" s="81" t="s">
        <v>15</v>
      </c>
      <c r="DI317" s="81">
        <f t="shared" si="242"/>
        <v>0</v>
      </c>
      <c r="DJ317" s="81">
        <f t="shared" si="243"/>
        <v>0</v>
      </c>
      <c r="DK317" s="81" t="s">
        <v>5539</v>
      </c>
      <c r="DL317" s="81">
        <f t="shared" si="244"/>
        <v>0</v>
      </c>
      <c r="DM317" s="81">
        <f t="shared" si="245"/>
        <v>0</v>
      </c>
      <c r="DN317" s="81" t="s">
        <v>7</v>
      </c>
      <c r="DO317" s="81">
        <f t="shared" si="246"/>
        <v>0</v>
      </c>
      <c r="DP317" s="81">
        <f t="shared" si="247"/>
        <v>0</v>
      </c>
      <c r="DQ317" s="81" t="s">
        <v>1</v>
      </c>
      <c r="DR317" s="81">
        <f t="shared" si="248"/>
        <v>0</v>
      </c>
      <c r="DS317" s="81">
        <f t="shared" si="249"/>
        <v>0</v>
      </c>
    </row>
    <row r="318" spans="35:123" x14ac:dyDescent="0.3">
      <c r="AI318" s="81">
        <v>315</v>
      </c>
      <c r="AJ318" s="81" t="str">
        <f t="shared" si="208"/>
        <v>November 44</v>
      </c>
      <c r="AK318" s="81" t="str">
        <f t="shared" si="254"/>
        <v>November</v>
      </c>
      <c r="AL318" s="81">
        <f t="shared" si="253"/>
        <v>44</v>
      </c>
      <c r="BL318" s="81" t="s">
        <v>982</v>
      </c>
      <c r="BM318" s="81">
        <v>315</v>
      </c>
      <c r="BN318" s="81">
        <f t="shared" si="211"/>
        <v>0</v>
      </c>
      <c r="CA318" s="81" t="s">
        <v>2</v>
      </c>
      <c r="CB318" s="81">
        <f t="shared" si="220"/>
        <v>0</v>
      </c>
      <c r="CC318" s="81">
        <f t="shared" si="221"/>
        <v>0</v>
      </c>
      <c r="CD318" s="81" t="s">
        <v>16</v>
      </c>
      <c r="CE318" s="81">
        <f t="shared" si="222"/>
        <v>0</v>
      </c>
      <c r="CF318" s="81">
        <f t="shared" si="223"/>
        <v>0</v>
      </c>
      <c r="CG318" s="81" t="s">
        <v>5</v>
      </c>
      <c r="CH318" s="81">
        <f t="shared" si="224"/>
        <v>0</v>
      </c>
      <c r="CI318" s="81">
        <f t="shared" si="225"/>
        <v>0</v>
      </c>
      <c r="CJ318" s="81" t="s">
        <v>18</v>
      </c>
      <c r="CK318" s="81">
        <f t="shared" si="226"/>
        <v>0</v>
      </c>
      <c r="CL318" s="81">
        <f t="shared" si="227"/>
        <v>0</v>
      </c>
      <c r="CM318" s="81" t="s">
        <v>4</v>
      </c>
      <c r="CN318" s="81">
        <f t="shared" si="228"/>
        <v>0</v>
      </c>
      <c r="CO318" s="81">
        <f t="shared" si="229"/>
        <v>0</v>
      </c>
      <c r="CP318" s="81" t="s">
        <v>22</v>
      </c>
      <c r="CQ318" s="81">
        <f t="shared" si="230"/>
        <v>0</v>
      </c>
      <c r="CR318" s="81">
        <f t="shared" si="231"/>
        <v>0</v>
      </c>
      <c r="CS318" s="81" t="s">
        <v>21</v>
      </c>
      <c r="CT318" s="81">
        <f t="shared" si="232"/>
        <v>0</v>
      </c>
      <c r="CU318" s="81">
        <f t="shared" si="233"/>
        <v>0</v>
      </c>
      <c r="CV318" s="81" t="s">
        <v>998</v>
      </c>
      <c r="CW318" s="81">
        <f t="shared" si="234"/>
        <v>0</v>
      </c>
      <c r="CX318" s="81">
        <f t="shared" si="235"/>
        <v>0</v>
      </c>
      <c r="CY318" s="81" t="s">
        <v>19</v>
      </c>
      <c r="CZ318" s="81">
        <f t="shared" si="236"/>
        <v>0</v>
      </c>
      <c r="DA318" s="81">
        <f t="shared" si="237"/>
        <v>0</v>
      </c>
      <c r="DB318" s="81" t="s">
        <v>20</v>
      </c>
      <c r="DC318" s="81">
        <f t="shared" si="238"/>
        <v>0</v>
      </c>
      <c r="DD318" s="81">
        <f t="shared" si="239"/>
        <v>0</v>
      </c>
      <c r="DE318" s="81" t="s">
        <v>23</v>
      </c>
      <c r="DF318" s="81">
        <f t="shared" si="240"/>
        <v>0</v>
      </c>
      <c r="DG318" s="81">
        <f t="shared" si="241"/>
        <v>0</v>
      </c>
      <c r="DH318" s="81" t="s">
        <v>15</v>
      </c>
      <c r="DI318" s="81">
        <f t="shared" si="242"/>
        <v>0</v>
      </c>
      <c r="DJ318" s="81">
        <f t="shared" si="243"/>
        <v>0</v>
      </c>
      <c r="DK318" s="81" t="s">
        <v>5540</v>
      </c>
      <c r="DL318" s="81">
        <f t="shared" si="244"/>
        <v>0</v>
      </c>
      <c r="DM318" s="81">
        <f t="shared" si="245"/>
        <v>0</v>
      </c>
      <c r="DN318" s="81" t="s">
        <v>7</v>
      </c>
      <c r="DO318" s="81">
        <f t="shared" si="246"/>
        <v>0</v>
      </c>
      <c r="DP318" s="81">
        <f t="shared" si="247"/>
        <v>0</v>
      </c>
      <c r="DQ318" s="81" t="s">
        <v>1</v>
      </c>
      <c r="DR318" s="81">
        <f t="shared" si="248"/>
        <v>0</v>
      </c>
      <c r="DS318" s="81">
        <f t="shared" si="249"/>
        <v>0</v>
      </c>
    </row>
    <row r="319" spans="35:123" x14ac:dyDescent="0.3">
      <c r="AI319" s="81">
        <v>316</v>
      </c>
      <c r="AJ319" s="81" t="str">
        <f t="shared" si="208"/>
        <v>December 44</v>
      </c>
      <c r="AK319" s="81" t="str">
        <f t="shared" si="254"/>
        <v>December</v>
      </c>
      <c r="AL319" s="81">
        <f t="shared" si="253"/>
        <v>44</v>
      </c>
      <c r="BL319" s="81" t="s">
        <v>983</v>
      </c>
      <c r="BM319" s="81">
        <v>316</v>
      </c>
      <c r="BN319" s="81">
        <f t="shared" si="211"/>
        <v>0</v>
      </c>
      <c r="CA319" s="81" t="s">
        <v>2</v>
      </c>
      <c r="CB319" s="81">
        <f t="shared" si="220"/>
        <v>0</v>
      </c>
      <c r="CC319" s="81">
        <f t="shared" si="221"/>
        <v>0</v>
      </c>
      <c r="CD319" s="81" t="s">
        <v>16</v>
      </c>
      <c r="CE319" s="81">
        <f t="shared" si="222"/>
        <v>0</v>
      </c>
      <c r="CF319" s="81">
        <f t="shared" si="223"/>
        <v>0</v>
      </c>
      <c r="CG319" s="81" t="s">
        <v>5</v>
      </c>
      <c r="CH319" s="81">
        <f t="shared" si="224"/>
        <v>0</v>
      </c>
      <c r="CI319" s="81">
        <f t="shared" si="225"/>
        <v>0</v>
      </c>
      <c r="CJ319" s="81" t="s">
        <v>18</v>
      </c>
      <c r="CK319" s="81">
        <f t="shared" si="226"/>
        <v>0</v>
      </c>
      <c r="CL319" s="81">
        <f t="shared" si="227"/>
        <v>0</v>
      </c>
      <c r="CM319" s="81" t="s">
        <v>4</v>
      </c>
      <c r="CN319" s="81">
        <f t="shared" si="228"/>
        <v>0</v>
      </c>
      <c r="CO319" s="81">
        <f t="shared" si="229"/>
        <v>0</v>
      </c>
      <c r="CP319" s="81" t="s">
        <v>22</v>
      </c>
      <c r="CQ319" s="81">
        <f t="shared" si="230"/>
        <v>0</v>
      </c>
      <c r="CR319" s="81">
        <f t="shared" si="231"/>
        <v>0</v>
      </c>
      <c r="CS319" s="81" t="s">
        <v>21</v>
      </c>
      <c r="CT319" s="81">
        <f t="shared" si="232"/>
        <v>0</v>
      </c>
      <c r="CU319" s="81">
        <f t="shared" si="233"/>
        <v>0</v>
      </c>
      <c r="CV319" s="81" t="s">
        <v>998</v>
      </c>
      <c r="CW319" s="81">
        <f t="shared" si="234"/>
        <v>0</v>
      </c>
      <c r="CX319" s="81">
        <f t="shared" si="235"/>
        <v>0</v>
      </c>
      <c r="CY319" s="81" t="s">
        <v>19</v>
      </c>
      <c r="CZ319" s="81">
        <f t="shared" si="236"/>
        <v>0</v>
      </c>
      <c r="DA319" s="81">
        <f t="shared" si="237"/>
        <v>0</v>
      </c>
      <c r="DB319" s="81" t="s">
        <v>20</v>
      </c>
      <c r="DC319" s="81">
        <f t="shared" si="238"/>
        <v>0</v>
      </c>
      <c r="DD319" s="81">
        <f t="shared" si="239"/>
        <v>0</v>
      </c>
      <c r="DE319" s="81" t="s">
        <v>23</v>
      </c>
      <c r="DF319" s="81">
        <f t="shared" si="240"/>
        <v>0</v>
      </c>
      <c r="DG319" s="81">
        <f t="shared" si="241"/>
        <v>0</v>
      </c>
      <c r="DH319" s="81" t="s">
        <v>15</v>
      </c>
      <c r="DI319" s="81">
        <f t="shared" si="242"/>
        <v>0</v>
      </c>
      <c r="DJ319" s="81">
        <f t="shared" si="243"/>
        <v>0</v>
      </c>
      <c r="DK319" s="81" t="s">
        <v>5541</v>
      </c>
      <c r="DL319" s="81">
        <f t="shared" si="244"/>
        <v>0</v>
      </c>
      <c r="DM319" s="81">
        <f t="shared" si="245"/>
        <v>0</v>
      </c>
      <c r="DN319" s="81" t="s">
        <v>7</v>
      </c>
      <c r="DO319" s="81">
        <f t="shared" si="246"/>
        <v>0</v>
      </c>
      <c r="DP319" s="81">
        <f t="shared" si="247"/>
        <v>0</v>
      </c>
      <c r="DQ319" s="81" t="s">
        <v>1</v>
      </c>
      <c r="DR319" s="81">
        <f t="shared" si="248"/>
        <v>0</v>
      </c>
      <c r="DS319" s="81">
        <f t="shared" si="249"/>
        <v>0</v>
      </c>
    </row>
    <row r="320" spans="35:123" x14ac:dyDescent="0.3">
      <c r="AI320" s="81">
        <v>317</v>
      </c>
      <c r="AJ320" s="81" t="str">
        <f t="shared" si="208"/>
        <v>Januari 45</v>
      </c>
      <c r="AK320" s="81" t="str">
        <f t="shared" si="254"/>
        <v>Januari</v>
      </c>
      <c r="AL320" s="81">
        <f t="shared" si="253"/>
        <v>45</v>
      </c>
      <c r="BL320" s="81" t="s">
        <v>984</v>
      </c>
      <c r="BM320" s="81">
        <v>317</v>
      </c>
      <c r="BN320" s="81">
        <f t="shared" si="211"/>
        <v>0</v>
      </c>
      <c r="CA320" s="81" t="s">
        <v>2</v>
      </c>
      <c r="CB320" s="81">
        <f t="shared" si="220"/>
        <v>0</v>
      </c>
      <c r="CC320" s="81">
        <f t="shared" si="221"/>
        <v>0</v>
      </c>
      <c r="CD320" s="81" t="s">
        <v>16</v>
      </c>
      <c r="CE320" s="81">
        <f t="shared" si="222"/>
        <v>0</v>
      </c>
      <c r="CF320" s="81">
        <f t="shared" si="223"/>
        <v>0</v>
      </c>
      <c r="CG320" s="81" t="s">
        <v>5</v>
      </c>
      <c r="CH320" s="81">
        <f t="shared" si="224"/>
        <v>0</v>
      </c>
      <c r="CI320" s="81">
        <f t="shared" si="225"/>
        <v>0</v>
      </c>
      <c r="CJ320" s="81" t="s">
        <v>18</v>
      </c>
      <c r="CK320" s="81">
        <f t="shared" si="226"/>
        <v>0</v>
      </c>
      <c r="CL320" s="81">
        <f t="shared" si="227"/>
        <v>0</v>
      </c>
      <c r="CM320" s="81" t="s">
        <v>4</v>
      </c>
      <c r="CN320" s="81">
        <f t="shared" si="228"/>
        <v>0</v>
      </c>
      <c r="CO320" s="81">
        <f t="shared" si="229"/>
        <v>0</v>
      </c>
      <c r="CP320" s="81" t="s">
        <v>22</v>
      </c>
      <c r="CQ320" s="81">
        <f t="shared" si="230"/>
        <v>0</v>
      </c>
      <c r="CR320" s="81">
        <f t="shared" si="231"/>
        <v>0</v>
      </c>
      <c r="CS320" s="81" t="s">
        <v>21</v>
      </c>
      <c r="CT320" s="81">
        <f t="shared" si="232"/>
        <v>0</v>
      </c>
      <c r="CU320" s="81">
        <f t="shared" si="233"/>
        <v>0</v>
      </c>
      <c r="CV320" s="81" t="s">
        <v>998</v>
      </c>
      <c r="CW320" s="81">
        <f t="shared" si="234"/>
        <v>0</v>
      </c>
      <c r="CX320" s="81">
        <f t="shared" si="235"/>
        <v>0</v>
      </c>
      <c r="CY320" s="81" t="s">
        <v>19</v>
      </c>
      <c r="CZ320" s="81">
        <f t="shared" si="236"/>
        <v>0</v>
      </c>
      <c r="DA320" s="81">
        <f t="shared" si="237"/>
        <v>0</v>
      </c>
      <c r="DB320" s="81" t="s">
        <v>20</v>
      </c>
      <c r="DC320" s="81">
        <f t="shared" si="238"/>
        <v>0</v>
      </c>
      <c r="DD320" s="81">
        <f t="shared" si="239"/>
        <v>0</v>
      </c>
      <c r="DE320" s="81" t="s">
        <v>23</v>
      </c>
      <c r="DF320" s="81">
        <f t="shared" si="240"/>
        <v>0</v>
      </c>
      <c r="DG320" s="81">
        <f t="shared" si="241"/>
        <v>0</v>
      </c>
      <c r="DH320" s="81" t="s">
        <v>15</v>
      </c>
      <c r="DI320" s="81">
        <f t="shared" si="242"/>
        <v>0</v>
      </c>
      <c r="DJ320" s="81">
        <f t="shared" si="243"/>
        <v>0</v>
      </c>
      <c r="DK320" s="81" t="s">
        <v>5542</v>
      </c>
      <c r="DL320" s="81">
        <f t="shared" si="244"/>
        <v>0</v>
      </c>
      <c r="DM320" s="81">
        <f t="shared" si="245"/>
        <v>0</v>
      </c>
      <c r="DN320" s="81" t="s">
        <v>7</v>
      </c>
      <c r="DO320" s="81">
        <f t="shared" si="246"/>
        <v>0</v>
      </c>
      <c r="DP320" s="81">
        <f t="shared" si="247"/>
        <v>0</v>
      </c>
      <c r="DQ320" s="81" t="s">
        <v>1</v>
      </c>
      <c r="DR320" s="81">
        <f t="shared" si="248"/>
        <v>0</v>
      </c>
      <c r="DS320" s="81">
        <f t="shared" si="249"/>
        <v>0</v>
      </c>
    </row>
    <row r="321" spans="35:123" x14ac:dyDescent="0.3">
      <c r="AI321" s="81">
        <v>318</v>
      </c>
      <c r="AJ321" s="81" t="str">
        <f t="shared" si="208"/>
        <v>Februari 45</v>
      </c>
      <c r="AK321" s="81" t="str">
        <f t="shared" si="254"/>
        <v>Februari</v>
      </c>
      <c r="AL321" s="81">
        <f t="shared" si="253"/>
        <v>45</v>
      </c>
      <c r="BL321" s="81" t="s">
        <v>985</v>
      </c>
      <c r="BM321" s="81">
        <v>318</v>
      </c>
      <c r="BN321" s="81">
        <f t="shared" si="211"/>
        <v>0</v>
      </c>
      <c r="CA321" s="81" t="s">
        <v>2</v>
      </c>
      <c r="CB321" s="81">
        <f t="shared" si="220"/>
        <v>0</v>
      </c>
      <c r="CC321" s="81">
        <f t="shared" si="221"/>
        <v>0</v>
      </c>
      <c r="CD321" s="81" t="s">
        <v>16</v>
      </c>
      <c r="CE321" s="81">
        <f t="shared" si="222"/>
        <v>0</v>
      </c>
      <c r="CF321" s="81">
        <f t="shared" si="223"/>
        <v>0</v>
      </c>
      <c r="CG321" s="81" t="s">
        <v>5</v>
      </c>
      <c r="CH321" s="81">
        <f t="shared" si="224"/>
        <v>0</v>
      </c>
      <c r="CI321" s="81">
        <f t="shared" si="225"/>
        <v>0</v>
      </c>
      <c r="CJ321" s="81" t="s">
        <v>18</v>
      </c>
      <c r="CK321" s="81">
        <f t="shared" si="226"/>
        <v>0</v>
      </c>
      <c r="CL321" s="81">
        <f t="shared" si="227"/>
        <v>0</v>
      </c>
      <c r="CM321" s="81" t="s">
        <v>4</v>
      </c>
      <c r="CN321" s="81">
        <f t="shared" si="228"/>
        <v>0</v>
      </c>
      <c r="CO321" s="81">
        <f t="shared" si="229"/>
        <v>0</v>
      </c>
      <c r="CP321" s="81" t="s">
        <v>22</v>
      </c>
      <c r="CQ321" s="81">
        <f t="shared" si="230"/>
        <v>0</v>
      </c>
      <c r="CR321" s="81">
        <f t="shared" si="231"/>
        <v>0</v>
      </c>
      <c r="CS321" s="81" t="s">
        <v>21</v>
      </c>
      <c r="CT321" s="81">
        <f t="shared" si="232"/>
        <v>0</v>
      </c>
      <c r="CU321" s="81">
        <f t="shared" si="233"/>
        <v>0</v>
      </c>
      <c r="CV321" s="81" t="s">
        <v>998</v>
      </c>
      <c r="CW321" s="81">
        <f t="shared" si="234"/>
        <v>0</v>
      </c>
      <c r="CX321" s="81">
        <f t="shared" si="235"/>
        <v>0</v>
      </c>
      <c r="CY321" s="81" t="s">
        <v>19</v>
      </c>
      <c r="CZ321" s="81">
        <f t="shared" si="236"/>
        <v>0</v>
      </c>
      <c r="DA321" s="81">
        <f t="shared" si="237"/>
        <v>0</v>
      </c>
      <c r="DB321" s="81" t="s">
        <v>20</v>
      </c>
      <c r="DC321" s="81">
        <f t="shared" si="238"/>
        <v>0</v>
      </c>
      <c r="DD321" s="81">
        <f t="shared" si="239"/>
        <v>0</v>
      </c>
      <c r="DE321" s="81" t="s">
        <v>23</v>
      </c>
      <c r="DF321" s="81">
        <f t="shared" si="240"/>
        <v>0</v>
      </c>
      <c r="DG321" s="81">
        <f t="shared" si="241"/>
        <v>0</v>
      </c>
      <c r="DH321" s="81" t="s">
        <v>15</v>
      </c>
      <c r="DI321" s="81">
        <f t="shared" si="242"/>
        <v>0</v>
      </c>
      <c r="DJ321" s="81">
        <f t="shared" si="243"/>
        <v>0</v>
      </c>
      <c r="DK321" s="81" t="s">
        <v>5543</v>
      </c>
      <c r="DL321" s="81">
        <f t="shared" si="244"/>
        <v>0</v>
      </c>
      <c r="DM321" s="81">
        <f t="shared" si="245"/>
        <v>0</v>
      </c>
      <c r="DN321" s="81" t="s">
        <v>7</v>
      </c>
      <c r="DO321" s="81">
        <f t="shared" si="246"/>
        <v>0</v>
      </c>
      <c r="DP321" s="81">
        <f t="shared" si="247"/>
        <v>0</v>
      </c>
      <c r="DQ321" s="81" t="s">
        <v>1</v>
      </c>
      <c r="DR321" s="81">
        <f t="shared" si="248"/>
        <v>0</v>
      </c>
      <c r="DS321" s="81">
        <f t="shared" si="249"/>
        <v>0</v>
      </c>
    </row>
    <row r="322" spans="35:123" x14ac:dyDescent="0.3">
      <c r="AI322" s="81">
        <v>319</v>
      </c>
      <c r="AJ322" s="81" t="str">
        <f t="shared" si="208"/>
        <v>Mars 45</v>
      </c>
      <c r="AK322" s="81" t="str">
        <f t="shared" si="254"/>
        <v>Mars</v>
      </c>
      <c r="AL322" s="81">
        <f t="shared" si="253"/>
        <v>45</v>
      </c>
      <c r="BL322" s="81" t="s">
        <v>986</v>
      </c>
      <c r="BM322" s="81">
        <v>319</v>
      </c>
      <c r="BN322" s="81">
        <f t="shared" si="211"/>
        <v>0</v>
      </c>
      <c r="CA322" s="81" t="s">
        <v>2</v>
      </c>
      <c r="CB322" s="81">
        <f t="shared" si="220"/>
        <v>0</v>
      </c>
      <c r="CC322" s="81">
        <f t="shared" si="221"/>
        <v>0</v>
      </c>
      <c r="CD322" s="81" t="s">
        <v>16</v>
      </c>
      <c r="CE322" s="81">
        <f t="shared" si="222"/>
        <v>0</v>
      </c>
      <c r="CF322" s="81">
        <f t="shared" si="223"/>
        <v>0</v>
      </c>
      <c r="CG322" s="81" t="s">
        <v>5</v>
      </c>
      <c r="CH322" s="81">
        <f t="shared" si="224"/>
        <v>0</v>
      </c>
      <c r="CI322" s="81">
        <f t="shared" si="225"/>
        <v>0</v>
      </c>
      <c r="CJ322" s="81" t="s">
        <v>18</v>
      </c>
      <c r="CK322" s="81">
        <f t="shared" si="226"/>
        <v>0</v>
      </c>
      <c r="CL322" s="81">
        <f t="shared" si="227"/>
        <v>0</v>
      </c>
      <c r="CM322" s="81" t="s">
        <v>4</v>
      </c>
      <c r="CN322" s="81">
        <f t="shared" si="228"/>
        <v>0</v>
      </c>
      <c r="CO322" s="81">
        <f t="shared" si="229"/>
        <v>0</v>
      </c>
      <c r="CP322" s="81" t="s">
        <v>22</v>
      </c>
      <c r="CQ322" s="81">
        <f t="shared" si="230"/>
        <v>0</v>
      </c>
      <c r="CR322" s="81">
        <f t="shared" si="231"/>
        <v>0</v>
      </c>
      <c r="CS322" s="81" t="s">
        <v>21</v>
      </c>
      <c r="CT322" s="81">
        <f t="shared" si="232"/>
        <v>0</v>
      </c>
      <c r="CU322" s="81">
        <f t="shared" si="233"/>
        <v>0</v>
      </c>
      <c r="CV322" s="81" t="s">
        <v>998</v>
      </c>
      <c r="CW322" s="81">
        <f t="shared" si="234"/>
        <v>0</v>
      </c>
      <c r="CX322" s="81">
        <f t="shared" si="235"/>
        <v>0</v>
      </c>
      <c r="CY322" s="81" t="s">
        <v>19</v>
      </c>
      <c r="CZ322" s="81">
        <f t="shared" si="236"/>
        <v>0</v>
      </c>
      <c r="DA322" s="81">
        <f t="shared" si="237"/>
        <v>0</v>
      </c>
      <c r="DB322" s="81" t="s">
        <v>20</v>
      </c>
      <c r="DC322" s="81">
        <f t="shared" si="238"/>
        <v>0</v>
      </c>
      <c r="DD322" s="81">
        <f t="shared" si="239"/>
        <v>0</v>
      </c>
      <c r="DE322" s="81" t="s">
        <v>23</v>
      </c>
      <c r="DF322" s="81">
        <f t="shared" si="240"/>
        <v>0</v>
      </c>
      <c r="DG322" s="81">
        <f t="shared" si="241"/>
        <v>0</v>
      </c>
      <c r="DH322" s="81" t="s">
        <v>15</v>
      </c>
      <c r="DI322" s="81">
        <f t="shared" si="242"/>
        <v>0</v>
      </c>
      <c r="DJ322" s="81">
        <f t="shared" si="243"/>
        <v>0</v>
      </c>
      <c r="DK322" s="81" t="s">
        <v>5544</v>
      </c>
      <c r="DL322" s="81">
        <f t="shared" si="244"/>
        <v>0</v>
      </c>
      <c r="DM322" s="81">
        <f t="shared" si="245"/>
        <v>0</v>
      </c>
      <c r="DN322" s="81" t="s">
        <v>7</v>
      </c>
      <c r="DO322" s="81">
        <f t="shared" si="246"/>
        <v>0</v>
      </c>
      <c r="DP322" s="81">
        <f t="shared" si="247"/>
        <v>0</v>
      </c>
      <c r="DQ322" s="81" t="s">
        <v>1</v>
      </c>
      <c r="DR322" s="81">
        <f t="shared" si="248"/>
        <v>0</v>
      </c>
      <c r="DS322" s="81">
        <f t="shared" si="249"/>
        <v>0</v>
      </c>
    </row>
    <row r="323" spans="35:123" x14ac:dyDescent="0.3">
      <c r="AI323" s="81">
        <v>320</v>
      </c>
      <c r="AJ323" s="81" t="str">
        <f t="shared" ref="AJ323:AJ329" si="255">AK323&amp;" "&amp;AL323</f>
        <v>April 45</v>
      </c>
      <c r="AK323" s="81" t="str">
        <f t="shared" si="254"/>
        <v>April</v>
      </c>
      <c r="AL323" s="81">
        <f t="shared" si="253"/>
        <v>45</v>
      </c>
      <c r="BL323" s="81" t="s">
        <v>987</v>
      </c>
      <c r="BM323" s="81">
        <v>320</v>
      </c>
      <c r="BN323" s="81">
        <f t="shared" ref="BN323:BN330" si="256">IF($A$5=$A$18,AV323,IF($A$5=$A$19,AW323,IF($A$5=$A$20,AX323,IF($A$5=$A$21,AY323,IF($A$5=$A$22,AZ323,IF($A$5=$A$23,BA323,IF($A$5=$A$24,BB323,IF($A$5=$A$25,BC323,IF($A$5=$A$26,BD323,IF($A$5=$A$27,BE323,IF($A$5=$A$28,BF323,IF($A$5=$A$29,BG323,IF($A$5=$A$30,BH323,IF($A$5=$A$12,BJ323,IF($A$5=$A$31,BI323,"")))))))))))))))</f>
        <v>0</v>
      </c>
      <c r="CA323" s="81" t="s">
        <v>2</v>
      </c>
      <c r="CB323" s="81">
        <f t="shared" si="220"/>
        <v>0</v>
      </c>
      <c r="CC323" s="81">
        <f t="shared" si="221"/>
        <v>0</v>
      </c>
      <c r="CD323" s="81" t="s">
        <v>16</v>
      </c>
      <c r="CE323" s="81">
        <f t="shared" si="222"/>
        <v>0</v>
      </c>
      <c r="CF323" s="81">
        <f t="shared" si="223"/>
        <v>0</v>
      </c>
      <c r="CG323" s="81" t="s">
        <v>5</v>
      </c>
      <c r="CH323" s="81">
        <f t="shared" si="224"/>
        <v>0</v>
      </c>
      <c r="CI323" s="81">
        <f t="shared" si="225"/>
        <v>0</v>
      </c>
      <c r="CJ323" s="81" t="s">
        <v>18</v>
      </c>
      <c r="CK323" s="81">
        <f t="shared" si="226"/>
        <v>0</v>
      </c>
      <c r="CL323" s="81">
        <f t="shared" si="227"/>
        <v>0</v>
      </c>
      <c r="CM323" s="81" t="s">
        <v>4</v>
      </c>
      <c r="CN323" s="81">
        <f t="shared" si="228"/>
        <v>0</v>
      </c>
      <c r="CO323" s="81">
        <f t="shared" si="229"/>
        <v>0</v>
      </c>
      <c r="CP323" s="81" t="s">
        <v>22</v>
      </c>
      <c r="CQ323" s="81">
        <f t="shared" si="230"/>
        <v>0</v>
      </c>
      <c r="CR323" s="81">
        <f t="shared" si="231"/>
        <v>0</v>
      </c>
      <c r="CS323" s="81" t="s">
        <v>21</v>
      </c>
      <c r="CT323" s="81">
        <f t="shared" si="232"/>
        <v>0</v>
      </c>
      <c r="CU323" s="81">
        <f t="shared" si="233"/>
        <v>0</v>
      </c>
      <c r="CV323" s="81" t="s">
        <v>998</v>
      </c>
      <c r="CW323" s="81">
        <f t="shared" si="234"/>
        <v>0</v>
      </c>
      <c r="CX323" s="81">
        <f t="shared" si="235"/>
        <v>0</v>
      </c>
      <c r="CY323" s="81" t="s">
        <v>19</v>
      </c>
      <c r="CZ323" s="81">
        <f t="shared" si="236"/>
        <v>0</v>
      </c>
      <c r="DA323" s="81">
        <f t="shared" si="237"/>
        <v>0</v>
      </c>
      <c r="DB323" s="81" t="s">
        <v>20</v>
      </c>
      <c r="DC323" s="81">
        <f t="shared" si="238"/>
        <v>0</v>
      </c>
      <c r="DD323" s="81">
        <f t="shared" si="239"/>
        <v>0</v>
      </c>
      <c r="DE323" s="81" t="s">
        <v>23</v>
      </c>
      <c r="DF323" s="81">
        <f t="shared" si="240"/>
        <v>0</v>
      </c>
      <c r="DG323" s="81">
        <f t="shared" si="241"/>
        <v>0</v>
      </c>
      <c r="DH323" s="81" t="s">
        <v>15</v>
      </c>
      <c r="DI323" s="81">
        <f t="shared" si="242"/>
        <v>0</v>
      </c>
      <c r="DJ323" s="81">
        <f t="shared" si="243"/>
        <v>0</v>
      </c>
      <c r="DK323" s="81" t="s">
        <v>5545</v>
      </c>
      <c r="DL323" s="81">
        <f t="shared" si="244"/>
        <v>0</v>
      </c>
      <c r="DM323" s="81">
        <f t="shared" si="245"/>
        <v>0</v>
      </c>
      <c r="DN323" s="81" t="s">
        <v>7</v>
      </c>
      <c r="DO323" s="81">
        <f t="shared" si="246"/>
        <v>0</v>
      </c>
      <c r="DP323" s="81">
        <f t="shared" si="247"/>
        <v>0</v>
      </c>
      <c r="DQ323" s="81" t="s">
        <v>1</v>
      </c>
      <c r="DR323" s="81">
        <f t="shared" si="248"/>
        <v>0</v>
      </c>
      <c r="DS323" s="81">
        <f t="shared" si="249"/>
        <v>0</v>
      </c>
    </row>
    <row r="324" spans="35:123" x14ac:dyDescent="0.3">
      <c r="AI324" s="81">
        <v>321</v>
      </c>
      <c r="AJ324" s="81" t="str">
        <f t="shared" si="255"/>
        <v>Maj 45</v>
      </c>
      <c r="AK324" s="81" t="str">
        <f t="shared" si="254"/>
        <v>Maj</v>
      </c>
      <c r="AL324" s="81">
        <f t="shared" si="253"/>
        <v>45</v>
      </c>
      <c r="BL324" s="81" t="s">
        <v>988</v>
      </c>
      <c r="BM324" s="81">
        <v>321</v>
      </c>
      <c r="BN324" s="81">
        <f t="shared" si="256"/>
        <v>0</v>
      </c>
      <c r="CA324" s="81" t="s">
        <v>2</v>
      </c>
      <c r="CB324" s="81">
        <f t="shared" si="220"/>
        <v>0</v>
      </c>
      <c r="CC324" s="81">
        <f t="shared" si="221"/>
        <v>0</v>
      </c>
      <c r="CD324" s="81" t="s">
        <v>16</v>
      </c>
      <c r="CE324" s="81">
        <f t="shared" si="222"/>
        <v>0</v>
      </c>
      <c r="CF324" s="81">
        <f t="shared" si="223"/>
        <v>0</v>
      </c>
      <c r="CG324" s="81" t="s">
        <v>5</v>
      </c>
      <c r="CH324" s="81">
        <f t="shared" si="224"/>
        <v>0</v>
      </c>
      <c r="CI324" s="81">
        <f t="shared" si="225"/>
        <v>0</v>
      </c>
      <c r="CJ324" s="81" t="s">
        <v>18</v>
      </c>
      <c r="CK324" s="81">
        <f t="shared" si="226"/>
        <v>0</v>
      </c>
      <c r="CL324" s="81">
        <f t="shared" si="227"/>
        <v>0</v>
      </c>
      <c r="CM324" s="81" t="s">
        <v>4</v>
      </c>
      <c r="CN324" s="81">
        <f t="shared" si="228"/>
        <v>0</v>
      </c>
      <c r="CO324" s="81">
        <f t="shared" si="229"/>
        <v>0</v>
      </c>
      <c r="CP324" s="81" t="s">
        <v>22</v>
      </c>
      <c r="CQ324" s="81">
        <f t="shared" si="230"/>
        <v>0</v>
      </c>
      <c r="CR324" s="81">
        <f t="shared" si="231"/>
        <v>0</v>
      </c>
      <c r="CS324" s="81" t="s">
        <v>21</v>
      </c>
      <c r="CT324" s="81">
        <f t="shared" si="232"/>
        <v>0</v>
      </c>
      <c r="CU324" s="81">
        <f t="shared" si="233"/>
        <v>0</v>
      </c>
      <c r="CV324" s="81" t="s">
        <v>998</v>
      </c>
      <c r="CW324" s="81">
        <f t="shared" si="234"/>
        <v>0</v>
      </c>
      <c r="CX324" s="81">
        <f t="shared" si="235"/>
        <v>0</v>
      </c>
      <c r="CY324" s="81" t="s">
        <v>19</v>
      </c>
      <c r="CZ324" s="81">
        <f t="shared" si="236"/>
        <v>0</v>
      </c>
      <c r="DA324" s="81">
        <f t="shared" si="237"/>
        <v>0</v>
      </c>
      <c r="DB324" s="81" t="s">
        <v>20</v>
      </c>
      <c r="DC324" s="81">
        <f t="shared" si="238"/>
        <v>0</v>
      </c>
      <c r="DD324" s="81">
        <f t="shared" si="239"/>
        <v>0</v>
      </c>
      <c r="DE324" s="81" t="s">
        <v>23</v>
      </c>
      <c r="DF324" s="81">
        <f t="shared" si="240"/>
        <v>0</v>
      </c>
      <c r="DG324" s="81">
        <f t="shared" si="241"/>
        <v>0</v>
      </c>
      <c r="DH324" s="81" t="s">
        <v>15</v>
      </c>
      <c r="DI324" s="81">
        <f t="shared" si="242"/>
        <v>0</v>
      </c>
      <c r="DJ324" s="81">
        <f t="shared" si="243"/>
        <v>0</v>
      </c>
      <c r="DK324" s="81" t="s">
        <v>5546</v>
      </c>
      <c r="DL324" s="81">
        <f t="shared" si="244"/>
        <v>0</v>
      </c>
      <c r="DM324" s="81">
        <f t="shared" si="245"/>
        <v>0</v>
      </c>
      <c r="DN324" s="81" t="s">
        <v>7</v>
      </c>
      <c r="DO324" s="81">
        <f t="shared" si="246"/>
        <v>0</v>
      </c>
      <c r="DP324" s="81">
        <f t="shared" si="247"/>
        <v>0</v>
      </c>
      <c r="DQ324" s="81" t="s">
        <v>1</v>
      </c>
      <c r="DR324" s="81">
        <f t="shared" si="248"/>
        <v>0</v>
      </c>
      <c r="DS324" s="81">
        <f t="shared" si="249"/>
        <v>0</v>
      </c>
    </row>
    <row r="325" spans="35:123" x14ac:dyDescent="0.3">
      <c r="AI325" s="81">
        <v>322</v>
      </c>
      <c r="AJ325" s="81" t="str">
        <f t="shared" si="255"/>
        <v>Juni 45</v>
      </c>
      <c r="AK325" s="81" t="str">
        <f t="shared" si="254"/>
        <v>Juni</v>
      </c>
      <c r="AL325" s="81">
        <f t="shared" si="253"/>
        <v>45</v>
      </c>
      <c r="BL325" s="81" t="s">
        <v>989</v>
      </c>
      <c r="BM325" s="81">
        <v>322</v>
      </c>
      <c r="BN325" s="81">
        <f t="shared" si="256"/>
        <v>0</v>
      </c>
      <c r="CA325" s="81" t="s">
        <v>2</v>
      </c>
      <c r="CB325" s="81">
        <f t="shared" ref="CB325:CB338" si="257">ROUND(IF(BQ325&lt;$BV$4*(1-$BW$4),BQ325,0),0)</f>
        <v>0</v>
      </c>
      <c r="CC325" s="81">
        <f t="shared" ref="CC325:CC328" si="258">IF(BQ325&gt;$BV$4*(1+$BW$4),BQ325,0)</f>
        <v>0</v>
      </c>
      <c r="CD325" s="81" t="s">
        <v>16</v>
      </c>
      <c r="CE325" s="81">
        <f t="shared" ref="CE325:CE328" si="259">IF(BQ325&lt;$BV$5*(1-$BW$5),BQ325,0)</f>
        <v>0</v>
      </c>
      <c r="CF325" s="81">
        <f t="shared" ref="CF325:CF328" si="260">IF(BQ325&gt;$BV$5*(1+$BW$5),BQ325,0)</f>
        <v>0</v>
      </c>
      <c r="CG325" s="81" t="s">
        <v>5</v>
      </c>
      <c r="CH325" s="81">
        <f t="shared" ref="CH325:CH328" si="261">IF(BQ325&lt;$BV$6*(1-$BW$6),BQ325,0)</f>
        <v>0</v>
      </c>
      <c r="CI325" s="81">
        <f t="shared" ref="CI325:CI328" si="262">IF(BQ325&gt;$BV$6*(1+$BW$6),BQ325,0)</f>
        <v>0</v>
      </c>
      <c r="CJ325" s="81" t="s">
        <v>18</v>
      </c>
      <c r="CK325" s="81">
        <f t="shared" ref="CK325:CK328" si="263">IF(BQ325&lt;$BV$7*(1-$BW$7),BQ325,0)</f>
        <v>0</v>
      </c>
      <c r="CL325" s="81">
        <f t="shared" ref="CL325:CL328" si="264">ROUND(IF(BQ325&gt;$BV$7*(1+$BW$7),BQ325,0),0)</f>
        <v>0</v>
      </c>
      <c r="CM325" s="81" t="s">
        <v>4</v>
      </c>
      <c r="CN325" s="81">
        <f t="shared" ref="CN325:CN328" si="265">IF(BQ325&lt;$BV$8*(1-$BW$8),BQ325,0)</f>
        <v>0</v>
      </c>
      <c r="CO325" s="81">
        <f t="shared" ref="CO325:CO328" si="266">IF(BQ325&gt;$BV$8*(1+$BW$8),BQ325,0)</f>
        <v>0</v>
      </c>
      <c r="CP325" s="81" t="s">
        <v>22</v>
      </c>
      <c r="CQ325" s="81">
        <f t="shared" ref="CQ325:CQ328" si="267">IF(BQ325&lt;$BV$9*(1-$BW$9),BQ325,0)</f>
        <v>0</v>
      </c>
      <c r="CR325" s="81">
        <f t="shared" ref="CR325:CR328" si="268">IF(BQ325&gt;$BV$9*(1+$BW$9),BQ325,0)</f>
        <v>0</v>
      </c>
      <c r="CS325" s="81" t="s">
        <v>21</v>
      </c>
      <c r="CT325" s="81">
        <f t="shared" ref="CT325:CT328" si="269">IF(BQ325&lt;$BV$10*(1-$BW$10),BQ325,0)</f>
        <v>0</v>
      </c>
      <c r="CU325" s="81">
        <f t="shared" ref="CU325:CU328" si="270">IF(BQ325&gt;$BV$10*(1+$BW$10),BQ325,0)</f>
        <v>0</v>
      </c>
      <c r="CV325" s="81" t="s">
        <v>998</v>
      </c>
      <c r="CW325" s="81">
        <f t="shared" ref="CW325:CW328" si="271">IF(BQ325&lt;$BV$11*(1-$BW$11),BQ325,0)</f>
        <v>0</v>
      </c>
      <c r="CX325" s="81">
        <f t="shared" ref="CX325:CX328" si="272">IF(BQ325&gt;$BV$11*(1+$BW$11),BQ325,0)</f>
        <v>0</v>
      </c>
      <c r="CY325" s="81" t="s">
        <v>19</v>
      </c>
      <c r="CZ325" s="81">
        <f t="shared" ref="CZ325:CZ328" si="273">IF(BQ325&lt;$BV$12*(1-$BW$12),BQ325,0)</f>
        <v>0</v>
      </c>
      <c r="DA325" s="81">
        <f t="shared" ref="DA325:DA328" si="274">IF(BQ325&gt;$BV$12*(1+$BW$12),BQ325,0)</f>
        <v>0</v>
      </c>
      <c r="DB325" s="81" t="s">
        <v>20</v>
      </c>
      <c r="DC325" s="81">
        <f t="shared" ref="DC325:DC328" si="275">IF(BQ325&lt;$BV$13*(1-$BW$13),BQ325,0)</f>
        <v>0</v>
      </c>
      <c r="DD325" s="81">
        <f t="shared" ref="DD325:DD328" si="276">IF(BQ325&gt;$BV$13*(1+$BW$13),BQ325,0)</f>
        <v>0</v>
      </c>
      <c r="DE325" s="81" t="s">
        <v>23</v>
      </c>
      <c r="DF325" s="81">
        <f t="shared" ref="DF325:DF328" si="277">IF(BQ325&lt;$BV$14*(1-$BW$14),BQ325,0)</f>
        <v>0</v>
      </c>
      <c r="DG325" s="81">
        <f t="shared" ref="DG325:DG328" si="278">IF(BQ325&gt;$BV$14*(1+$BW$14),BQ325,0)</f>
        <v>0</v>
      </c>
      <c r="DH325" s="81" t="s">
        <v>15</v>
      </c>
      <c r="DI325" s="81">
        <f t="shared" ref="DI325:DI328" si="279">IF(BQ325&lt;$BV$15*(1-$BW$15),BQ325,0)</f>
        <v>0</v>
      </c>
      <c r="DJ325" s="81">
        <f t="shared" ref="DJ325:DJ328" si="280">IF(BQ325&gt;$BV$15*(1+$BW$15),BQ325,0)</f>
        <v>0</v>
      </c>
      <c r="DK325" s="81" t="s">
        <v>5547</v>
      </c>
      <c r="DL325" s="81">
        <f t="shared" ref="DL325:DL328" si="281">IF(BQ325&lt;$BV$16*(1-$BW$16),BQ325,0)</f>
        <v>0</v>
      </c>
      <c r="DM325" s="81">
        <f t="shared" ref="DM325:DM328" si="282">IF(BQ325&gt;$BV$16*(1+$BW$16),BQ325,0)</f>
        <v>0</v>
      </c>
      <c r="DN325" s="81" t="s">
        <v>7</v>
      </c>
      <c r="DO325" s="81">
        <f t="shared" ref="DO325:DO328" si="283">IF(BQ325&lt;$BV$17*(1-$BW$17),BQ325,0)</f>
        <v>0</v>
      </c>
      <c r="DP325" s="81">
        <f t="shared" ref="DP325:DP328" si="284">IF(BQ325&gt;$BV$17*(1+$BW$17),BQ325,0)</f>
        <v>0</v>
      </c>
      <c r="DQ325" s="81" t="s">
        <v>1</v>
      </c>
      <c r="DR325" s="81">
        <f t="shared" ref="DR325:DR328" si="285">IF(BQ325&gt;$BV$18*(1+$BW$18),BQ325,0)</f>
        <v>0</v>
      </c>
      <c r="DS325" s="81">
        <f t="shared" ref="DS325:DS328" si="286">IF(BQ325&lt;$BV$18*(1-$BW$18),BQ325,0)</f>
        <v>0</v>
      </c>
    </row>
    <row r="326" spans="35:123" x14ac:dyDescent="0.3">
      <c r="AI326" s="81">
        <v>323</v>
      </c>
      <c r="AJ326" s="81" t="str">
        <f t="shared" si="255"/>
        <v>Juli 45</v>
      </c>
      <c r="AK326" s="81" t="str">
        <f t="shared" si="254"/>
        <v>Juli</v>
      </c>
      <c r="AL326" s="81">
        <f t="shared" si="253"/>
        <v>45</v>
      </c>
      <c r="BL326" s="81" t="s">
        <v>990</v>
      </c>
      <c r="BM326" s="81">
        <v>323</v>
      </c>
      <c r="BN326" s="81">
        <f t="shared" si="256"/>
        <v>0</v>
      </c>
      <c r="CA326" s="81" t="s">
        <v>2</v>
      </c>
      <c r="CB326" s="81">
        <f t="shared" si="257"/>
        <v>0</v>
      </c>
      <c r="CC326" s="81">
        <f t="shared" si="258"/>
        <v>0</v>
      </c>
      <c r="CD326" s="81" t="s">
        <v>16</v>
      </c>
      <c r="CE326" s="81">
        <f t="shared" si="259"/>
        <v>0</v>
      </c>
      <c r="CF326" s="81">
        <f t="shared" si="260"/>
        <v>0</v>
      </c>
      <c r="CG326" s="81" t="s">
        <v>5</v>
      </c>
      <c r="CH326" s="81">
        <f t="shared" si="261"/>
        <v>0</v>
      </c>
      <c r="CI326" s="81">
        <f t="shared" si="262"/>
        <v>0</v>
      </c>
      <c r="CJ326" s="81" t="s">
        <v>18</v>
      </c>
      <c r="CK326" s="81">
        <f t="shared" si="263"/>
        <v>0</v>
      </c>
      <c r="CL326" s="81">
        <f t="shared" si="264"/>
        <v>0</v>
      </c>
      <c r="CM326" s="81" t="s">
        <v>4</v>
      </c>
      <c r="CN326" s="81">
        <f t="shared" si="265"/>
        <v>0</v>
      </c>
      <c r="CO326" s="81">
        <f t="shared" si="266"/>
        <v>0</v>
      </c>
      <c r="CP326" s="81" t="s">
        <v>22</v>
      </c>
      <c r="CQ326" s="81">
        <f t="shared" si="267"/>
        <v>0</v>
      </c>
      <c r="CR326" s="81">
        <f t="shared" si="268"/>
        <v>0</v>
      </c>
      <c r="CS326" s="81" t="s">
        <v>21</v>
      </c>
      <c r="CT326" s="81">
        <f t="shared" si="269"/>
        <v>0</v>
      </c>
      <c r="CU326" s="81">
        <f t="shared" si="270"/>
        <v>0</v>
      </c>
      <c r="CV326" s="81" t="s">
        <v>998</v>
      </c>
      <c r="CW326" s="81">
        <f t="shared" si="271"/>
        <v>0</v>
      </c>
      <c r="CX326" s="81">
        <f t="shared" si="272"/>
        <v>0</v>
      </c>
      <c r="CY326" s="81" t="s">
        <v>19</v>
      </c>
      <c r="CZ326" s="81">
        <f t="shared" si="273"/>
        <v>0</v>
      </c>
      <c r="DA326" s="81">
        <f t="shared" si="274"/>
        <v>0</v>
      </c>
      <c r="DB326" s="81" t="s">
        <v>20</v>
      </c>
      <c r="DC326" s="81">
        <f t="shared" si="275"/>
        <v>0</v>
      </c>
      <c r="DD326" s="81">
        <f t="shared" si="276"/>
        <v>0</v>
      </c>
      <c r="DE326" s="81" t="s">
        <v>23</v>
      </c>
      <c r="DF326" s="81">
        <f t="shared" si="277"/>
        <v>0</v>
      </c>
      <c r="DG326" s="81">
        <f t="shared" si="278"/>
        <v>0</v>
      </c>
      <c r="DH326" s="81" t="s">
        <v>15</v>
      </c>
      <c r="DI326" s="81">
        <f t="shared" si="279"/>
        <v>0</v>
      </c>
      <c r="DJ326" s="81">
        <f t="shared" si="280"/>
        <v>0</v>
      </c>
      <c r="DK326" s="81" t="s">
        <v>5548</v>
      </c>
      <c r="DL326" s="81">
        <f t="shared" si="281"/>
        <v>0</v>
      </c>
      <c r="DM326" s="81">
        <f t="shared" si="282"/>
        <v>0</v>
      </c>
      <c r="DN326" s="81" t="s">
        <v>7</v>
      </c>
      <c r="DO326" s="81">
        <f t="shared" si="283"/>
        <v>0</v>
      </c>
      <c r="DP326" s="81">
        <f t="shared" si="284"/>
        <v>0</v>
      </c>
      <c r="DQ326" s="81" t="s">
        <v>1</v>
      </c>
      <c r="DR326" s="81">
        <f t="shared" si="285"/>
        <v>0</v>
      </c>
      <c r="DS326" s="81">
        <f t="shared" si="286"/>
        <v>0</v>
      </c>
    </row>
    <row r="327" spans="35:123" x14ac:dyDescent="0.3">
      <c r="AI327" s="81">
        <v>324</v>
      </c>
      <c r="AJ327" s="81" t="str">
        <f t="shared" si="255"/>
        <v>Augusti 45</v>
      </c>
      <c r="AK327" s="81" t="str">
        <f t="shared" si="254"/>
        <v>Augusti</v>
      </c>
      <c r="AL327" s="81">
        <f t="shared" si="253"/>
        <v>45</v>
      </c>
      <c r="BL327" s="81" t="s">
        <v>991</v>
      </c>
      <c r="BM327" s="81">
        <v>324</v>
      </c>
      <c r="BN327" s="81">
        <f t="shared" si="256"/>
        <v>0</v>
      </c>
      <c r="CA327" s="81" t="s">
        <v>2</v>
      </c>
      <c r="CB327" s="81">
        <f t="shared" si="257"/>
        <v>0</v>
      </c>
      <c r="CC327" s="81">
        <f t="shared" si="258"/>
        <v>0</v>
      </c>
      <c r="CD327" s="81" t="s">
        <v>16</v>
      </c>
      <c r="CE327" s="81">
        <f t="shared" si="259"/>
        <v>0</v>
      </c>
      <c r="CF327" s="81">
        <f t="shared" si="260"/>
        <v>0</v>
      </c>
      <c r="CG327" s="81" t="s">
        <v>5</v>
      </c>
      <c r="CH327" s="81">
        <f t="shared" si="261"/>
        <v>0</v>
      </c>
      <c r="CI327" s="81">
        <f t="shared" si="262"/>
        <v>0</v>
      </c>
      <c r="CJ327" s="81" t="s">
        <v>18</v>
      </c>
      <c r="CK327" s="81">
        <f t="shared" si="263"/>
        <v>0</v>
      </c>
      <c r="CL327" s="81">
        <f t="shared" si="264"/>
        <v>0</v>
      </c>
      <c r="CM327" s="81" t="s">
        <v>4</v>
      </c>
      <c r="CN327" s="81">
        <f t="shared" si="265"/>
        <v>0</v>
      </c>
      <c r="CO327" s="81">
        <f t="shared" si="266"/>
        <v>0</v>
      </c>
      <c r="CP327" s="81" t="s">
        <v>22</v>
      </c>
      <c r="CQ327" s="81">
        <f t="shared" si="267"/>
        <v>0</v>
      </c>
      <c r="CR327" s="81">
        <f t="shared" si="268"/>
        <v>0</v>
      </c>
      <c r="CS327" s="81" t="s">
        <v>21</v>
      </c>
      <c r="CT327" s="81">
        <f t="shared" si="269"/>
        <v>0</v>
      </c>
      <c r="CU327" s="81">
        <f t="shared" si="270"/>
        <v>0</v>
      </c>
      <c r="CV327" s="81" t="s">
        <v>998</v>
      </c>
      <c r="CW327" s="81">
        <f t="shared" si="271"/>
        <v>0</v>
      </c>
      <c r="CX327" s="81">
        <f t="shared" si="272"/>
        <v>0</v>
      </c>
      <c r="CY327" s="81" t="s">
        <v>19</v>
      </c>
      <c r="CZ327" s="81">
        <f t="shared" si="273"/>
        <v>0</v>
      </c>
      <c r="DA327" s="81">
        <f t="shared" si="274"/>
        <v>0</v>
      </c>
      <c r="DB327" s="81" t="s">
        <v>20</v>
      </c>
      <c r="DC327" s="81">
        <f t="shared" si="275"/>
        <v>0</v>
      </c>
      <c r="DD327" s="81">
        <f t="shared" si="276"/>
        <v>0</v>
      </c>
      <c r="DE327" s="81" t="s">
        <v>23</v>
      </c>
      <c r="DF327" s="81">
        <f t="shared" si="277"/>
        <v>0</v>
      </c>
      <c r="DG327" s="81">
        <f t="shared" si="278"/>
        <v>0</v>
      </c>
      <c r="DH327" s="81" t="s">
        <v>15</v>
      </c>
      <c r="DI327" s="81">
        <f t="shared" si="279"/>
        <v>0</v>
      </c>
      <c r="DJ327" s="81">
        <f t="shared" si="280"/>
        <v>0</v>
      </c>
      <c r="DK327" s="81" t="s">
        <v>5549</v>
      </c>
      <c r="DL327" s="81">
        <f t="shared" si="281"/>
        <v>0</v>
      </c>
      <c r="DM327" s="81">
        <f t="shared" si="282"/>
        <v>0</v>
      </c>
      <c r="DN327" s="81" t="s">
        <v>7</v>
      </c>
      <c r="DO327" s="81">
        <f t="shared" si="283"/>
        <v>0</v>
      </c>
      <c r="DP327" s="81">
        <f t="shared" si="284"/>
        <v>0</v>
      </c>
      <c r="DQ327" s="81" t="s">
        <v>1</v>
      </c>
      <c r="DR327" s="81">
        <f t="shared" si="285"/>
        <v>0</v>
      </c>
      <c r="DS327" s="81">
        <f t="shared" si="286"/>
        <v>0</v>
      </c>
    </row>
    <row r="328" spans="35:123" x14ac:dyDescent="0.3">
      <c r="AI328" s="81">
        <v>325</v>
      </c>
      <c r="AJ328" s="81" t="str">
        <f t="shared" si="255"/>
        <v>September 45</v>
      </c>
      <c r="AK328" s="81" t="str">
        <f t="shared" si="254"/>
        <v>September</v>
      </c>
      <c r="AL328" s="81">
        <f t="shared" si="253"/>
        <v>45</v>
      </c>
      <c r="BL328" s="81" t="s">
        <v>992</v>
      </c>
      <c r="BM328" s="81">
        <v>325</v>
      </c>
      <c r="BN328" s="81">
        <f t="shared" si="256"/>
        <v>0</v>
      </c>
      <c r="CA328" s="81" t="s">
        <v>2</v>
      </c>
      <c r="CB328" s="81">
        <f t="shared" si="257"/>
        <v>0</v>
      </c>
      <c r="CC328" s="81">
        <f t="shared" si="258"/>
        <v>0</v>
      </c>
      <c r="CD328" s="81" t="s">
        <v>16</v>
      </c>
      <c r="CE328" s="81">
        <f t="shared" si="259"/>
        <v>0</v>
      </c>
      <c r="CF328" s="81">
        <f t="shared" si="260"/>
        <v>0</v>
      </c>
      <c r="CG328" s="81" t="s">
        <v>5</v>
      </c>
      <c r="CH328" s="81">
        <f t="shared" si="261"/>
        <v>0</v>
      </c>
      <c r="CI328" s="81">
        <f t="shared" si="262"/>
        <v>0</v>
      </c>
      <c r="CJ328" s="81" t="s">
        <v>18</v>
      </c>
      <c r="CK328" s="81">
        <f t="shared" si="263"/>
        <v>0</v>
      </c>
      <c r="CL328" s="81">
        <f t="shared" si="264"/>
        <v>0</v>
      </c>
      <c r="CM328" s="81" t="s">
        <v>4</v>
      </c>
      <c r="CN328" s="81">
        <f t="shared" si="265"/>
        <v>0</v>
      </c>
      <c r="CO328" s="81">
        <f t="shared" si="266"/>
        <v>0</v>
      </c>
      <c r="CP328" s="81" t="s">
        <v>22</v>
      </c>
      <c r="CQ328" s="81">
        <f t="shared" si="267"/>
        <v>0</v>
      </c>
      <c r="CR328" s="81">
        <f t="shared" si="268"/>
        <v>0</v>
      </c>
      <c r="CS328" s="81" t="s">
        <v>21</v>
      </c>
      <c r="CT328" s="81">
        <f t="shared" si="269"/>
        <v>0</v>
      </c>
      <c r="CU328" s="81">
        <f t="shared" si="270"/>
        <v>0</v>
      </c>
      <c r="CV328" s="81" t="s">
        <v>998</v>
      </c>
      <c r="CW328" s="81">
        <f t="shared" si="271"/>
        <v>0</v>
      </c>
      <c r="CX328" s="81">
        <f t="shared" si="272"/>
        <v>0</v>
      </c>
      <c r="CY328" s="81" t="s">
        <v>19</v>
      </c>
      <c r="CZ328" s="81">
        <f t="shared" si="273"/>
        <v>0</v>
      </c>
      <c r="DA328" s="81">
        <f t="shared" si="274"/>
        <v>0</v>
      </c>
      <c r="DB328" s="81" t="s">
        <v>20</v>
      </c>
      <c r="DC328" s="81">
        <f t="shared" si="275"/>
        <v>0</v>
      </c>
      <c r="DD328" s="81">
        <f t="shared" si="276"/>
        <v>0</v>
      </c>
      <c r="DE328" s="81" t="s">
        <v>23</v>
      </c>
      <c r="DF328" s="81">
        <f t="shared" si="277"/>
        <v>0</v>
      </c>
      <c r="DG328" s="81">
        <f t="shared" si="278"/>
        <v>0</v>
      </c>
      <c r="DH328" s="81" t="s">
        <v>15</v>
      </c>
      <c r="DI328" s="81">
        <f t="shared" si="279"/>
        <v>0</v>
      </c>
      <c r="DJ328" s="81">
        <f t="shared" si="280"/>
        <v>0</v>
      </c>
      <c r="DK328" s="81" t="s">
        <v>5550</v>
      </c>
      <c r="DL328" s="81">
        <f t="shared" si="281"/>
        <v>0</v>
      </c>
      <c r="DM328" s="81">
        <f t="shared" si="282"/>
        <v>0</v>
      </c>
      <c r="DN328" s="81" t="s">
        <v>7</v>
      </c>
      <c r="DO328" s="81">
        <f t="shared" si="283"/>
        <v>0</v>
      </c>
      <c r="DP328" s="81">
        <f t="shared" si="284"/>
        <v>0</v>
      </c>
      <c r="DQ328" s="81" t="s">
        <v>1</v>
      </c>
      <c r="DR328" s="81">
        <f t="shared" si="285"/>
        <v>0</v>
      </c>
      <c r="DS328" s="81">
        <f t="shared" si="286"/>
        <v>0</v>
      </c>
    </row>
    <row r="329" spans="35:123" x14ac:dyDescent="0.3">
      <c r="AI329" s="81">
        <v>326</v>
      </c>
      <c r="AJ329" s="81" t="str">
        <f t="shared" si="255"/>
        <v>Oktober 45</v>
      </c>
      <c r="AK329" s="81" t="str">
        <f t="shared" si="254"/>
        <v>Oktober</v>
      </c>
      <c r="AL329" s="81">
        <f t="shared" si="253"/>
        <v>45</v>
      </c>
      <c r="BL329" s="81" t="s">
        <v>993</v>
      </c>
      <c r="BM329" s="81">
        <v>326</v>
      </c>
      <c r="BN329" s="81">
        <f t="shared" si="256"/>
        <v>0</v>
      </c>
      <c r="CA329" s="81" t="s">
        <v>2</v>
      </c>
      <c r="CB329" s="81">
        <f t="shared" si="257"/>
        <v>0</v>
      </c>
      <c r="CC329" s="81">
        <f t="shared" ref="CC329:CC338" si="287">IF(BQ329&gt;$BV$4*(1+$BW$4),BQ329,0)</f>
        <v>0</v>
      </c>
    </row>
    <row r="330" spans="35:123" x14ac:dyDescent="0.3">
      <c r="AI330" s="81" t="str">
        <f t="shared" ref="AI330" ca="1" si="288">IF($AG$4&gt;AI329,AI329+1," ")</f>
        <v xml:space="preserve"> </v>
      </c>
      <c r="AJ330" s="81" t="str">
        <f t="shared" ref="AJ330" si="289">IF(AG318&gt;AI329,AK329&amp;" "&amp;AL329," ")</f>
        <v xml:space="preserve"> </v>
      </c>
      <c r="AK330" s="81" t="str">
        <f t="shared" ref="AK330" ca="1" si="290">IF($AG$4&gt;AI329,AK318," ")</f>
        <v xml:space="preserve"> </v>
      </c>
      <c r="AL330" s="81">
        <f t="shared" ref="AL330" si="291">IF(SUM(AL318:AL329)/12=AL329,AL329+1,AL329)</f>
        <v>45</v>
      </c>
      <c r="BL330" s="81" t="s">
        <v>994</v>
      </c>
      <c r="BM330" s="81" t="s">
        <v>994</v>
      </c>
      <c r="BN330" s="81">
        <f t="shared" si="256"/>
        <v>0</v>
      </c>
      <c r="CA330" s="81" t="s">
        <v>2</v>
      </c>
      <c r="CB330" s="81">
        <f t="shared" si="257"/>
        <v>0</v>
      </c>
      <c r="CC330" s="81">
        <f t="shared" si="287"/>
        <v>0</v>
      </c>
    </row>
    <row r="331" spans="35:123" x14ac:dyDescent="0.3">
      <c r="CA331" s="81" t="s">
        <v>2</v>
      </c>
      <c r="CB331" s="81">
        <f t="shared" si="257"/>
        <v>0</v>
      </c>
      <c r="CC331" s="81">
        <f t="shared" si="287"/>
        <v>0</v>
      </c>
    </row>
    <row r="332" spans="35:123" x14ac:dyDescent="0.3">
      <c r="CA332" s="81" t="s">
        <v>2</v>
      </c>
      <c r="CB332" s="81">
        <f t="shared" si="257"/>
        <v>0</v>
      </c>
      <c r="CC332" s="81">
        <f t="shared" si="287"/>
        <v>0</v>
      </c>
    </row>
    <row r="333" spans="35:123" x14ac:dyDescent="0.3">
      <c r="CA333" s="81" t="s">
        <v>2</v>
      </c>
      <c r="CB333" s="81">
        <f t="shared" si="257"/>
        <v>0</v>
      </c>
      <c r="CC333" s="81">
        <f t="shared" si="287"/>
        <v>0</v>
      </c>
    </row>
    <row r="334" spans="35:123" x14ac:dyDescent="0.3">
      <c r="CA334" s="81" t="s">
        <v>2</v>
      </c>
      <c r="CB334" s="81">
        <f t="shared" si="257"/>
        <v>0</v>
      </c>
      <c r="CC334" s="81">
        <f t="shared" si="287"/>
        <v>0</v>
      </c>
    </row>
    <row r="335" spans="35:123" x14ac:dyDescent="0.3">
      <c r="CA335" s="81" t="s">
        <v>2</v>
      </c>
      <c r="CB335" s="81">
        <f t="shared" si="257"/>
        <v>0</v>
      </c>
      <c r="CC335" s="81">
        <f t="shared" si="287"/>
        <v>0</v>
      </c>
    </row>
    <row r="336" spans="35:123" x14ac:dyDescent="0.3">
      <c r="CA336" s="81" t="s">
        <v>2</v>
      </c>
      <c r="CB336" s="81">
        <f t="shared" si="257"/>
        <v>0</v>
      </c>
      <c r="CC336" s="81">
        <f t="shared" si="287"/>
        <v>0</v>
      </c>
    </row>
    <row r="337" spans="79:81" x14ac:dyDescent="0.3">
      <c r="CA337" s="81" t="s">
        <v>2</v>
      </c>
      <c r="CB337" s="81">
        <f t="shared" si="257"/>
        <v>0</v>
      </c>
      <c r="CC337" s="81">
        <f t="shared" si="287"/>
        <v>0</v>
      </c>
    </row>
    <row r="338" spans="79:81" x14ac:dyDescent="0.3">
      <c r="CA338" s="81" t="s">
        <v>2</v>
      </c>
      <c r="CB338" s="81">
        <f t="shared" si="257"/>
        <v>0</v>
      </c>
      <c r="CC338" s="81">
        <f t="shared" si="287"/>
        <v>0</v>
      </c>
    </row>
  </sheetData>
  <sheetProtection password="CE28" sheet="1" objects="1" scenarios="1"/>
  <dataValidations count="2">
    <dataValidation type="list" allowBlank="1" showInputMessage="1" showErrorMessage="1" sqref="AC21" xr:uid="{DAC62F72-8E05-4681-B04A-E1088A79219E}">
      <formula1>$AC$21:$AC$27</formula1>
    </dataValidation>
    <dataValidation type="list" allowBlank="1" showInputMessage="1" showErrorMessage="1" sqref="A5" xr:uid="{51FB226C-7D58-436E-90CB-3184FFE828BD}">
      <formula1>$Z$10:$Z$24</formula1>
    </dataValidation>
  </dataValidations>
  <pageMargins left="0.7" right="0.7" top="0.75" bottom="0.75" header="0.3" footer="0.3"/>
  <pageSetup orientation="portrait" r:id="rId1"/>
  <ignoredErrors>
    <ignoredError sqref="X5:Y5 X6:Y6 X7:Y7 AA1:AA12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NyMånad">
                <anchor mov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1</xdr:col>
                    <xdr:colOff>670560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InstruktionerKnapp.instruktioner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883920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makehidden">
                <anchor moveWithCells="1">
                  <from>
                    <xdr:col>1</xdr:col>
                    <xdr:colOff>160020</xdr:colOff>
                    <xdr:row>46</xdr:row>
                    <xdr:rowOff>106680</xdr:rowOff>
                  </from>
                  <to>
                    <xdr:col>2</xdr:col>
                    <xdr:colOff>403860</xdr:colOff>
                    <xdr:row>48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Infoknapp">
                <anchor moveWithCells="1">
                  <from>
                    <xdr:col>2</xdr:col>
                    <xdr:colOff>121920</xdr:colOff>
                    <xdr:row>0</xdr:row>
                    <xdr:rowOff>0</xdr:rowOff>
                  </from>
                  <to>
                    <xdr:col>3</xdr:col>
                    <xdr:colOff>121920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Rullistaöverblick.Rullistaöverblick">
                <anchor moveWithCells="1">
                  <from>
                    <xdr:col>1</xdr:col>
                    <xdr:colOff>7620</xdr:colOff>
                    <xdr:row>3</xdr:row>
                    <xdr:rowOff>7620</xdr:rowOff>
                  </from>
                  <to>
                    <xdr:col>1</xdr:col>
                    <xdr:colOff>868680</xdr:colOff>
                    <xdr:row>4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2ECA2-C1F0-4B1A-8223-7B8770CB4C52}">
  <sheetPr codeName="Sheet2"/>
  <dimension ref="C2:P223"/>
  <sheetViews>
    <sheetView showGridLines="0" showZeros="0" zoomScale="55" zoomScaleNormal="55" workbookViewId="0">
      <selection sqref="A1:XFD1048576"/>
    </sheetView>
  </sheetViews>
  <sheetFormatPr defaultColWidth="8.88671875" defaultRowHeight="14.4" x14ac:dyDescent="0.3"/>
  <cols>
    <col min="1" max="1" width="8.88671875" style="6"/>
    <col min="2" max="2" width="16.44140625" style="6" bestFit="1" customWidth="1"/>
    <col min="3" max="3" width="9.77734375" style="6" bestFit="1" customWidth="1"/>
    <col min="4" max="4" width="8.88671875" style="7"/>
    <col min="5" max="5" width="8.88671875" style="6"/>
    <col min="6" max="7" width="9.6640625" style="6" bestFit="1" customWidth="1"/>
    <col min="8" max="16384" width="8.88671875" style="6"/>
  </cols>
  <sheetData>
    <row r="2" spans="3:3" x14ac:dyDescent="0.3">
      <c r="C2" s="10"/>
    </row>
    <row r="3" spans="3:3" x14ac:dyDescent="0.3">
      <c r="C3" s="5"/>
    </row>
    <row r="4" spans="3:3" x14ac:dyDescent="0.3">
      <c r="C4" s="5"/>
    </row>
    <row r="5" spans="3:3" x14ac:dyDescent="0.3">
      <c r="C5" s="5"/>
    </row>
    <row r="6" spans="3:3" x14ac:dyDescent="0.3">
      <c r="C6" s="5"/>
    </row>
    <row r="7" spans="3:3" x14ac:dyDescent="0.3">
      <c r="C7" s="5"/>
    </row>
    <row r="8" spans="3:3" x14ac:dyDescent="0.3">
      <c r="C8" s="5"/>
    </row>
    <row r="9" spans="3:3" x14ac:dyDescent="0.3">
      <c r="C9" s="5"/>
    </row>
    <row r="10" spans="3:3" x14ac:dyDescent="0.3">
      <c r="C10" s="5"/>
    </row>
    <row r="11" spans="3:3" x14ac:dyDescent="0.3">
      <c r="C11" s="5"/>
    </row>
    <row r="12" spans="3:3" x14ac:dyDescent="0.3">
      <c r="C12" s="5"/>
    </row>
    <row r="13" spans="3:3" x14ac:dyDescent="0.3">
      <c r="C13" s="5"/>
    </row>
    <row r="14" spans="3:3" x14ac:dyDescent="0.3">
      <c r="C14" s="11"/>
    </row>
    <row r="17" spans="3:16" x14ac:dyDescent="0.3">
      <c r="P17" s="7"/>
    </row>
    <row r="21" spans="3:16" x14ac:dyDescent="0.3">
      <c r="C21" s="5"/>
    </row>
    <row r="22" spans="3:16" x14ac:dyDescent="0.3">
      <c r="C22" s="5"/>
    </row>
    <row r="23" spans="3:16" x14ac:dyDescent="0.3">
      <c r="C23" s="5"/>
    </row>
    <row r="24" spans="3:16" x14ac:dyDescent="0.3">
      <c r="C24" s="5"/>
    </row>
    <row r="25" spans="3:16" x14ac:dyDescent="0.3">
      <c r="C25" s="5"/>
    </row>
    <row r="26" spans="3:16" x14ac:dyDescent="0.3">
      <c r="C26" s="5"/>
    </row>
    <row r="27" spans="3:16" x14ac:dyDescent="0.3">
      <c r="C27" s="5"/>
    </row>
    <row r="28" spans="3:16" x14ac:dyDescent="0.3">
      <c r="C28" s="5"/>
    </row>
    <row r="29" spans="3:16" x14ac:dyDescent="0.3">
      <c r="C29" s="5"/>
    </row>
    <row r="30" spans="3:16" x14ac:dyDescent="0.3">
      <c r="C30" s="5"/>
    </row>
    <row r="31" spans="3:16" x14ac:dyDescent="0.3">
      <c r="C31" s="5"/>
    </row>
    <row r="32" spans="3:16" x14ac:dyDescent="0.3">
      <c r="C32" s="11"/>
    </row>
    <row r="36" spans="3:3" x14ac:dyDescent="0.3">
      <c r="C36" s="5"/>
    </row>
    <row r="37" spans="3:3" x14ac:dyDescent="0.3">
      <c r="C37" s="5"/>
    </row>
    <row r="39" spans="3:3" x14ac:dyDescent="0.3">
      <c r="C39" s="5"/>
    </row>
    <row r="40" spans="3:3" x14ac:dyDescent="0.3">
      <c r="C40" s="5"/>
    </row>
    <row r="41" spans="3:3" x14ac:dyDescent="0.3">
      <c r="C41" s="5"/>
    </row>
    <row r="42" spans="3:3" x14ac:dyDescent="0.3">
      <c r="C42" s="5"/>
    </row>
    <row r="43" spans="3:3" x14ac:dyDescent="0.3">
      <c r="C43" s="5"/>
    </row>
    <row r="44" spans="3:3" x14ac:dyDescent="0.3">
      <c r="C44" s="5"/>
    </row>
    <row r="45" spans="3:3" x14ac:dyDescent="0.3">
      <c r="C45" s="5"/>
    </row>
    <row r="46" spans="3:3" x14ac:dyDescent="0.3">
      <c r="C46" s="5"/>
    </row>
    <row r="47" spans="3:3" x14ac:dyDescent="0.3">
      <c r="C47" s="5"/>
    </row>
    <row r="48" spans="3:3" x14ac:dyDescent="0.3">
      <c r="C48" s="5"/>
    </row>
    <row r="49" spans="3:3" x14ac:dyDescent="0.3">
      <c r="C49" s="5"/>
    </row>
    <row r="50" spans="3:3" x14ac:dyDescent="0.3">
      <c r="C50" s="11"/>
    </row>
    <row r="58" spans="3:3" x14ac:dyDescent="0.3">
      <c r="C58" s="5"/>
    </row>
    <row r="59" spans="3:3" x14ac:dyDescent="0.3">
      <c r="C59" s="5"/>
    </row>
    <row r="60" spans="3:3" x14ac:dyDescent="0.3">
      <c r="C60" s="5"/>
    </row>
    <row r="61" spans="3:3" x14ac:dyDescent="0.3">
      <c r="C61" s="5"/>
    </row>
    <row r="62" spans="3:3" x14ac:dyDescent="0.3">
      <c r="C62" s="5"/>
    </row>
    <row r="63" spans="3:3" x14ac:dyDescent="0.3">
      <c r="C63" s="5"/>
    </row>
    <row r="64" spans="3:3" x14ac:dyDescent="0.3">
      <c r="C64" s="5"/>
    </row>
    <row r="65" spans="3:3" x14ac:dyDescent="0.3">
      <c r="C65" s="5"/>
    </row>
    <row r="66" spans="3:3" x14ac:dyDescent="0.3">
      <c r="C66" s="5"/>
    </row>
    <row r="67" spans="3:3" x14ac:dyDescent="0.3">
      <c r="C67" s="5"/>
    </row>
    <row r="68" spans="3:3" x14ac:dyDescent="0.3">
      <c r="C68" s="5"/>
    </row>
    <row r="69" spans="3:3" x14ac:dyDescent="0.3">
      <c r="C69" s="11"/>
    </row>
    <row r="78" spans="3:3" x14ac:dyDescent="0.3">
      <c r="C78" s="5"/>
    </row>
    <row r="79" spans="3:3" x14ac:dyDescent="0.3">
      <c r="C79" s="5"/>
    </row>
    <row r="80" spans="3:3" x14ac:dyDescent="0.3">
      <c r="C80" s="5"/>
    </row>
    <row r="81" spans="3:3" x14ac:dyDescent="0.3">
      <c r="C81" s="5"/>
    </row>
    <row r="82" spans="3:3" x14ac:dyDescent="0.3">
      <c r="C82" s="5"/>
    </row>
    <row r="83" spans="3:3" x14ac:dyDescent="0.3">
      <c r="C83" s="5"/>
    </row>
    <row r="84" spans="3:3" x14ac:dyDescent="0.3">
      <c r="C84" s="5"/>
    </row>
    <row r="85" spans="3:3" x14ac:dyDescent="0.3">
      <c r="C85" s="5"/>
    </row>
    <row r="86" spans="3:3" x14ac:dyDescent="0.3">
      <c r="C86" s="5"/>
    </row>
    <row r="87" spans="3:3" x14ac:dyDescent="0.3">
      <c r="C87" s="5"/>
    </row>
    <row r="88" spans="3:3" x14ac:dyDescent="0.3">
      <c r="C88" s="5"/>
    </row>
    <row r="89" spans="3:3" x14ac:dyDescent="0.3">
      <c r="C89" s="11"/>
    </row>
    <row r="97" spans="3:3" x14ac:dyDescent="0.3">
      <c r="C97" s="5"/>
    </row>
    <row r="98" spans="3:3" x14ac:dyDescent="0.3">
      <c r="C98" s="5"/>
    </row>
    <row r="99" spans="3:3" x14ac:dyDescent="0.3">
      <c r="C99" s="5"/>
    </row>
    <row r="100" spans="3:3" x14ac:dyDescent="0.3">
      <c r="C100" s="5"/>
    </row>
    <row r="101" spans="3:3" x14ac:dyDescent="0.3">
      <c r="C101" s="5"/>
    </row>
    <row r="102" spans="3:3" x14ac:dyDescent="0.3">
      <c r="C102" s="5"/>
    </row>
    <row r="103" spans="3:3" x14ac:dyDescent="0.3">
      <c r="C103" s="5"/>
    </row>
    <row r="104" spans="3:3" x14ac:dyDescent="0.3">
      <c r="C104" s="5"/>
    </row>
    <row r="105" spans="3:3" x14ac:dyDescent="0.3">
      <c r="C105" s="5"/>
    </row>
    <row r="106" spans="3:3" x14ac:dyDescent="0.3">
      <c r="C106" s="5"/>
    </row>
    <row r="107" spans="3:3" x14ac:dyDescent="0.3">
      <c r="C107" s="5"/>
    </row>
    <row r="108" spans="3:3" x14ac:dyDescent="0.3">
      <c r="C108" s="11"/>
    </row>
    <row r="119" spans="3:3" x14ac:dyDescent="0.3">
      <c r="C119" s="5"/>
    </row>
    <row r="120" spans="3:3" x14ac:dyDescent="0.3">
      <c r="C120" s="5"/>
    </row>
    <row r="121" spans="3:3" x14ac:dyDescent="0.3">
      <c r="C121" s="5"/>
    </row>
    <row r="122" spans="3:3" x14ac:dyDescent="0.3">
      <c r="C122" s="5"/>
    </row>
    <row r="123" spans="3:3" x14ac:dyDescent="0.3">
      <c r="C123" s="5"/>
    </row>
    <row r="124" spans="3:3" x14ac:dyDescent="0.3">
      <c r="C124" s="5"/>
    </row>
    <row r="125" spans="3:3" x14ac:dyDescent="0.3">
      <c r="C125" s="5"/>
    </row>
    <row r="126" spans="3:3" x14ac:dyDescent="0.3">
      <c r="C126" s="5"/>
    </row>
    <row r="127" spans="3:3" x14ac:dyDescent="0.3">
      <c r="C127" s="5"/>
    </row>
    <row r="128" spans="3:3" x14ac:dyDescent="0.3">
      <c r="C128" s="5"/>
    </row>
    <row r="129" spans="3:3" x14ac:dyDescent="0.3">
      <c r="C129" s="5"/>
    </row>
    <row r="130" spans="3:3" x14ac:dyDescent="0.3">
      <c r="C130" s="11"/>
    </row>
    <row r="137" spans="3:3" x14ac:dyDescent="0.3">
      <c r="C137" s="5"/>
    </row>
    <row r="138" spans="3:3" x14ac:dyDescent="0.3">
      <c r="C138" s="5"/>
    </row>
    <row r="139" spans="3:3" x14ac:dyDescent="0.3">
      <c r="C139" s="5"/>
    </row>
    <row r="140" spans="3:3" x14ac:dyDescent="0.3">
      <c r="C140" s="5"/>
    </row>
    <row r="141" spans="3:3" x14ac:dyDescent="0.3">
      <c r="C141" s="5"/>
    </row>
    <row r="142" spans="3:3" x14ac:dyDescent="0.3">
      <c r="C142" s="5"/>
    </row>
    <row r="143" spans="3:3" x14ac:dyDescent="0.3">
      <c r="C143" s="5"/>
    </row>
    <row r="144" spans="3:3" x14ac:dyDescent="0.3">
      <c r="C144" s="5"/>
    </row>
    <row r="145" spans="3:3" x14ac:dyDescent="0.3">
      <c r="C145" s="5"/>
    </row>
    <row r="146" spans="3:3" x14ac:dyDescent="0.3">
      <c r="C146" s="5"/>
    </row>
    <row r="147" spans="3:3" x14ac:dyDescent="0.3">
      <c r="C147" s="5"/>
    </row>
    <row r="148" spans="3:3" x14ac:dyDescent="0.3">
      <c r="C148" s="11"/>
    </row>
    <row r="157" spans="3:3" x14ac:dyDescent="0.3">
      <c r="C157" s="5"/>
    </row>
    <row r="158" spans="3:3" x14ac:dyDescent="0.3">
      <c r="C158" s="5"/>
    </row>
    <row r="159" spans="3:3" x14ac:dyDescent="0.3">
      <c r="C159" s="5"/>
    </row>
    <row r="160" spans="3:3" x14ac:dyDescent="0.3">
      <c r="C160" s="5"/>
    </row>
    <row r="161" spans="3:3" x14ac:dyDescent="0.3">
      <c r="C161" s="5"/>
    </row>
    <row r="162" spans="3:3" x14ac:dyDescent="0.3">
      <c r="C162" s="5"/>
    </row>
    <row r="163" spans="3:3" x14ac:dyDescent="0.3">
      <c r="C163" s="5"/>
    </row>
    <row r="164" spans="3:3" x14ac:dyDescent="0.3">
      <c r="C164" s="5"/>
    </row>
    <row r="165" spans="3:3" x14ac:dyDescent="0.3">
      <c r="C165" s="5"/>
    </row>
    <row r="166" spans="3:3" x14ac:dyDescent="0.3">
      <c r="C166" s="5"/>
    </row>
    <row r="167" spans="3:3" x14ac:dyDescent="0.3">
      <c r="C167" s="5"/>
    </row>
    <row r="168" spans="3:3" x14ac:dyDescent="0.3">
      <c r="C168" s="11"/>
    </row>
    <row r="176" spans="3:3" x14ac:dyDescent="0.3">
      <c r="C176" s="5"/>
    </row>
    <row r="177" spans="3:3" x14ac:dyDescent="0.3">
      <c r="C177" s="5"/>
    </row>
    <row r="178" spans="3:3" x14ac:dyDescent="0.3">
      <c r="C178" s="5"/>
    </row>
    <row r="179" spans="3:3" x14ac:dyDescent="0.3">
      <c r="C179" s="5"/>
    </row>
    <row r="180" spans="3:3" x14ac:dyDescent="0.3">
      <c r="C180" s="5"/>
    </row>
    <row r="181" spans="3:3" x14ac:dyDescent="0.3">
      <c r="C181" s="5"/>
    </row>
    <row r="182" spans="3:3" x14ac:dyDescent="0.3">
      <c r="C182" s="5"/>
    </row>
    <row r="183" spans="3:3" x14ac:dyDescent="0.3">
      <c r="C183" s="5"/>
    </row>
    <row r="184" spans="3:3" x14ac:dyDescent="0.3">
      <c r="C184" s="5"/>
    </row>
    <row r="185" spans="3:3" x14ac:dyDescent="0.3">
      <c r="C185" s="5"/>
    </row>
    <row r="186" spans="3:3" x14ac:dyDescent="0.3">
      <c r="C186" s="5"/>
    </row>
    <row r="187" spans="3:3" x14ac:dyDescent="0.3">
      <c r="C187" s="11"/>
    </row>
    <row r="193" spans="3:3" x14ac:dyDescent="0.3">
      <c r="C193" s="5"/>
    </row>
    <row r="194" spans="3:3" x14ac:dyDescent="0.3">
      <c r="C194" s="5"/>
    </row>
    <row r="195" spans="3:3" x14ac:dyDescent="0.3">
      <c r="C195" s="5"/>
    </row>
    <row r="196" spans="3:3" x14ac:dyDescent="0.3">
      <c r="C196" s="5"/>
    </row>
    <row r="197" spans="3:3" x14ac:dyDescent="0.3">
      <c r="C197" s="5"/>
    </row>
    <row r="198" spans="3:3" x14ac:dyDescent="0.3">
      <c r="C198" s="5"/>
    </row>
    <row r="199" spans="3:3" x14ac:dyDescent="0.3">
      <c r="C199" s="5"/>
    </row>
    <row r="200" spans="3:3" x14ac:dyDescent="0.3">
      <c r="C200" s="5"/>
    </row>
    <row r="201" spans="3:3" x14ac:dyDescent="0.3">
      <c r="C201" s="5"/>
    </row>
    <row r="202" spans="3:3" x14ac:dyDescent="0.3">
      <c r="C202" s="5"/>
    </row>
    <row r="203" spans="3:3" x14ac:dyDescent="0.3">
      <c r="C203" s="5"/>
    </row>
    <row r="204" spans="3:3" x14ac:dyDescent="0.3">
      <c r="C204" s="11"/>
    </row>
    <row r="212" spans="3:3" x14ac:dyDescent="0.3">
      <c r="C212" s="5"/>
    </row>
    <row r="213" spans="3:3" x14ac:dyDescent="0.3">
      <c r="C213" s="5"/>
    </row>
    <row r="214" spans="3:3" x14ac:dyDescent="0.3">
      <c r="C214" s="5"/>
    </row>
    <row r="215" spans="3:3" x14ac:dyDescent="0.3">
      <c r="C215" s="5"/>
    </row>
    <row r="216" spans="3:3" x14ac:dyDescent="0.3">
      <c r="C216" s="5"/>
    </row>
    <row r="217" spans="3:3" x14ac:dyDescent="0.3">
      <c r="C217" s="5"/>
    </row>
    <row r="218" spans="3:3" x14ac:dyDescent="0.3">
      <c r="C218" s="5"/>
    </row>
    <row r="219" spans="3:3" x14ac:dyDescent="0.3">
      <c r="C219" s="5"/>
    </row>
    <row r="220" spans="3:3" x14ac:dyDescent="0.3">
      <c r="C220" s="5"/>
    </row>
    <row r="221" spans="3:3" x14ac:dyDescent="0.3">
      <c r="C221" s="5"/>
    </row>
    <row r="222" spans="3:3" x14ac:dyDescent="0.3">
      <c r="C222" s="5"/>
    </row>
    <row r="223" spans="3:3" x14ac:dyDescent="0.3">
      <c r="C223" s="1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9D537-9259-4712-AAB7-13C32C9CB934}">
  <sheetPr codeName="Sheet3"/>
  <dimension ref="A1"/>
  <sheetViews>
    <sheetView workbookViewId="0">
      <selection sqref="A1:XFD1048576"/>
    </sheetView>
  </sheetViews>
  <sheetFormatPr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2DDBB-90C8-41C3-8B66-FECAA1E6ACED}">
  <sheetPr codeName="Sheet18">
    <tabColor rgb="FFFFC000"/>
  </sheetPr>
  <dimension ref="B1:N29"/>
  <sheetViews>
    <sheetView showGridLines="0" zoomScaleNormal="100" workbookViewId="0">
      <selection activeCell="C7" sqref="C7"/>
    </sheetView>
  </sheetViews>
  <sheetFormatPr defaultColWidth="8.88671875" defaultRowHeight="14.4" x14ac:dyDescent="0.3"/>
  <cols>
    <col min="1" max="1" width="10.88671875" style="3" customWidth="1"/>
    <col min="2" max="2" width="20" style="3" bestFit="1" customWidth="1"/>
    <col min="3" max="3" width="11" style="3" bestFit="1" customWidth="1"/>
    <col min="4" max="4" width="10.88671875" style="3" bestFit="1" customWidth="1"/>
    <col min="5" max="6" width="13" style="4" customWidth="1"/>
    <col min="7" max="8" width="9.77734375" style="3" bestFit="1" customWidth="1"/>
    <col min="9" max="9" width="11" style="3" customWidth="1"/>
    <col min="10" max="15" width="8.88671875" style="3"/>
    <col min="16" max="16" width="10.77734375" style="3" customWidth="1"/>
    <col min="17" max="16384" width="8.88671875" style="3"/>
  </cols>
  <sheetData>
    <row r="1" spans="2:14" x14ac:dyDescent="0.3">
      <c r="I1" s="32"/>
      <c r="J1" s="29"/>
      <c r="K1" s="29"/>
      <c r="L1" s="29"/>
      <c r="M1" s="29"/>
      <c r="N1" s="29"/>
    </row>
    <row r="2" spans="2:14" x14ac:dyDescent="0.3">
      <c r="I2" s="29"/>
      <c r="J2" s="29"/>
      <c r="K2" s="29"/>
      <c r="L2" s="29"/>
      <c r="M2" s="29"/>
      <c r="N2" s="29"/>
    </row>
    <row r="3" spans="2:14" x14ac:dyDescent="0.3">
      <c r="I3" s="29"/>
      <c r="J3" s="29"/>
      <c r="K3" s="29"/>
      <c r="L3" s="29"/>
      <c r="M3" s="29"/>
      <c r="N3" s="29"/>
    </row>
    <row r="4" spans="2:14" ht="15" thickBot="1" x14ac:dyDescent="0.35">
      <c r="B4" s="33" t="str">
        <f>Överblick!A10</f>
        <v>Inkomst</v>
      </c>
      <c r="C4" s="33" t="s">
        <v>11</v>
      </c>
      <c r="D4" s="34" t="s">
        <v>10</v>
      </c>
      <c r="E4" s="36" t="s">
        <v>37</v>
      </c>
      <c r="F4" s="36" t="s">
        <v>38</v>
      </c>
      <c r="G4" s="3" t="s">
        <v>12</v>
      </c>
      <c r="H4" s="3" t="s">
        <v>13</v>
      </c>
      <c r="K4" s="29"/>
      <c r="L4" s="29"/>
      <c r="M4" s="29"/>
      <c r="N4" s="29"/>
    </row>
    <row r="5" spans="2:14" x14ac:dyDescent="0.3">
      <c r="B5" s="2" t="str">
        <f>Överblick!A11</f>
        <v>CSN</v>
      </c>
      <c r="C5" s="15">
        <v>10444</v>
      </c>
      <c r="D5" s="16">
        <f>Överblick!B11</f>
        <v>10444</v>
      </c>
      <c r="E5" s="17">
        <f>IFERROR(C5/D5," ")</f>
        <v>1</v>
      </c>
      <c r="F5" s="18"/>
      <c r="G5" s="3" t="str">
        <f>IF(C5&gt;D5*(1+Överblick!C11),C5," ")</f>
        <v xml:space="preserve"> </v>
      </c>
      <c r="H5" s="3" t="str">
        <f>IF(C5&lt;D5*(1-Överblick!C11),C5," ")</f>
        <v xml:space="preserve"> </v>
      </c>
      <c r="K5" s="29"/>
      <c r="L5" s="29"/>
      <c r="M5" s="29"/>
      <c r="N5" s="29"/>
    </row>
    <row r="6" spans="2:14" x14ac:dyDescent="0.3">
      <c r="B6" s="2" t="str">
        <f>Överblick!A12</f>
        <v>Lön</v>
      </c>
      <c r="C6" s="15">
        <v>13913</v>
      </c>
      <c r="D6" s="16">
        <f>Överblick!B12</f>
        <v>500</v>
      </c>
      <c r="E6" s="19">
        <f>IFERROR(C6/D6," ")</f>
        <v>27.826000000000001</v>
      </c>
      <c r="F6" s="20" t="s">
        <v>5560</v>
      </c>
      <c r="G6" s="3">
        <f>IF(C6&gt;D6*(1+Överblick!C12),C6," ")</f>
        <v>13913</v>
      </c>
      <c r="H6" s="3" t="str">
        <f>IF(C6&lt;D6*(1-Överblick!C12),C6," ")</f>
        <v xml:space="preserve"> </v>
      </c>
      <c r="K6" s="29"/>
      <c r="L6" s="29"/>
      <c r="M6" s="29"/>
      <c r="N6" s="29"/>
    </row>
    <row r="7" spans="2:14" ht="15" thickBot="1" x14ac:dyDescent="0.35">
      <c r="B7" s="13" t="str">
        <f>Överblick!A13</f>
        <v>Övrig inkomst</v>
      </c>
      <c r="C7" s="21"/>
      <c r="D7" s="22">
        <f>Överblick!B13</f>
        <v>0</v>
      </c>
      <c r="E7" s="14" t="str">
        <f>IFERROR(C7/D7," ")</f>
        <v xml:space="preserve"> </v>
      </c>
      <c r="F7" s="23"/>
      <c r="G7" s="3" t="str">
        <f>IF(C7&gt;D7*(1+Överblick!C13),C7," ")</f>
        <v xml:space="preserve"> </v>
      </c>
      <c r="H7" s="3" t="str">
        <f>IF(C7&lt;D7*(1-Överblick!C13),C7," ")</f>
        <v xml:space="preserve"> </v>
      </c>
      <c r="K7" s="29"/>
      <c r="L7" s="29"/>
      <c r="M7" s="29"/>
      <c r="N7" s="29"/>
    </row>
    <row r="8" spans="2:14" x14ac:dyDescent="0.3">
      <c r="B8" s="2" t="str">
        <f>Överblick!A14</f>
        <v>Total inkomst</v>
      </c>
      <c r="C8" s="24">
        <f>SUM(C5:C7)</f>
        <v>24357</v>
      </c>
      <c r="D8" s="16">
        <f>Överblick!B14</f>
        <v>10944</v>
      </c>
      <c r="E8" s="17">
        <f>IFERROR(C8/D8," ")</f>
        <v>2.2256030701754388</v>
      </c>
      <c r="F8" s="17"/>
      <c r="K8" s="29"/>
      <c r="L8" s="29"/>
      <c r="M8" s="29"/>
      <c r="N8" s="29"/>
    </row>
    <row r="9" spans="2:14" x14ac:dyDescent="0.3">
      <c r="B9" s="29"/>
      <c r="K9" s="29"/>
      <c r="L9" s="29"/>
      <c r="M9" s="29"/>
      <c r="N9" s="29"/>
    </row>
    <row r="10" spans="2:14" x14ac:dyDescent="0.3">
      <c r="D10" s="4">
        <v>0.75</v>
      </c>
      <c r="E10" s="4">
        <v>1.25</v>
      </c>
      <c r="K10" s="29"/>
      <c r="L10" s="29"/>
      <c r="M10" s="29"/>
      <c r="N10" s="29"/>
    </row>
    <row r="11" spans="2:14" ht="15" thickBot="1" x14ac:dyDescent="0.35">
      <c r="B11" s="33" t="s">
        <v>9</v>
      </c>
      <c r="C11" s="33" t="s">
        <v>11</v>
      </c>
      <c r="D11" s="34" t="s">
        <v>10</v>
      </c>
      <c r="E11" s="35" t="s">
        <v>37</v>
      </c>
      <c r="F11" s="35" t="s">
        <v>38</v>
      </c>
      <c r="G11" s="3" t="s">
        <v>12</v>
      </c>
      <c r="H11" s="3" t="s">
        <v>13</v>
      </c>
      <c r="K11" s="29"/>
      <c r="L11" s="29"/>
      <c r="M11" s="29"/>
      <c r="N11" s="29"/>
    </row>
    <row r="12" spans="2:14" x14ac:dyDescent="0.3">
      <c r="B12" s="1" t="str">
        <f>Överblick!A18</f>
        <v>Hyra</v>
      </c>
      <c r="C12" s="15">
        <v>5000</v>
      </c>
      <c r="D12" s="1">
        <f>Överblick!B18</f>
        <v>5000</v>
      </c>
      <c r="E12" s="19">
        <f>IFERROR(IF(C12/D12=0," ",C12/D12)," ")</f>
        <v>1</v>
      </c>
      <c r="F12" s="18"/>
      <c r="G12" s="3" t="str">
        <f>IF(C12&lt;D12*(1-Överblick!C18),C12," ")</f>
        <v xml:space="preserve"> </v>
      </c>
      <c r="H12" s="3" t="str">
        <f>IF(C12&gt;D12*(1+Överblick!C18),C12," ")</f>
        <v xml:space="preserve"> </v>
      </c>
      <c r="K12" s="29"/>
      <c r="L12" s="29"/>
      <c r="M12" s="29"/>
      <c r="N12" s="29"/>
    </row>
    <row r="13" spans="2:14" x14ac:dyDescent="0.3">
      <c r="B13" s="1" t="str">
        <f>Överblick!A19</f>
        <v>Mat/förbrukningsvaror</v>
      </c>
      <c r="C13" s="15">
        <v>1042</v>
      </c>
      <c r="D13" s="1">
        <f>Överblick!B19</f>
        <v>1250</v>
      </c>
      <c r="E13" s="19">
        <f t="shared" ref="E13:E24" si="0">IFERROR(IF(C13/D13=0," ",C13/D13)," ")</f>
        <v>0.83360000000000001</v>
      </c>
      <c r="F13" s="20"/>
      <c r="G13" s="3" t="str">
        <f>IF(C13&lt;D13*(1-Överblick!C19),C13," ")</f>
        <v xml:space="preserve"> </v>
      </c>
      <c r="H13" s="3" t="str">
        <f>IF(C13&gt;D13*(1+Överblick!C19),C13," ")</f>
        <v xml:space="preserve"> </v>
      </c>
      <c r="K13" s="29"/>
      <c r="L13" s="29"/>
      <c r="M13" s="29"/>
      <c r="N13" s="29"/>
    </row>
    <row r="14" spans="2:14" x14ac:dyDescent="0.3">
      <c r="B14" s="1" t="str">
        <f>Överblick!A20</f>
        <v>Kläder och accessoarer</v>
      </c>
      <c r="C14" s="15">
        <v>6550</v>
      </c>
      <c r="D14" s="1">
        <f>Överblick!B20</f>
        <v>400</v>
      </c>
      <c r="E14" s="19">
        <f t="shared" si="0"/>
        <v>16.375</v>
      </c>
      <c r="F14" s="20" t="s">
        <v>5559</v>
      </c>
      <c r="G14" s="3" t="str">
        <f>IF(C14&lt;D14*(1-Överblick!C20),C14," ")</f>
        <v xml:space="preserve"> </v>
      </c>
      <c r="H14" s="3">
        <f>IF(C14&gt;D14*(1+Överblick!C20),C14," ")</f>
        <v>6550</v>
      </c>
      <c r="K14" s="29"/>
      <c r="L14" s="29"/>
      <c r="M14" s="29"/>
      <c r="N14" s="29"/>
    </row>
    <row r="15" spans="2:14" x14ac:dyDescent="0.3">
      <c r="B15" s="1" t="str">
        <f>Överblick!A21</f>
        <v>Utemat</v>
      </c>
      <c r="C15" s="15">
        <f>90+57</f>
        <v>147</v>
      </c>
      <c r="D15" s="1">
        <f>Överblick!B21</f>
        <v>250</v>
      </c>
      <c r="E15" s="19">
        <f t="shared" si="0"/>
        <v>0.58799999999999997</v>
      </c>
      <c r="F15" s="20"/>
      <c r="G15" s="3">
        <f>IF(C15&lt;D15*(1-Överblick!C21),C15," ")</f>
        <v>147</v>
      </c>
      <c r="H15" s="3" t="str">
        <f>IF(C15&gt;D15*(1+Överblick!C21),C15," ")</f>
        <v xml:space="preserve"> </v>
      </c>
      <c r="K15" s="29"/>
      <c r="L15" s="29"/>
      <c r="M15" s="29"/>
      <c r="N15" s="29"/>
    </row>
    <row r="16" spans="2:14" x14ac:dyDescent="0.3">
      <c r="B16" s="1" t="str">
        <f>Överblick!A22</f>
        <v>Studiematerial</v>
      </c>
      <c r="C16" s="15">
        <f>350+100</f>
        <v>450</v>
      </c>
      <c r="D16" s="1">
        <f>Överblick!B22</f>
        <v>300</v>
      </c>
      <c r="E16" s="19">
        <f t="shared" si="0"/>
        <v>1.5</v>
      </c>
      <c r="F16" s="20"/>
      <c r="G16" s="3" t="str">
        <f>IF(C16&lt;D16*(1-Överblick!C22),C16," ")</f>
        <v xml:space="preserve"> </v>
      </c>
      <c r="H16" s="3">
        <f>IF(C16&gt;D16*(1+Överblick!C22),C16," ")</f>
        <v>450</v>
      </c>
      <c r="K16" s="29"/>
      <c r="L16" s="29"/>
      <c r="M16" s="31"/>
      <c r="N16" s="29"/>
    </row>
    <row r="17" spans="2:14" x14ac:dyDescent="0.3">
      <c r="B17" s="1" t="str">
        <f>Överblick!A23</f>
        <v>Teknik och prylar</v>
      </c>
      <c r="C17" s="77">
        <f>80</f>
        <v>80</v>
      </c>
      <c r="D17" s="1">
        <f>Överblick!B23</f>
        <v>200</v>
      </c>
      <c r="E17" s="19">
        <f t="shared" si="0"/>
        <v>0.4</v>
      </c>
      <c r="F17" s="20"/>
      <c r="G17" s="3">
        <f>IF(C17&lt;D17*(1-Överblick!C23),C17," ")</f>
        <v>80</v>
      </c>
      <c r="H17" s="3" t="str">
        <f>IF(C17&gt;D17*(1+Överblick!C23),C17," ")</f>
        <v xml:space="preserve"> </v>
      </c>
      <c r="K17" s="29"/>
      <c r="L17" s="29"/>
      <c r="M17" s="31"/>
      <c r="N17" s="29"/>
    </row>
    <row r="18" spans="2:14" x14ac:dyDescent="0.3">
      <c r="B18" s="1" t="str">
        <f>Överblick!A24</f>
        <v>Dricka och aktiviteter</v>
      </c>
      <c r="C18" s="15"/>
      <c r="D18" s="1">
        <f>Överblick!B24</f>
        <v>300</v>
      </c>
      <c r="E18" s="19" t="str">
        <f t="shared" si="0"/>
        <v xml:space="preserve"> </v>
      </c>
      <c r="F18" s="20"/>
      <c r="G18" s="3">
        <f>IF(C18&lt;D18*(1-Överblick!C24),C18," ")</f>
        <v>0</v>
      </c>
      <c r="H18" s="3" t="str">
        <f>IF(C18&gt;D18*(1+Överblick!C24),C18," ")</f>
        <v xml:space="preserve"> </v>
      </c>
      <c r="K18" s="29"/>
      <c r="L18" s="29"/>
      <c r="M18" s="31"/>
      <c r="N18" s="29"/>
    </row>
    <row r="19" spans="2:14" x14ac:dyDescent="0.3">
      <c r="B19" s="1" t="str">
        <f>Överblick!A25</f>
        <v>Hushåll</v>
      </c>
      <c r="C19" s="77">
        <f>64+225</f>
        <v>289</v>
      </c>
      <c r="D19" s="1">
        <f>Överblick!B25</f>
        <v>100</v>
      </c>
      <c r="E19" s="19">
        <f t="shared" si="0"/>
        <v>2.89</v>
      </c>
      <c r="F19" s="20"/>
      <c r="G19" s="3" t="str">
        <f>IF(C19&lt;D19*(1-Överblick!C25),C19," ")</f>
        <v xml:space="preserve"> </v>
      </c>
      <c r="H19" s="3">
        <f>IF(C19&gt;D19*(1+Överblick!C25),C19," ")</f>
        <v>289</v>
      </c>
      <c r="K19" s="29"/>
      <c r="L19" s="29"/>
      <c r="M19" s="29"/>
      <c r="N19" s="29"/>
    </row>
    <row r="20" spans="2:14" x14ac:dyDescent="0.3">
      <c r="B20" s="1" t="str">
        <f>Överblick!A26</f>
        <v>Transport</v>
      </c>
      <c r="C20" s="15"/>
      <c r="D20" s="1">
        <f>Överblick!B26</f>
        <v>400</v>
      </c>
      <c r="E20" s="19" t="str">
        <f t="shared" si="0"/>
        <v xml:space="preserve"> </v>
      </c>
      <c r="F20" s="20"/>
      <c r="G20" s="3">
        <f>IF(C20&lt;D20*(1-Överblick!C26),C20," ")</f>
        <v>0</v>
      </c>
      <c r="H20" s="3" t="str">
        <f>IF(C20&gt;D20*(1+Överblick!C26),C20," ")</f>
        <v xml:space="preserve"> </v>
      </c>
      <c r="K20" s="31"/>
      <c r="L20" s="31"/>
      <c r="M20" s="31"/>
      <c r="N20" s="29"/>
    </row>
    <row r="21" spans="2:14" x14ac:dyDescent="0.3">
      <c r="B21" s="1" t="str">
        <f>Överblick!A27</f>
        <v>Sport och gym</v>
      </c>
      <c r="C21" s="15"/>
      <c r="D21" s="1">
        <f>Överblick!B27</f>
        <v>250</v>
      </c>
      <c r="E21" s="19" t="str">
        <f t="shared" si="0"/>
        <v xml:space="preserve"> </v>
      </c>
      <c r="F21" s="20"/>
      <c r="G21" s="3">
        <f>IF(C21&lt;D21*(1-Överblick!C27),C21," ")</f>
        <v>0</v>
      </c>
      <c r="H21" s="3" t="str">
        <f>IF(C21&gt;D21*(1+Överblick!C27),C21," ")</f>
        <v xml:space="preserve"> </v>
      </c>
      <c r="K21" s="29"/>
      <c r="L21" s="29"/>
      <c r="M21" s="29"/>
      <c r="N21" s="29"/>
    </row>
    <row r="22" spans="2:14" x14ac:dyDescent="0.3">
      <c r="B22" s="1" t="str">
        <f>Överblick!A28</f>
        <v>Date night</v>
      </c>
      <c r="C22" s="77">
        <v>560</v>
      </c>
      <c r="D22" s="1">
        <f>Överblick!B28</f>
        <v>300</v>
      </c>
      <c r="E22" s="19">
        <f t="shared" si="0"/>
        <v>1.8666666666666667</v>
      </c>
      <c r="F22" s="20"/>
      <c r="G22" s="3" t="str">
        <f>IF(C22&lt;D22*(1-Överblick!C28),C22," ")</f>
        <v xml:space="preserve"> </v>
      </c>
      <c r="H22" s="3">
        <f>IF(C22&gt;D22*(1+Överblick!C28),C22," ")</f>
        <v>560</v>
      </c>
      <c r="K22" s="29"/>
      <c r="L22" s="29"/>
      <c r="M22" s="29"/>
      <c r="N22" s="29"/>
    </row>
    <row r="23" spans="2:14" x14ac:dyDescent="0.3">
      <c r="B23" s="1" t="str">
        <f>Överblick!A29</f>
        <v>Godis och snacks</v>
      </c>
      <c r="C23" s="15">
        <f>35+20+17+20+19+19+8+16+38+30+20+7</f>
        <v>249</v>
      </c>
      <c r="D23" s="25">
        <f>Överblick!B29</f>
        <v>150</v>
      </c>
      <c r="E23" s="26">
        <f t="shared" si="0"/>
        <v>1.66</v>
      </c>
      <c r="F23" s="27"/>
      <c r="G23" s="3" t="str">
        <f>IF(C23&lt;D23*(1-Överblick!C29),C23," ")</f>
        <v xml:space="preserve"> </v>
      </c>
      <c r="H23" s="3">
        <f>IF(C23&gt;D23*(1+Överblick!C29),C23," ")</f>
        <v>249</v>
      </c>
      <c r="K23" s="29"/>
      <c r="L23" s="29"/>
      <c r="M23" s="29"/>
      <c r="N23" s="29"/>
    </row>
    <row r="24" spans="2:14" ht="15" thickBot="1" x14ac:dyDescent="0.35">
      <c r="B24" s="13" t="str">
        <f>Överblick!A30</f>
        <v>Övriga utgifter</v>
      </c>
      <c r="C24" s="78">
        <f>3343+200</f>
        <v>3543</v>
      </c>
      <c r="D24" s="8">
        <f>Överblick!B30</f>
        <v>500</v>
      </c>
      <c r="E24" s="9">
        <f t="shared" si="0"/>
        <v>7.0860000000000003</v>
      </c>
      <c r="F24" s="79"/>
      <c r="G24" s="3" t="str">
        <f>IF(C24&lt;D24*(1-Överblick!C30),C24," ")</f>
        <v xml:space="preserve"> </v>
      </c>
      <c r="H24" s="3">
        <f>IF(C24&gt;D24*(1+Överblick!C30),C24," ")</f>
        <v>3543</v>
      </c>
      <c r="K24" s="29"/>
      <c r="L24" s="29"/>
      <c r="M24" s="29"/>
      <c r="N24" s="29"/>
    </row>
    <row r="25" spans="2:14" x14ac:dyDescent="0.3">
      <c r="B25" s="12" t="str">
        <f>Överblick!A31</f>
        <v>Totala utgifter</v>
      </c>
      <c r="C25" s="1">
        <f>SUM(C12:C24)</f>
        <v>17910</v>
      </c>
      <c r="D25" s="1">
        <f>Överblick!B31</f>
        <v>9400</v>
      </c>
      <c r="E25" s="28">
        <f>IFERROR(IF(C25/D25=0," ",C25/D25)," ")</f>
        <v>1.9053191489361703</v>
      </c>
      <c r="F25" s="28"/>
      <c r="K25" s="29"/>
      <c r="L25" s="29"/>
      <c r="M25" s="29"/>
      <c r="N25" s="29"/>
    </row>
    <row r="26" spans="2:14" x14ac:dyDescent="0.3">
      <c r="D26" s="29"/>
      <c r="E26" s="30"/>
      <c r="F26" s="30"/>
      <c r="G26" s="3">
        <f>IF(C27&gt;D27*(1+Överblick!C33),C27," ")</f>
        <v>6447</v>
      </c>
      <c r="H26" s="3" t="str">
        <f>IF(C27&lt;D27*(1-Överblick!C33),C27," ")</f>
        <v xml:space="preserve"> </v>
      </c>
      <c r="K26" s="29"/>
      <c r="L26" s="29"/>
      <c r="M26" s="29"/>
      <c r="N26" s="29"/>
    </row>
    <row r="27" spans="2:14" ht="15" thickBot="1" x14ac:dyDescent="0.35">
      <c r="B27" s="33" t="s">
        <v>3</v>
      </c>
      <c r="C27" s="8">
        <f>ROUND(C8-C25,0)</f>
        <v>6447</v>
      </c>
      <c r="D27" s="22">
        <f>Överblick!B33</f>
        <v>1544</v>
      </c>
      <c r="E27" s="14">
        <f>IFERROR(C27/D27," ")</f>
        <v>4.1755181347150261</v>
      </c>
      <c r="F27" s="14"/>
      <c r="I27" s="29"/>
      <c r="J27" s="29"/>
      <c r="K27" s="29"/>
      <c r="L27" s="29"/>
      <c r="M27" s="29"/>
      <c r="N27" s="29"/>
    </row>
    <row r="28" spans="2:14" x14ac:dyDescent="0.3">
      <c r="I28" s="29"/>
      <c r="J28" s="29"/>
      <c r="K28" s="29"/>
      <c r="L28" s="29"/>
      <c r="M28" s="29"/>
      <c r="N28" s="29"/>
    </row>
    <row r="29" spans="2:14" x14ac:dyDescent="0.3">
      <c r="I29" s="29"/>
      <c r="J29" s="29"/>
      <c r="K29" s="29"/>
      <c r="L29" s="29"/>
      <c r="M29" s="29"/>
      <c r="N29" s="29"/>
    </row>
  </sheetData>
  <sheetProtection algorithmName="SHA-512" hashValue="HXZABJTRG2l9l5gWM6G4dVqivMR9ifyuB6Btj+GyPb23BX0cDsedWBAk4qLHUcy9fxN5zeBwbyDXT+1dRwoKfA==" saltValue="GgMs6p5BxmkwFRopr/L+fw==" spinCount="100000" sheet="1" objects="1" scenarios="1"/>
  <conditionalFormatting sqref="E27 E5:E8 E12:E25">
    <cfRule type="cellIs" dxfId="90" priority="7" operator="between">
      <formula>$D$10</formula>
      <formula>$E$10</formula>
    </cfRule>
  </conditionalFormatting>
  <conditionalFormatting sqref="E5:E8 E27">
    <cfRule type="cellIs" dxfId="89" priority="3" operator="lessThan">
      <formula>$D$10</formula>
    </cfRule>
    <cfRule type="cellIs" dxfId="88" priority="4" operator="greaterThan">
      <formula>$E$10</formula>
    </cfRule>
  </conditionalFormatting>
  <conditionalFormatting sqref="E5:E8 E27 E12:E25">
    <cfRule type="beginsWith" dxfId="87" priority="2" operator="beginsWith" text=" ">
      <formula>LEFT(E5,LEN(" "))=" "</formula>
    </cfRule>
  </conditionalFormatting>
  <conditionalFormatting sqref="E12:E25">
    <cfRule type="cellIs" dxfId="86" priority="5" operator="greaterThan">
      <formula>$E$10</formula>
    </cfRule>
    <cfRule type="cellIs" dxfId="85" priority="6" operator="lessThan">
      <formula>$D$10</formula>
    </cfRule>
  </conditionalFormatting>
  <conditionalFormatting sqref="E1:E1048576">
    <cfRule type="cellIs" dxfId="84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AAC32-0B66-4296-A842-0990C0FFBE6E}">
  <sheetPr codeName="Sheet19">
    <tabColor rgb="FFFFC000"/>
  </sheetPr>
  <dimension ref="B1:N29"/>
  <sheetViews>
    <sheetView showGridLines="0" zoomScaleNormal="100" workbookViewId="0">
      <selection activeCell="C23" sqref="C23"/>
    </sheetView>
  </sheetViews>
  <sheetFormatPr defaultColWidth="8.88671875" defaultRowHeight="14.4" x14ac:dyDescent="0.3"/>
  <cols>
    <col min="1" max="1" width="10.88671875" style="3" customWidth="1"/>
    <col min="2" max="2" width="20" style="3" bestFit="1" customWidth="1"/>
    <col min="3" max="3" width="11" style="3" bestFit="1" customWidth="1"/>
    <col min="4" max="4" width="10.88671875" style="3" bestFit="1" customWidth="1"/>
    <col min="5" max="6" width="13" style="4" customWidth="1"/>
    <col min="7" max="8" width="9.77734375" style="3" bestFit="1" customWidth="1"/>
    <col min="9" max="9" width="11" style="3" customWidth="1"/>
    <col min="10" max="15" width="8.88671875" style="3"/>
    <col min="16" max="16" width="10.77734375" style="3" customWidth="1"/>
    <col min="17" max="16384" width="8.88671875" style="3"/>
  </cols>
  <sheetData>
    <row r="1" spans="2:14" x14ac:dyDescent="0.3">
      <c r="I1" s="32"/>
      <c r="J1" s="29"/>
      <c r="K1" s="29"/>
      <c r="L1" s="29"/>
      <c r="M1" s="29"/>
      <c r="N1" s="29"/>
    </row>
    <row r="2" spans="2:14" x14ac:dyDescent="0.3">
      <c r="I2" s="29"/>
      <c r="J2" s="29"/>
      <c r="K2" s="29"/>
      <c r="L2" s="29"/>
      <c r="M2" s="29"/>
      <c r="N2" s="29"/>
    </row>
    <row r="3" spans="2:14" x14ac:dyDescent="0.3">
      <c r="I3" s="29"/>
      <c r="J3" s="29"/>
      <c r="K3" s="29"/>
      <c r="L3" s="29"/>
      <c r="M3" s="29"/>
      <c r="N3" s="29"/>
    </row>
    <row r="4" spans="2:14" ht="15" thickBot="1" x14ac:dyDescent="0.35">
      <c r="B4" s="33" t="str">
        <f>Överblick!A10</f>
        <v>Inkomst</v>
      </c>
      <c r="C4" s="33" t="s">
        <v>11</v>
      </c>
      <c r="D4" s="34" t="s">
        <v>10</v>
      </c>
      <c r="E4" s="36" t="s">
        <v>37</v>
      </c>
      <c r="F4" s="36" t="s">
        <v>38</v>
      </c>
      <c r="G4" s="3" t="s">
        <v>12</v>
      </c>
      <c r="H4" s="3" t="s">
        <v>13</v>
      </c>
      <c r="K4" s="29"/>
      <c r="L4" s="29"/>
      <c r="M4" s="29"/>
      <c r="N4" s="29"/>
    </row>
    <row r="5" spans="2:14" x14ac:dyDescent="0.3">
      <c r="B5" s="2" t="str">
        <f>Överblick!A11</f>
        <v>CSN</v>
      </c>
      <c r="C5" s="15">
        <v>10444</v>
      </c>
      <c r="D5" s="16">
        <f>Överblick!B11</f>
        <v>10444</v>
      </c>
      <c r="E5" s="17">
        <f>IFERROR(C5/D5," ")</f>
        <v>1</v>
      </c>
      <c r="F5" s="18"/>
      <c r="G5" s="3" t="str">
        <f>IF(C5&gt;D5*(1+Överblick!C11),C5," ")</f>
        <v xml:space="preserve"> </v>
      </c>
      <c r="H5" s="3" t="str">
        <f>IF(C5&lt;D5*(1-Överblick!C11),C5," ")</f>
        <v xml:space="preserve"> </v>
      </c>
      <c r="K5" s="29"/>
      <c r="L5" s="29"/>
      <c r="M5" s="29"/>
      <c r="N5" s="29"/>
    </row>
    <row r="6" spans="2:14" x14ac:dyDescent="0.3">
      <c r="B6" s="2" t="str">
        <f>Överblick!A12</f>
        <v>Lön</v>
      </c>
      <c r="C6" s="15"/>
      <c r="D6" s="16">
        <f>Överblick!B12</f>
        <v>500</v>
      </c>
      <c r="E6" s="19">
        <f>IFERROR(C6/D6," ")</f>
        <v>0</v>
      </c>
      <c r="F6" s="20"/>
      <c r="G6" s="3" t="str">
        <f>IF(C6&gt;D6*(1+Överblick!C12),C6," ")</f>
        <v xml:space="preserve"> </v>
      </c>
      <c r="H6" s="3">
        <f>IF(C6&lt;D6*(1-Överblick!C12),C6," ")</f>
        <v>0</v>
      </c>
      <c r="K6" s="29"/>
      <c r="L6" s="29"/>
      <c r="M6" s="29"/>
      <c r="N6" s="29"/>
    </row>
    <row r="7" spans="2:14" ht="15" thickBot="1" x14ac:dyDescent="0.35">
      <c r="B7" s="13" t="str">
        <f>Överblick!A13</f>
        <v>Övrig inkomst</v>
      </c>
      <c r="C7" s="21"/>
      <c r="D7" s="22">
        <f>Överblick!B13</f>
        <v>0</v>
      </c>
      <c r="E7" s="14" t="str">
        <f>IFERROR(C7/D7," ")</f>
        <v xml:space="preserve"> </v>
      </c>
      <c r="F7" s="23"/>
      <c r="G7" s="3" t="str">
        <f>IF(C7&gt;D7*(1+Överblick!C13),C7," ")</f>
        <v xml:space="preserve"> </v>
      </c>
      <c r="H7" s="3" t="str">
        <f>IF(C7&lt;D7*(1-Överblick!C13),C7," ")</f>
        <v xml:space="preserve"> </v>
      </c>
      <c r="K7" s="29"/>
      <c r="L7" s="29"/>
      <c r="M7" s="29"/>
      <c r="N7" s="29"/>
    </row>
    <row r="8" spans="2:14" x14ac:dyDescent="0.3">
      <c r="B8" s="2" t="str">
        <f>Överblick!A14</f>
        <v>Total inkomst</v>
      </c>
      <c r="C8" s="24">
        <f>SUM(C5:C7)</f>
        <v>10444</v>
      </c>
      <c r="D8" s="16">
        <f>Överblick!B14</f>
        <v>10944</v>
      </c>
      <c r="E8" s="17">
        <f>IFERROR(C8/D8," ")</f>
        <v>0.95431286549707606</v>
      </c>
      <c r="F8" s="17"/>
      <c r="K8" s="29"/>
      <c r="L8" s="29"/>
      <c r="M8" s="29"/>
      <c r="N8" s="29"/>
    </row>
    <row r="9" spans="2:14" x14ac:dyDescent="0.3">
      <c r="B9" s="29"/>
      <c r="K9" s="29"/>
      <c r="L9" s="29"/>
      <c r="M9" s="29"/>
      <c r="N9" s="29"/>
    </row>
    <row r="10" spans="2:14" x14ac:dyDescent="0.3">
      <c r="D10" s="4">
        <v>0.75</v>
      </c>
      <c r="E10" s="4">
        <v>1.25</v>
      </c>
      <c r="K10" s="29"/>
      <c r="L10" s="29"/>
      <c r="M10" s="29"/>
      <c r="N10" s="29"/>
    </row>
    <row r="11" spans="2:14" ht="15" thickBot="1" x14ac:dyDescent="0.35">
      <c r="B11" s="33" t="s">
        <v>9</v>
      </c>
      <c r="C11" s="33" t="s">
        <v>11</v>
      </c>
      <c r="D11" s="34" t="s">
        <v>10</v>
      </c>
      <c r="E11" s="35" t="s">
        <v>37</v>
      </c>
      <c r="F11" s="35" t="s">
        <v>38</v>
      </c>
      <c r="G11" s="3" t="s">
        <v>12</v>
      </c>
      <c r="H11" s="3" t="s">
        <v>13</v>
      </c>
      <c r="K11" s="29"/>
      <c r="L11" s="29"/>
      <c r="M11" s="29"/>
      <c r="N11" s="29"/>
    </row>
    <row r="12" spans="2:14" x14ac:dyDescent="0.3">
      <c r="B12" s="1" t="str">
        <f>Överblick!A18</f>
        <v>Hyra</v>
      </c>
      <c r="C12" s="15">
        <v>5000</v>
      </c>
      <c r="D12" s="1">
        <f>Överblick!B18</f>
        <v>5000</v>
      </c>
      <c r="E12" s="19">
        <f>IFERROR(IF(C12/D12=0," ",C12/D12)," ")</f>
        <v>1</v>
      </c>
      <c r="F12" s="18"/>
      <c r="G12" s="3" t="str">
        <f>IF(C12&lt;D12*(1-Överblick!C18),C12," ")</f>
        <v xml:space="preserve"> </v>
      </c>
      <c r="H12" s="3" t="str">
        <f>IF(C12&gt;D12*(1+Överblick!C18),C12," ")</f>
        <v xml:space="preserve"> </v>
      </c>
      <c r="K12" s="29"/>
      <c r="L12" s="29"/>
      <c r="M12" s="29"/>
      <c r="N12" s="29"/>
    </row>
    <row r="13" spans="2:14" x14ac:dyDescent="0.3">
      <c r="B13" s="1" t="str">
        <f>Överblick!A19</f>
        <v>Mat/förbrukningsvaror</v>
      </c>
      <c r="C13" s="15">
        <v>1280</v>
      </c>
      <c r="D13" s="1">
        <f>Överblick!B19</f>
        <v>1250</v>
      </c>
      <c r="E13" s="19">
        <f t="shared" ref="E13:E24" si="0">IFERROR(IF(C13/D13=0," ",C13/D13)," ")</f>
        <v>1.024</v>
      </c>
      <c r="F13" s="20"/>
      <c r="G13" s="3" t="str">
        <f>IF(C13&lt;D13*(1-Överblick!C19),C13," ")</f>
        <v xml:space="preserve"> </v>
      </c>
      <c r="H13" s="3" t="str">
        <f>IF(C13&gt;D13*(1+Överblick!C19),C13," ")</f>
        <v xml:space="preserve"> </v>
      </c>
      <c r="K13" s="29"/>
      <c r="L13" s="29"/>
      <c r="M13" s="29"/>
      <c r="N13" s="29"/>
    </row>
    <row r="14" spans="2:14" x14ac:dyDescent="0.3">
      <c r="B14" s="1" t="str">
        <f>Överblick!A20</f>
        <v>Kläder och accessoarer</v>
      </c>
      <c r="C14" s="15">
        <v>262</v>
      </c>
      <c r="D14" s="1">
        <f>Överblick!B20</f>
        <v>400</v>
      </c>
      <c r="E14" s="19">
        <f t="shared" si="0"/>
        <v>0.65500000000000003</v>
      </c>
      <c r="F14" s="20"/>
      <c r="G14" s="3">
        <f>IF(C14&lt;D14*(1-Överblick!C20),C14," ")</f>
        <v>262</v>
      </c>
      <c r="H14" s="3" t="str">
        <f>IF(C14&gt;D14*(1+Överblick!C20),C14," ")</f>
        <v xml:space="preserve"> </v>
      </c>
      <c r="K14" s="29"/>
      <c r="L14" s="29"/>
      <c r="M14" s="29"/>
      <c r="N14" s="29"/>
    </row>
    <row r="15" spans="2:14" x14ac:dyDescent="0.3">
      <c r="B15" s="1" t="str">
        <f>Överblick!A21</f>
        <v>Utemat</v>
      </c>
      <c r="C15" s="15">
        <f>75+85+50</f>
        <v>210</v>
      </c>
      <c r="D15" s="1">
        <f>Överblick!B21</f>
        <v>250</v>
      </c>
      <c r="E15" s="19">
        <f t="shared" si="0"/>
        <v>0.84</v>
      </c>
      <c r="F15" s="20"/>
      <c r="G15" s="3" t="str">
        <f>IF(C15&lt;D15*(1-Överblick!C21),C15," ")</f>
        <v xml:space="preserve"> </v>
      </c>
      <c r="H15" s="3" t="str">
        <f>IF(C15&gt;D15*(1+Överblick!C21),C15," ")</f>
        <v xml:space="preserve"> </v>
      </c>
      <c r="K15" s="29"/>
      <c r="L15" s="29"/>
      <c r="M15" s="29"/>
      <c r="N15" s="29"/>
    </row>
    <row r="16" spans="2:14" x14ac:dyDescent="0.3">
      <c r="B16" s="1" t="str">
        <f>Överblick!A22</f>
        <v>Studiematerial</v>
      </c>
      <c r="C16" s="15">
        <v>350</v>
      </c>
      <c r="D16" s="1">
        <f>Överblick!B22</f>
        <v>300</v>
      </c>
      <c r="E16" s="19">
        <f t="shared" si="0"/>
        <v>1.1666666666666667</v>
      </c>
      <c r="F16" s="20"/>
      <c r="G16" s="3" t="str">
        <f>IF(C16&lt;D16*(1-Överblick!C22),C16," ")</f>
        <v xml:space="preserve"> </v>
      </c>
      <c r="H16" s="3" t="str">
        <f>IF(C16&gt;D16*(1+Överblick!C22),C16," ")</f>
        <v xml:space="preserve"> </v>
      </c>
      <c r="K16" s="29"/>
      <c r="L16" s="29"/>
      <c r="M16" s="31"/>
      <c r="N16" s="29"/>
    </row>
    <row r="17" spans="2:14" x14ac:dyDescent="0.3">
      <c r="B17" s="1" t="str">
        <f>Överblick!A23</f>
        <v>Teknik och prylar</v>
      </c>
      <c r="C17" s="15">
        <v>165</v>
      </c>
      <c r="D17" s="1">
        <f>Överblick!B23</f>
        <v>200</v>
      </c>
      <c r="E17" s="19">
        <f t="shared" si="0"/>
        <v>0.82499999999999996</v>
      </c>
      <c r="F17" s="20"/>
      <c r="G17" s="3" t="str">
        <f>IF(C17&lt;D17*(1-Överblick!C23),C17," ")</f>
        <v xml:space="preserve"> </v>
      </c>
      <c r="H17" s="3" t="str">
        <f>IF(C17&gt;D17*(1+Överblick!C23),C17," ")</f>
        <v xml:space="preserve"> </v>
      </c>
      <c r="K17" s="29"/>
      <c r="L17" s="29"/>
      <c r="M17" s="31"/>
      <c r="N17" s="29"/>
    </row>
    <row r="18" spans="2:14" x14ac:dyDescent="0.3">
      <c r="B18" s="1" t="str">
        <f>Överblick!A24</f>
        <v>Dricka och aktiviteter</v>
      </c>
      <c r="C18" s="15">
        <v>120</v>
      </c>
      <c r="D18" s="1">
        <f>Överblick!B24</f>
        <v>300</v>
      </c>
      <c r="E18" s="19">
        <f t="shared" si="0"/>
        <v>0.4</v>
      </c>
      <c r="F18" s="20"/>
      <c r="G18" s="3">
        <f>IF(C18&lt;D18*(1-Överblick!C24),C18," ")</f>
        <v>120</v>
      </c>
      <c r="H18" s="3" t="str">
        <f>IF(C18&gt;D18*(1+Överblick!C24),C18," ")</f>
        <v xml:space="preserve"> </v>
      </c>
      <c r="K18" s="29"/>
      <c r="L18" s="29"/>
      <c r="M18" s="31"/>
      <c r="N18" s="29"/>
    </row>
    <row r="19" spans="2:14" x14ac:dyDescent="0.3">
      <c r="B19" s="1" t="str">
        <f>Överblick!A25</f>
        <v>Hushåll</v>
      </c>
      <c r="C19" s="15">
        <v>70</v>
      </c>
      <c r="D19" s="1">
        <f>Överblick!B25</f>
        <v>100</v>
      </c>
      <c r="E19" s="19">
        <f t="shared" si="0"/>
        <v>0.7</v>
      </c>
      <c r="F19" s="20"/>
      <c r="G19" s="3">
        <f>IF(C19&lt;D19*(1-Överblick!C25),C19," ")</f>
        <v>70</v>
      </c>
      <c r="H19" s="3" t="str">
        <f>IF(C19&gt;D19*(1+Överblick!C25),C19," ")</f>
        <v xml:space="preserve"> </v>
      </c>
      <c r="K19" s="29"/>
      <c r="L19" s="29"/>
      <c r="M19" s="29"/>
      <c r="N19" s="29"/>
    </row>
    <row r="20" spans="2:14" x14ac:dyDescent="0.3">
      <c r="B20" s="1" t="str">
        <f>Överblick!A26</f>
        <v>Transport</v>
      </c>
      <c r="C20" s="15">
        <v>20</v>
      </c>
      <c r="D20" s="1">
        <f>Överblick!B26</f>
        <v>400</v>
      </c>
      <c r="E20" s="19">
        <f t="shared" si="0"/>
        <v>0.05</v>
      </c>
      <c r="F20" s="20"/>
      <c r="G20" s="3">
        <f>IF(C20&lt;D20*(1-Överblick!C26),C20," ")</f>
        <v>20</v>
      </c>
      <c r="H20" s="3" t="str">
        <f>IF(C20&gt;D20*(1+Överblick!C26),C20," ")</f>
        <v xml:space="preserve"> </v>
      </c>
      <c r="K20" s="31"/>
      <c r="L20" s="31"/>
      <c r="M20" s="31"/>
      <c r="N20" s="29"/>
    </row>
    <row r="21" spans="2:14" x14ac:dyDescent="0.3">
      <c r="B21" s="1" t="str">
        <f>Överblick!A27</f>
        <v>Sport och gym</v>
      </c>
      <c r="C21" s="15"/>
      <c r="D21" s="1">
        <f>Överblick!B27</f>
        <v>250</v>
      </c>
      <c r="E21" s="19" t="str">
        <f t="shared" si="0"/>
        <v xml:space="preserve"> </v>
      </c>
      <c r="F21" s="20"/>
      <c r="G21" s="3">
        <f>IF(C21&lt;D21*(1-Överblick!C27),C21," ")</f>
        <v>0</v>
      </c>
      <c r="H21" s="3" t="str">
        <f>IF(C21&gt;D21*(1+Överblick!C27),C21," ")</f>
        <v xml:space="preserve"> </v>
      </c>
      <c r="K21" s="29"/>
      <c r="L21" s="29"/>
      <c r="M21" s="29"/>
      <c r="N21" s="29"/>
    </row>
    <row r="22" spans="2:14" x14ac:dyDescent="0.3">
      <c r="B22" s="1" t="str">
        <f>Överblick!A28</f>
        <v>Date night</v>
      </c>
      <c r="C22" s="15">
        <v>600</v>
      </c>
      <c r="D22" s="1">
        <f>Överblick!B28</f>
        <v>300</v>
      </c>
      <c r="E22" s="19">
        <f t="shared" si="0"/>
        <v>2</v>
      </c>
      <c r="F22" s="20"/>
      <c r="G22" s="3" t="str">
        <f>IF(C22&lt;D22*(1-Överblick!C28),C22," ")</f>
        <v xml:space="preserve"> </v>
      </c>
      <c r="H22" s="3">
        <f>IF(C22&gt;D22*(1+Överblick!C28),C22," ")</f>
        <v>600</v>
      </c>
      <c r="K22" s="29"/>
      <c r="L22" s="29"/>
      <c r="M22" s="29"/>
      <c r="N22" s="29"/>
    </row>
    <row r="23" spans="2:14" x14ac:dyDescent="0.3">
      <c r="B23" s="1" t="str">
        <f>Överblick!A29</f>
        <v>Godis och snacks</v>
      </c>
      <c r="C23" s="15">
        <f>30+20+30+17+14+12+16+14+14+14+14+19+65+10+15+19+30</f>
        <v>353</v>
      </c>
      <c r="D23" s="25">
        <f>Överblick!B29</f>
        <v>150</v>
      </c>
      <c r="E23" s="26">
        <f t="shared" si="0"/>
        <v>2.3533333333333335</v>
      </c>
      <c r="F23" s="27"/>
      <c r="G23" s="3" t="str">
        <f>IF(C23&lt;D23*(1-Överblick!C29),C23," ")</f>
        <v xml:space="preserve"> </v>
      </c>
      <c r="H23" s="3">
        <f>IF(C23&gt;D23*(1+Överblick!C29),C23," ")</f>
        <v>353</v>
      </c>
      <c r="K23" s="29"/>
      <c r="L23" s="29"/>
      <c r="M23" s="29"/>
      <c r="N23" s="29"/>
    </row>
    <row r="24" spans="2:14" ht="15" thickBot="1" x14ac:dyDescent="0.35">
      <c r="B24" s="13" t="str">
        <f>Överblick!A30</f>
        <v>Övriga utgifter</v>
      </c>
      <c r="C24" s="21"/>
      <c r="D24" s="8">
        <f>Överblick!B30</f>
        <v>500</v>
      </c>
      <c r="E24" s="9" t="str">
        <f t="shared" si="0"/>
        <v xml:space="preserve"> </v>
      </c>
      <c r="F24" s="79"/>
      <c r="G24" s="3">
        <f>IF(C24&lt;D24*(1-Överblick!C30),C24," ")</f>
        <v>0</v>
      </c>
      <c r="H24" s="3" t="str">
        <f>IF(C24&gt;D24*(1+Överblick!C30),C24," ")</f>
        <v xml:space="preserve"> </v>
      </c>
      <c r="K24" s="29"/>
      <c r="L24" s="29"/>
      <c r="M24" s="29"/>
      <c r="N24" s="29"/>
    </row>
    <row r="25" spans="2:14" x14ac:dyDescent="0.3">
      <c r="B25" s="12" t="str">
        <f>Överblick!A31</f>
        <v>Totala utgifter</v>
      </c>
      <c r="C25" s="1">
        <f>SUM(C12:C24)</f>
        <v>8430</v>
      </c>
      <c r="D25" s="1">
        <f>Överblick!B31</f>
        <v>9400</v>
      </c>
      <c r="E25" s="28">
        <f>IFERROR(IF(C25/D25=0," ",C25/D25)," ")</f>
        <v>0.89680851063829792</v>
      </c>
      <c r="F25" s="28"/>
      <c r="K25" s="29"/>
      <c r="L25" s="29"/>
      <c r="M25" s="29"/>
      <c r="N25" s="29"/>
    </row>
    <row r="26" spans="2:14" x14ac:dyDescent="0.3">
      <c r="D26" s="29"/>
      <c r="E26" s="30"/>
      <c r="F26" s="30"/>
      <c r="G26" s="3">
        <f>IF(C27&gt;D27*(1+Överblick!C33),C27," ")</f>
        <v>2014</v>
      </c>
      <c r="H26" s="3" t="str">
        <f>IF(C27&lt;D27*(1-Överblick!C33),C27," ")</f>
        <v xml:space="preserve"> </v>
      </c>
      <c r="K26" s="29"/>
      <c r="L26" s="29"/>
      <c r="M26" s="29"/>
      <c r="N26" s="29"/>
    </row>
    <row r="27" spans="2:14" ht="15" thickBot="1" x14ac:dyDescent="0.35">
      <c r="B27" s="33" t="s">
        <v>3</v>
      </c>
      <c r="C27" s="8">
        <f>ROUND(C8-C25,0)</f>
        <v>2014</v>
      </c>
      <c r="D27" s="22">
        <f>Överblick!B33</f>
        <v>1544</v>
      </c>
      <c r="E27" s="14">
        <f>IFERROR(C27/D27," ")</f>
        <v>1.3044041450777202</v>
      </c>
      <c r="F27" s="14"/>
      <c r="I27" s="29"/>
      <c r="J27" s="29"/>
      <c r="K27" s="29"/>
      <c r="L27" s="29"/>
      <c r="M27" s="29"/>
      <c r="N27" s="29"/>
    </row>
    <row r="28" spans="2:14" x14ac:dyDescent="0.3">
      <c r="I28" s="29"/>
      <c r="J28" s="29"/>
      <c r="K28" s="29"/>
      <c r="L28" s="29"/>
      <c r="M28" s="29"/>
      <c r="N28" s="29"/>
    </row>
    <row r="29" spans="2:14" x14ac:dyDescent="0.3">
      <c r="I29" s="29"/>
      <c r="J29" s="29"/>
      <c r="K29" s="29"/>
      <c r="L29" s="29"/>
      <c r="M29" s="29"/>
      <c r="N29" s="29"/>
    </row>
  </sheetData>
  <sheetProtection algorithmName="SHA-512" hashValue="xJTOyT7mczzv/e+izf9HSD/HQwmU5/If8yFj4aR+QE3Ll7Nv8akXgqmD4tCaz2iIk6s6ct0CXnJ9jTVbiX0PFQ==" saltValue="uH6yk58754tfADpJI10npA==" spinCount="100000" sheet="1" objects="1" scenarios="1"/>
  <conditionalFormatting sqref="E27 E5:E8 E12:E25">
    <cfRule type="cellIs" dxfId="83" priority="7" operator="between">
      <formula>$D$10</formula>
      <formula>$E$10</formula>
    </cfRule>
  </conditionalFormatting>
  <conditionalFormatting sqref="E5:E8 E27">
    <cfRule type="cellIs" dxfId="82" priority="3" operator="lessThan">
      <formula>$D$10</formula>
    </cfRule>
    <cfRule type="cellIs" dxfId="81" priority="4" operator="greaterThan">
      <formula>$E$10</formula>
    </cfRule>
  </conditionalFormatting>
  <conditionalFormatting sqref="E5:E8 E27 E12:E25">
    <cfRule type="beginsWith" dxfId="80" priority="2" operator="beginsWith" text=" ">
      <formula>LEFT(E5,LEN(" "))=" "</formula>
    </cfRule>
  </conditionalFormatting>
  <conditionalFormatting sqref="E12:E25">
    <cfRule type="cellIs" dxfId="79" priority="5" operator="greaterThan">
      <formula>$E$10</formula>
    </cfRule>
    <cfRule type="cellIs" dxfId="78" priority="6" operator="lessThan">
      <formula>$D$10</formula>
    </cfRule>
  </conditionalFormatting>
  <conditionalFormatting sqref="E1:E1048576">
    <cfRule type="cellIs" dxfId="77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BA193-B1E8-42A2-AA62-A1943D8E6112}">
  <sheetPr codeName="Sheet20">
    <tabColor rgb="FFFFC000"/>
  </sheetPr>
  <dimension ref="B1:N29"/>
  <sheetViews>
    <sheetView showGridLines="0" zoomScaleNormal="100" workbookViewId="0">
      <selection activeCell="C14" sqref="C14"/>
    </sheetView>
  </sheetViews>
  <sheetFormatPr defaultColWidth="8.88671875" defaultRowHeight="14.4" x14ac:dyDescent="0.3"/>
  <cols>
    <col min="1" max="1" width="10.88671875" style="3" customWidth="1"/>
    <col min="2" max="2" width="20" style="3" bestFit="1" customWidth="1"/>
    <col min="3" max="3" width="11" style="3" bestFit="1" customWidth="1"/>
    <col min="4" max="4" width="10.88671875" style="3" bestFit="1" customWidth="1"/>
    <col min="5" max="6" width="13" style="4" customWidth="1"/>
    <col min="7" max="8" width="9.77734375" style="3" bestFit="1" customWidth="1"/>
    <col min="9" max="9" width="11" style="3" customWidth="1"/>
    <col min="10" max="15" width="8.88671875" style="3"/>
    <col min="16" max="16" width="10.77734375" style="3" customWidth="1"/>
    <col min="17" max="16384" width="8.88671875" style="3"/>
  </cols>
  <sheetData>
    <row r="1" spans="2:14" x14ac:dyDescent="0.3">
      <c r="I1" s="32"/>
      <c r="J1" s="29"/>
      <c r="K1" s="29"/>
      <c r="L1" s="29"/>
      <c r="M1" s="29"/>
      <c r="N1" s="29"/>
    </row>
    <row r="2" spans="2:14" x14ac:dyDescent="0.3">
      <c r="I2" s="29"/>
      <c r="J2" s="29"/>
      <c r="K2" s="29"/>
      <c r="L2" s="29"/>
      <c r="M2" s="29"/>
      <c r="N2" s="29"/>
    </row>
    <row r="3" spans="2:14" x14ac:dyDescent="0.3">
      <c r="I3" s="29"/>
      <c r="J3" s="29"/>
      <c r="K3" s="29"/>
      <c r="L3" s="29"/>
      <c r="M3" s="29"/>
      <c r="N3" s="29"/>
    </row>
    <row r="4" spans="2:14" ht="15" thickBot="1" x14ac:dyDescent="0.35">
      <c r="B4" s="33" t="str">
        <f>Överblick!A10</f>
        <v>Inkomst</v>
      </c>
      <c r="C4" s="33" t="s">
        <v>11</v>
      </c>
      <c r="D4" s="34" t="s">
        <v>10</v>
      </c>
      <c r="E4" s="36" t="s">
        <v>37</v>
      </c>
      <c r="F4" s="36" t="s">
        <v>38</v>
      </c>
      <c r="G4" s="3" t="s">
        <v>12</v>
      </c>
      <c r="H4" s="3" t="s">
        <v>13</v>
      </c>
      <c r="K4" s="29"/>
      <c r="L4" s="29"/>
      <c r="M4" s="29"/>
      <c r="N4" s="29"/>
    </row>
    <row r="5" spans="2:14" x14ac:dyDescent="0.3">
      <c r="B5" s="2" t="str">
        <f>Överblick!A11</f>
        <v>CSN</v>
      </c>
      <c r="C5" s="15">
        <v>10444</v>
      </c>
      <c r="D5" s="16">
        <f>Överblick!B11</f>
        <v>10444</v>
      </c>
      <c r="E5" s="17">
        <f>IFERROR(C5/D5," ")</f>
        <v>1</v>
      </c>
      <c r="F5" s="18"/>
      <c r="G5" s="3" t="str">
        <f>IF(C5&gt;D5*(1+Överblick!C11),C5," ")</f>
        <v xml:space="preserve"> </v>
      </c>
      <c r="H5" s="3" t="str">
        <f>IF(C5&lt;D5*(1-Överblick!C11),C5," ")</f>
        <v xml:space="preserve"> </v>
      </c>
      <c r="K5" s="29"/>
      <c r="L5" s="29"/>
      <c r="M5" s="29"/>
      <c r="N5" s="29"/>
    </row>
    <row r="6" spans="2:14" x14ac:dyDescent="0.3">
      <c r="B6" s="2" t="str">
        <f>Överblick!A12</f>
        <v>Lön</v>
      </c>
      <c r="C6" s="15">
        <v>2570</v>
      </c>
      <c r="D6" s="16">
        <f>Överblick!B12</f>
        <v>500</v>
      </c>
      <c r="E6" s="19">
        <f>IFERROR(C6/D6," ")</f>
        <v>5.14</v>
      </c>
      <c r="F6" s="20"/>
      <c r="G6" s="3">
        <f>IF(C6&gt;D6*(1+Överblick!C12),C6," ")</f>
        <v>2570</v>
      </c>
      <c r="H6" s="3" t="str">
        <f>IF(C6&lt;D6*(1-Överblick!C12),C6," ")</f>
        <v xml:space="preserve"> </v>
      </c>
      <c r="K6" s="29"/>
      <c r="L6" s="29"/>
      <c r="M6" s="29"/>
      <c r="N6" s="29"/>
    </row>
    <row r="7" spans="2:14" ht="15" thickBot="1" x14ac:dyDescent="0.35">
      <c r="B7" s="13" t="str">
        <f>Överblick!A13</f>
        <v>Övrig inkomst</v>
      </c>
      <c r="C7" s="21"/>
      <c r="D7" s="22">
        <f>Överblick!B13</f>
        <v>0</v>
      </c>
      <c r="E7" s="14" t="str">
        <f>IFERROR(C7/D7," ")</f>
        <v xml:space="preserve"> </v>
      </c>
      <c r="F7" s="23"/>
      <c r="G7" s="3" t="str">
        <f>IF(C7&gt;D7*(1+Överblick!C13),C7," ")</f>
        <v xml:space="preserve"> </v>
      </c>
      <c r="H7" s="3" t="str">
        <f>IF(C7&lt;D7*(1-Överblick!C13),C7," ")</f>
        <v xml:space="preserve"> </v>
      </c>
      <c r="K7" s="29"/>
      <c r="L7" s="29"/>
      <c r="M7" s="29"/>
      <c r="N7" s="29"/>
    </row>
    <row r="8" spans="2:14" x14ac:dyDescent="0.3">
      <c r="B8" s="2" t="str">
        <f>Överblick!A14</f>
        <v>Total inkomst</v>
      </c>
      <c r="C8" s="24">
        <f>SUM(C5:C7)</f>
        <v>13014</v>
      </c>
      <c r="D8" s="16">
        <f>Överblick!B14</f>
        <v>10944</v>
      </c>
      <c r="E8" s="17">
        <f>IFERROR(C8/D8," ")</f>
        <v>1.1891447368421053</v>
      </c>
      <c r="F8" s="17"/>
      <c r="K8" s="29"/>
      <c r="L8" s="29"/>
      <c r="M8" s="29"/>
      <c r="N8" s="29"/>
    </row>
    <row r="9" spans="2:14" x14ac:dyDescent="0.3">
      <c r="B9" s="29"/>
      <c r="K9" s="29"/>
      <c r="L9" s="29"/>
      <c r="M9" s="29"/>
      <c r="N9" s="29"/>
    </row>
    <row r="10" spans="2:14" x14ac:dyDescent="0.3">
      <c r="D10" s="4">
        <v>0.75</v>
      </c>
      <c r="E10" s="4">
        <v>1.25</v>
      </c>
      <c r="K10" s="29"/>
      <c r="L10" s="29"/>
      <c r="M10" s="29"/>
      <c r="N10" s="29"/>
    </row>
    <row r="11" spans="2:14" ht="15" thickBot="1" x14ac:dyDescent="0.35">
      <c r="B11" s="33" t="s">
        <v>9</v>
      </c>
      <c r="C11" s="33" t="s">
        <v>11</v>
      </c>
      <c r="D11" s="34" t="s">
        <v>10</v>
      </c>
      <c r="E11" s="35" t="s">
        <v>37</v>
      </c>
      <c r="F11" s="35" t="s">
        <v>38</v>
      </c>
      <c r="G11" s="3" t="s">
        <v>12</v>
      </c>
      <c r="H11" s="3" t="s">
        <v>13</v>
      </c>
      <c r="K11" s="29"/>
      <c r="L11" s="29"/>
      <c r="M11" s="29"/>
      <c r="N11" s="29"/>
    </row>
    <row r="12" spans="2:14" x14ac:dyDescent="0.3">
      <c r="B12" s="1" t="str">
        <f>Överblick!A18</f>
        <v>Hyra</v>
      </c>
      <c r="C12" s="15">
        <v>5000</v>
      </c>
      <c r="D12" s="1">
        <f>Överblick!B18</f>
        <v>5000</v>
      </c>
      <c r="E12" s="19">
        <f>IFERROR(IF(C12/D12=0," ",C12/D12)," ")</f>
        <v>1</v>
      </c>
      <c r="F12" s="18"/>
      <c r="G12" s="3" t="str">
        <f>IF(C12&lt;D12*(1-Överblick!C18),C12," ")</f>
        <v xml:space="preserve"> </v>
      </c>
      <c r="H12" s="3" t="str">
        <f>IF(C12&gt;D12*(1+Överblick!C18),C12," ")</f>
        <v xml:space="preserve"> </v>
      </c>
      <c r="K12" s="29"/>
      <c r="L12" s="29"/>
      <c r="M12" s="29"/>
      <c r="N12" s="29"/>
    </row>
    <row r="13" spans="2:14" x14ac:dyDescent="0.3">
      <c r="B13" s="1" t="str">
        <f>Överblick!A19</f>
        <v>Mat/förbrukningsvaror</v>
      </c>
      <c r="C13" s="15">
        <v>1678</v>
      </c>
      <c r="D13" s="1">
        <f>Överblick!B19</f>
        <v>1250</v>
      </c>
      <c r="E13" s="19">
        <f t="shared" ref="E13:E24" si="0">IFERROR(IF(C13/D13=0," ",C13/D13)," ")</f>
        <v>1.3424</v>
      </c>
      <c r="F13" s="20"/>
      <c r="G13" s="3" t="str">
        <f>IF(C13&lt;D13*(1-Överblick!C19),C13," ")</f>
        <v xml:space="preserve"> </v>
      </c>
      <c r="H13" s="3">
        <f>IF(C13&gt;D13*(1+Överblick!C19),C13," ")</f>
        <v>1678</v>
      </c>
      <c r="K13" s="29"/>
      <c r="L13" s="29"/>
      <c r="M13" s="29"/>
      <c r="N13" s="29"/>
    </row>
    <row r="14" spans="2:14" x14ac:dyDescent="0.3">
      <c r="B14" s="1" t="str">
        <f>Överblick!A20</f>
        <v>Kläder och accessoarer</v>
      </c>
      <c r="C14" s="15"/>
      <c r="D14" s="1">
        <f>Överblick!B20</f>
        <v>400</v>
      </c>
      <c r="E14" s="19" t="str">
        <f t="shared" si="0"/>
        <v xml:space="preserve"> </v>
      </c>
      <c r="F14" s="20" t="s">
        <v>5561</v>
      </c>
      <c r="G14" s="3">
        <f>IF(C14&lt;D14*(1-Överblick!C20),C14," ")</f>
        <v>0</v>
      </c>
      <c r="H14" s="3" t="str">
        <f>IF(C14&gt;D14*(1+Överblick!C20),C14," ")</f>
        <v xml:space="preserve"> </v>
      </c>
      <c r="K14" s="29"/>
      <c r="L14" s="29"/>
      <c r="M14" s="29"/>
      <c r="N14" s="29"/>
    </row>
    <row r="15" spans="2:14" x14ac:dyDescent="0.3">
      <c r="B15" s="1" t="str">
        <f>Överblick!A21</f>
        <v>Utemat</v>
      </c>
      <c r="C15" s="15">
        <f>155+180</f>
        <v>335</v>
      </c>
      <c r="D15" s="1">
        <f>Överblick!B21</f>
        <v>250</v>
      </c>
      <c r="E15" s="19">
        <f t="shared" si="0"/>
        <v>1.34</v>
      </c>
      <c r="F15" s="20"/>
      <c r="G15" s="3" t="str">
        <f>IF(C15&lt;D15*(1-Överblick!C21),C15," ")</f>
        <v xml:space="preserve"> </v>
      </c>
      <c r="H15" s="3">
        <f>IF(C15&gt;D15*(1+Överblick!C21),C15," ")</f>
        <v>335</v>
      </c>
      <c r="K15" s="29"/>
      <c r="L15" s="29"/>
      <c r="M15" s="29"/>
      <c r="N15" s="29"/>
    </row>
    <row r="16" spans="2:14" x14ac:dyDescent="0.3">
      <c r="B16" s="1" t="str">
        <f>Överblick!A22</f>
        <v>Studiematerial</v>
      </c>
      <c r="C16" s="15">
        <v>515</v>
      </c>
      <c r="D16" s="1">
        <f>Överblick!B22</f>
        <v>300</v>
      </c>
      <c r="E16" s="19">
        <f t="shared" si="0"/>
        <v>1.7166666666666666</v>
      </c>
      <c r="F16" s="20"/>
      <c r="G16" s="3" t="str">
        <f>IF(C16&lt;D16*(1-Överblick!C22),C16," ")</f>
        <v xml:space="preserve"> </v>
      </c>
      <c r="H16" s="3">
        <f>IF(C16&gt;D16*(1+Överblick!C22),C16," ")</f>
        <v>515</v>
      </c>
      <c r="K16" s="29"/>
      <c r="L16" s="29"/>
      <c r="M16" s="31"/>
      <c r="N16" s="29"/>
    </row>
    <row r="17" spans="2:14" x14ac:dyDescent="0.3">
      <c r="B17" s="1" t="str">
        <f>Överblick!A23</f>
        <v>Teknik och prylar</v>
      </c>
      <c r="C17" s="15">
        <v>99</v>
      </c>
      <c r="D17" s="1">
        <f>Överblick!B23</f>
        <v>200</v>
      </c>
      <c r="E17" s="19">
        <f t="shared" si="0"/>
        <v>0.495</v>
      </c>
      <c r="F17" s="20"/>
      <c r="G17" s="3">
        <f>IF(C17&lt;D17*(1-Överblick!C23),C17," ")</f>
        <v>99</v>
      </c>
      <c r="H17" s="3" t="str">
        <f>IF(C17&gt;D17*(1+Överblick!C23),C17," ")</f>
        <v xml:space="preserve"> </v>
      </c>
      <c r="K17" s="29"/>
      <c r="L17" s="29"/>
      <c r="M17" s="31"/>
      <c r="N17" s="29"/>
    </row>
    <row r="18" spans="2:14" x14ac:dyDescent="0.3">
      <c r="B18" s="1" t="str">
        <f>Överblick!A24</f>
        <v>Dricka och aktiviteter</v>
      </c>
      <c r="C18" s="15">
        <v>355</v>
      </c>
      <c r="D18" s="1">
        <f>Överblick!B24</f>
        <v>300</v>
      </c>
      <c r="E18" s="19">
        <f t="shared" si="0"/>
        <v>1.1833333333333333</v>
      </c>
      <c r="F18" s="20"/>
      <c r="G18" s="3" t="str">
        <f>IF(C18&lt;D18*(1-Överblick!C24),C18," ")</f>
        <v xml:space="preserve"> </v>
      </c>
      <c r="H18" s="3" t="str">
        <f>IF(C18&gt;D18*(1+Överblick!C24),C18," ")</f>
        <v xml:space="preserve"> </v>
      </c>
      <c r="K18" s="29"/>
      <c r="L18" s="29"/>
      <c r="M18" s="31"/>
      <c r="N18" s="29"/>
    </row>
    <row r="19" spans="2:14" x14ac:dyDescent="0.3">
      <c r="B19" s="1" t="str">
        <f>Överblick!A25</f>
        <v>Hushåll</v>
      </c>
      <c r="C19" s="15">
        <v>162</v>
      </c>
      <c r="D19" s="1">
        <f>Överblick!B25</f>
        <v>100</v>
      </c>
      <c r="E19" s="19">
        <f t="shared" si="0"/>
        <v>1.62</v>
      </c>
      <c r="F19" s="20"/>
      <c r="G19" s="3" t="str">
        <f>IF(C19&lt;D19*(1-Överblick!C25),C19," ")</f>
        <v xml:space="preserve"> </v>
      </c>
      <c r="H19" s="3">
        <f>IF(C19&gt;D19*(1+Överblick!C25),C19," ")</f>
        <v>162</v>
      </c>
      <c r="K19" s="29"/>
      <c r="L19" s="29"/>
      <c r="M19" s="29"/>
      <c r="N19" s="29"/>
    </row>
    <row r="20" spans="2:14" x14ac:dyDescent="0.3">
      <c r="B20" s="1" t="str">
        <f>Överblick!A26</f>
        <v>Transport</v>
      </c>
      <c r="C20" s="15">
        <v>445</v>
      </c>
      <c r="D20" s="1">
        <f>Överblick!B26</f>
        <v>400</v>
      </c>
      <c r="E20" s="19">
        <f t="shared" si="0"/>
        <v>1.1125</v>
      </c>
      <c r="F20" s="20"/>
      <c r="G20" s="3" t="str">
        <f>IF(C20&lt;D20*(1-Överblick!C26),C20," ")</f>
        <v xml:space="preserve"> </v>
      </c>
      <c r="H20" s="3" t="str">
        <f>IF(C20&gt;D20*(1+Överblick!C26),C20," ")</f>
        <v xml:space="preserve"> </v>
      </c>
      <c r="K20" s="31"/>
      <c r="L20" s="31"/>
      <c r="M20" s="31"/>
      <c r="N20" s="29"/>
    </row>
    <row r="21" spans="2:14" x14ac:dyDescent="0.3">
      <c r="B21" s="1" t="str">
        <f>Överblick!A27</f>
        <v>Sport och gym</v>
      </c>
      <c r="C21" s="15"/>
      <c r="D21" s="1">
        <f>Överblick!B27</f>
        <v>250</v>
      </c>
      <c r="E21" s="19" t="str">
        <f t="shared" si="0"/>
        <v xml:space="preserve"> </v>
      </c>
      <c r="F21" s="20"/>
      <c r="G21" s="3">
        <f>IF(C21&lt;D21*(1-Överblick!C27),C21," ")</f>
        <v>0</v>
      </c>
      <c r="H21" s="3" t="str">
        <f>IF(C21&gt;D21*(1+Överblick!C27),C21," ")</f>
        <v xml:space="preserve"> </v>
      </c>
      <c r="K21" s="29"/>
      <c r="L21" s="29"/>
      <c r="M21" s="29"/>
      <c r="N21" s="29"/>
    </row>
    <row r="22" spans="2:14" x14ac:dyDescent="0.3">
      <c r="B22" s="1" t="str">
        <f>Överblick!A28</f>
        <v>Date night</v>
      </c>
      <c r="C22" s="15">
        <v>360</v>
      </c>
      <c r="D22" s="1">
        <f>Överblick!B28</f>
        <v>300</v>
      </c>
      <c r="E22" s="19">
        <f t="shared" si="0"/>
        <v>1.2</v>
      </c>
      <c r="F22" s="20"/>
      <c r="G22" s="3" t="str">
        <f>IF(C22&lt;D22*(1-Överblick!C28),C22," ")</f>
        <v xml:space="preserve"> </v>
      </c>
      <c r="H22" s="3" t="str">
        <f>IF(C22&gt;D22*(1+Överblick!C28),C22," ")</f>
        <v xml:space="preserve"> </v>
      </c>
      <c r="K22" s="29"/>
      <c r="L22" s="29"/>
      <c r="M22" s="29"/>
      <c r="N22" s="29"/>
    </row>
    <row r="23" spans="2:14" x14ac:dyDescent="0.3">
      <c r="B23" s="1" t="str">
        <f>Överblick!A29</f>
        <v>Godis och snacks</v>
      </c>
      <c r="C23" s="15">
        <f>30+20+14+30+10+25+22+15+79+21+25+14+16+60/2+14</f>
        <v>365</v>
      </c>
      <c r="D23" s="25">
        <f>Överblick!B29</f>
        <v>150</v>
      </c>
      <c r="E23" s="26">
        <f t="shared" si="0"/>
        <v>2.4333333333333331</v>
      </c>
      <c r="F23" s="27"/>
      <c r="G23" s="3" t="str">
        <f>IF(C23&lt;D23*(1-Överblick!C29),C23," ")</f>
        <v xml:space="preserve"> </v>
      </c>
      <c r="H23" s="3">
        <f>IF(C23&gt;D23*(1+Överblick!C29),C23," ")</f>
        <v>365</v>
      </c>
      <c r="K23" s="29"/>
      <c r="L23" s="29"/>
      <c r="M23" s="29"/>
      <c r="N23" s="29"/>
    </row>
    <row r="24" spans="2:14" ht="15" thickBot="1" x14ac:dyDescent="0.35">
      <c r="B24" s="13" t="str">
        <f>Överblick!A30</f>
        <v>Övriga utgifter</v>
      </c>
      <c r="C24" s="21">
        <f>669+1768</f>
        <v>2437</v>
      </c>
      <c r="D24" s="8">
        <f>Överblick!B30</f>
        <v>500</v>
      </c>
      <c r="E24" s="9">
        <f t="shared" si="0"/>
        <v>4.8739999999999997</v>
      </c>
      <c r="F24" s="79"/>
      <c r="G24" s="3" t="str">
        <f>IF(C24&lt;D24*(1-Överblick!C30),C24," ")</f>
        <v xml:space="preserve"> </v>
      </c>
      <c r="H24" s="3">
        <f>IF(C24&gt;D24*(1+Överblick!C30),C24," ")</f>
        <v>2437</v>
      </c>
      <c r="K24" s="29"/>
      <c r="L24" s="29"/>
      <c r="M24" s="29"/>
      <c r="N24" s="29"/>
    </row>
    <row r="25" spans="2:14" x14ac:dyDescent="0.3">
      <c r="B25" s="12" t="str">
        <f>Överblick!A31</f>
        <v>Totala utgifter</v>
      </c>
      <c r="C25" s="1">
        <f>SUM(C12:C24)</f>
        <v>11751</v>
      </c>
      <c r="D25" s="1">
        <f>Överblick!B31</f>
        <v>9400</v>
      </c>
      <c r="E25" s="28">
        <f>IFERROR(IF(C25/D25=0," ",C25/D25)," ")</f>
        <v>1.2501063829787233</v>
      </c>
      <c r="F25" s="28"/>
      <c r="K25" s="29"/>
      <c r="L25" s="29"/>
      <c r="M25" s="29"/>
      <c r="N25" s="29"/>
    </row>
    <row r="26" spans="2:14" x14ac:dyDescent="0.3">
      <c r="D26" s="29"/>
      <c r="E26" s="30"/>
      <c r="F26" s="30"/>
      <c r="G26" s="3" t="str">
        <f>IF(C27&gt;D27*(1+Överblick!C33),C27," ")</f>
        <v xml:space="preserve"> </v>
      </c>
      <c r="H26" s="3" t="str">
        <f>IF(C27&lt;D27*(1-Överblick!C33),C27," ")</f>
        <v xml:space="preserve"> </v>
      </c>
      <c r="K26" s="29"/>
      <c r="L26" s="29"/>
      <c r="M26" s="29"/>
      <c r="N26" s="29"/>
    </row>
    <row r="27" spans="2:14" ht="15" thickBot="1" x14ac:dyDescent="0.35">
      <c r="B27" s="33" t="s">
        <v>3</v>
      </c>
      <c r="C27" s="8">
        <f>ROUND(C8-C25,0)</f>
        <v>1263</v>
      </c>
      <c r="D27" s="22">
        <f>Överblick!B33</f>
        <v>1544</v>
      </c>
      <c r="E27" s="14">
        <f>IFERROR(C27/D27," ")</f>
        <v>0.81800518134715028</v>
      </c>
      <c r="F27" s="14"/>
      <c r="I27" s="29"/>
      <c r="J27" s="29"/>
      <c r="K27" s="29"/>
      <c r="L27" s="29"/>
      <c r="M27" s="29"/>
      <c r="N27" s="29"/>
    </row>
    <row r="28" spans="2:14" x14ac:dyDescent="0.3">
      <c r="I28" s="29"/>
      <c r="J28" s="29"/>
      <c r="K28" s="29"/>
      <c r="L28" s="29"/>
      <c r="M28" s="29"/>
      <c r="N28" s="29"/>
    </row>
    <row r="29" spans="2:14" x14ac:dyDescent="0.3">
      <c r="I29" s="29"/>
      <c r="J29" s="29"/>
      <c r="K29" s="29"/>
      <c r="L29" s="29"/>
      <c r="M29" s="29"/>
      <c r="N29" s="29"/>
    </row>
  </sheetData>
  <sheetProtection algorithmName="SHA-512" hashValue="FkBf4zFY0xU2UBR8B1ls907Ci2YoirlTet/tznRaVwf/taRylgFMZ1LRyZiRjKeZfqRoK+UrYvIQMHR8bn0EOA==" saltValue="CTSLTA1ky7/tAGcuv0Pvcg==" spinCount="100000" sheet="1" objects="1" scenarios="1"/>
  <conditionalFormatting sqref="E27 E5:E8 E12:E25">
    <cfRule type="cellIs" dxfId="76" priority="7" operator="between">
      <formula>$D$10</formula>
      <formula>$E$10</formula>
    </cfRule>
  </conditionalFormatting>
  <conditionalFormatting sqref="E5:E8 E27">
    <cfRule type="cellIs" dxfId="75" priority="3" operator="lessThan">
      <formula>$D$10</formula>
    </cfRule>
    <cfRule type="cellIs" dxfId="74" priority="4" operator="greaterThan">
      <formula>$E$10</formula>
    </cfRule>
  </conditionalFormatting>
  <conditionalFormatting sqref="E5:E8 E27 E12:E25">
    <cfRule type="beginsWith" dxfId="73" priority="2" operator="beginsWith" text=" ">
      <formula>LEFT(E5,LEN(" "))=" "</formula>
    </cfRule>
  </conditionalFormatting>
  <conditionalFormatting sqref="E12:E25">
    <cfRule type="cellIs" dxfId="72" priority="5" operator="greaterThan">
      <formula>$E$10</formula>
    </cfRule>
    <cfRule type="cellIs" dxfId="71" priority="6" operator="lessThan">
      <formula>$D$10</formula>
    </cfRule>
  </conditionalFormatting>
  <conditionalFormatting sqref="E1:E1048576">
    <cfRule type="cellIs" dxfId="70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7E6CA-B900-4512-931C-B799BAD9E4CB}">
  <sheetPr codeName="Sheet21">
    <tabColor rgb="FFFFC000"/>
  </sheetPr>
  <dimension ref="B1:N29"/>
  <sheetViews>
    <sheetView showGridLines="0" zoomScaleNormal="100" workbookViewId="0">
      <selection activeCell="C18" sqref="C18"/>
    </sheetView>
  </sheetViews>
  <sheetFormatPr defaultColWidth="8.88671875" defaultRowHeight="14.4" x14ac:dyDescent="0.3"/>
  <cols>
    <col min="1" max="1" width="10.88671875" style="3" customWidth="1"/>
    <col min="2" max="2" width="20" style="3" bestFit="1" customWidth="1"/>
    <col min="3" max="3" width="11" style="3" bestFit="1" customWidth="1"/>
    <col min="4" max="4" width="10.88671875" style="3" bestFit="1" customWidth="1"/>
    <col min="5" max="6" width="13" style="4" customWidth="1"/>
    <col min="7" max="8" width="9.77734375" style="3" bestFit="1" customWidth="1"/>
    <col min="9" max="9" width="11" style="3" customWidth="1"/>
    <col min="10" max="15" width="8.88671875" style="3"/>
    <col min="16" max="16" width="10.77734375" style="3" customWidth="1"/>
    <col min="17" max="16384" width="8.88671875" style="3"/>
  </cols>
  <sheetData>
    <row r="1" spans="2:14" x14ac:dyDescent="0.3">
      <c r="I1" s="32"/>
      <c r="J1" s="29"/>
      <c r="K1" s="29"/>
      <c r="L1" s="29"/>
      <c r="M1" s="29"/>
      <c r="N1" s="29"/>
    </row>
    <row r="2" spans="2:14" x14ac:dyDescent="0.3">
      <c r="I2" s="29"/>
      <c r="J2" s="29"/>
      <c r="K2" s="29"/>
      <c r="L2" s="29"/>
      <c r="M2" s="29"/>
      <c r="N2" s="29"/>
    </row>
    <row r="3" spans="2:14" x14ac:dyDescent="0.3">
      <c r="I3" s="29"/>
      <c r="J3" s="29"/>
      <c r="K3" s="29"/>
      <c r="L3" s="29"/>
      <c r="M3" s="29"/>
      <c r="N3" s="29"/>
    </row>
    <row r="4" spans="2:14" ht="15" thickBot="1" x14ac:dyDescent="0.35">
      <c r="B4" s="33" t="str">
        <f>Överblick!A10</f>
        <v>Inkomst</v>
      </c>
      <c r="C4" s="33" t="s">
        <v>11</v>
      </c>
      <c r="D4" s="34" t="s">
        <v>10</v>
      </c>
      <c r="E4" s="36" t="s">
        <v>37</v>
      </c>
      <c r="F4" s="36" t="s">
        <v>38</v>
      </c>
      <c r="G4" s="3" t="s">
        <v>12</v>
      </c>
      <c r="H4" s="3" t="s">
        <v>13</v>
      </c>
      <c r="K4" s="29"/>
      <c r="L4" s="29"/>
      <c r="M4" s="29"/>
      <c r="N4" s="29"/>
    </row>
    <row r="5" spans="2:14" x14ac:dyDescent="0.3">
      <c r="B5" s="2" t="str">
        <f>Överblick!A11</f>
        <v>CSN</v>
      </c>
      <c r="C5" s="15">
        <v>10618</v>
      </c>
      <c r="D5" s="16">
        <f>Överblick!B11</f>
        <v>10444</v>
      </c>
      <c r="E5" s="17">
        <f>IFERROR(C5/D5," ")</f>
        <v>1.0166602834163156</v>
      </c>
      <c r="F5" s="18"/>
      <c r="G5" s="3" t="str">
        <f>IF(C5&gt;D5*(1+Överblick!C11),C5," ")</f>
        <v xml:space="preserve"> </v>
      </c>
      <c r="H5" s="3" t="str">
        <f>IF(C5&lt;D5*(1-Överblick!C11),C5," ")</f>
        <v xml:space="preserve"> </v>
      </c>
      <c r="K5" s="29"/>
      <c r="L5" s="29"/>
      <c r="M5" s="29"/>
      <c r="N5" s="29"/>
    </row>
    <row r="6" spans="2:14" x14ac:dyDescent="0.3">
      <c r="B6" s="2" t="str">
        <f>Överblick!A12</f>
        <v>Lön</v>
      </c>
      <c r="C6" s="15">
        <v>2645</v>
      </c>
      <c r="D6" s="16">
        <f>Överblick!B12</f>
        <v>500</v>
      </c>
      <c r="E6" s="19">
        <f>IFERROR(C6/D6," ")</f>
        <v>5.29</v>
      </c>
      <c r="F6" s="20"/>
      <c r="G6" s="3">
        <f>IF(C6&gt;D6*(1+Överblick!C12),C6," ")</f>
        <v>2645</v>
      </c>
      <c r="H6" s="3" t="str">
        <f>IF(C6&lt;D6*(1-Överblick!C12),C6," ")</f>
        <v xml:space="preserve"> </v>
      </c>
      <c r="K6" s="29"/>
      <c r="L6" s="29"/>
      <c r="M6" s="29"/>
      <c r="N6" s="29"/>
    </row>
    <row r="7" spans="2:14" ht="15" thickBot="1" x14ac:dyDescent="0.35">
      <c r="B7" s="13" t="str">
        <f>Överblick!A13</f>
        <v>Övrig inkomst</v>
      </c>
      <c r="C7" s="21">
        <v>95</v>
      </c>
      <c r="D7" s="22">
        <f>Överblick!B13</f>
        <v>0</v>
      </c>
      <c r="E7" s="14" t="str">
        <f>IFERROR(C7/D7," ")</f>
        <v xml:space="preserve"> </v>
      </c>
      <c r="F7" s="23"/>
      <c r="G7" s="3">
        <f>IF(C7&gt;D7*(1+Överblick!C13),C7," ")</f>
        <v>95</v>
      </c>
      <c r="H7" s="3" t="str">
        <f>IF(C7&lt;D7*(1-Överblick!C13),C7," ")</f>
        <v xml:space="preserve"> </v>
      </c>
      <c r="K7" s="29"/>
      <c r="L7" s="29"/>
      <c r="M7" s="29"/>
      <c r="N7" s="29"/>
    </row>
    <row r="8" spans="2:14" x14ac:dyDescent="0.3">
      <c r="B8" s="2" t="str">
        <f>Överblick!A14</f>
        <v>Total inkomst</v>
      </c>
      <c r="C8" s="24">
        <f>SUM(C5:C7)</f>
        <v>13358</v>
      </c>
      <c r="D8" s="16">
        <f>Överblick!B14</f>
        <v>10944</v>
      </c>
      <c r="E8" s="17">
        <f>IFERROR(C8/D8," ")</f>
        <v>1.220577485380117</v>
      </c>
      <c r="F8" s="17"/>
      <c r="K8" s="29"/>
      <c r="L8" s="29"/>
      <c r="M8" s="29"/>
      <c r="N8" s="29"/>
    </row>
    <row r="9" spans="2:14" x14ac:dyDescent="0.3">
      <c r="B9" s="29"/>
      <c r="K9" s="29"/>
      <c r="L9" s="29"/>
      <c r="M9" s="29"/>
      <c r="N9" s="29"/>
    </row>
    <row r="10" spans="2:14" x14ac:dyDescent="0.3">
      <c r="D10" s="4">
        <v>0.75</v>
      </c>
      <c r="E10" s="4">
        <v>1.25</v>
      </c>
      <c r="K10" s="29"/>
      <c r="L10" s="29"/>
      <c r="M10" s="29"/>
      <c r="N10" s="29"/>
    </row>
    <row r="11" spans="2:14" ht="15" thickBot="1" x14ac:dyDescent="0.35">
      <c r="B11" s="33" t="s">
        <v>9</v>
      </c>
      <c r="C11" s="33" t="s">
        <v>11</v>
      </c>
      <c r="D11" s="34" t="s">
        <v>10</v>
      </c>
      <c r="E11" s="35" t="s">
        <v>37</v>
      </c>
      <c r="F11" s="35" t="s">
        <v>38</v>
      </c>
      <c r="G11" s="3" t="s">
        <v>12</v>
      </c>
      <c r="H11" s="3" t="s">
        <v>13</v>
      </c>
      <c r="K11" s="29"/>
      <c r="L11" s="29"/>
      <c r="M11" s="29"/>
      <c r="N11" s="29"/>
    </row>
    <row r="12" spans="2:14" x14ac:dyDescent="0.3">
      <c r="B12" s="1" t="str">
        <f>Överblick!A18</f>
        <v>Hyra</v>
      </c>
      <c r="C12" s="15">
        <v>5000</v>
      </c>
      <c r="D12" s="1">
        <f>Överblick!B18</f>
        <v>5000</v>
      </c>
      <c r="E12" s="19">
        <f>IFERROR(IF(C12/D12=0," ",C12/D12)," ")</f>
        <v>1</v>
      </c>
      <c r="F12" s="18"/>
      <c r="G12" s="3" t="str">
        <f>IF(C12&lt;D12*(1-Överblick!C18),C12," ")</f>
        <v xml:space="preserve"> </v>
      </c>
      <c r="H12" s="3" t="str">
        <f>IF(C12&gt;D12*(1+Överblick!C18),C12," ")</f>
        <v xml:space="preserve"> </v>
      </c>
      <c r="K12" s="29"/>
      <c r="L12" s="29"/>
      <c r="M12" s="29"/>
      <c r="N12" s="29"/>
    </row>
    <row r="13" spans="2:14" x14ac:dyDescent="0.3">
      <c r="B13" s="1" t="str">
        <f>Överblick!A19</f>
        <v>Mat/förbrukningsvaror</v>
      </c>
      <c r="C13" s="15">
        <v>1162</v>
      </c>
      <c r="D13" s="1">
        <f>Överblick!B19</f>
        <v>1250</v>
      </c>
      <c r="E13" s="19">
        <f t="shared" ref="E13:E24" si="0">IFERROR(IF(C13/D13=0," ",C13/D13)," ")</f>
        <v>0.92959999999999998</v>
      </c>
      <c r="F13" s="20"/>
      <c r="G13" s="3" t="str">
        <f>IF(C13&lt;D13*(1-Överblick!C19),C13," ")</f>
        <v xml:space="preserve"> </v>
      </c>
      <c r="H13" s="3" t="str">
        <f>IF(C13&gt;D13*(1+Överblick!C19),C13," ")</f>
        <v xml:space="preserve"> </v>
      </c>
      <c r="K13" s="29"/>
      <c r="L13" s="29"/>
      <c r="M13" s="29"/>
      <c r="N13" s="29"/>
    </row>
    <row r="14" spans="2:14" x14ac:dyDescent="0.3">
      <c r="B14" s="1" t="str">
        <f>Överblick!A20</f>
        <v>Kläder och accessoarer</v>
      </c>
      <c r="C14" s="15"/>
      <c r="D14" s="1">
        <f>Överblick!B20</f>
        <v>400</v>
      </c>
      <c r="E14" s="19" t="str">
        <f t="shared" si="0"/>
        <v xml:space="preserve"> </v>
      </c>
      <c r="F14" s="20"/>
      <c r="G14" s="3">
        <f>IF(C14&lt;D14*(1-Överblick!C20),C14," ")</f>
        <v>0</v>
      </c>
      <c r="H14" s="3" t="str">
        <f>IF(C14&gt;D14*(1+Överblick!C20),C14," ")</f>
        <v xml:space="preserve"> </v>
      </c>
      <c r="K14" s="29"/>
      <c r="L14" s="29"/>
      <c r="M14" s="29"/>
      <c r="N14" s="29"/>
    </row>
    <row r="15" spans="2:14" x14ac:dyDescent="0.3">
      <c r="B15" s="1" t="str">
        <f>Överblick!A21</f>
        <v>Utemat</v>
      </c>
      <c r="C15" s="15">
        <f>200+64+128+70+128+70+80+90+89</f>
        <v>919</v>
      </c>
      <c r="D15" s="1">
        <f>Överblick!B21</f>
        <v>250</v>
      </c>
      <c r="E15" s="19">
        <f t="shared" si="0"/>
        <v>3.6760000000000002</v>
      </c>
      <c r="F15" s="20"/>
      <c r="G15" s="3" t="str">
        <f>IF(C15&lt;D15*(1-Överblick!C21),C15," ")</f>
        <v xml:space="preserve"> </v>
      </c>
      <c r="H15" s="3">
        <f>IF(C15&gt;D15*(1+Överblick!C21),C15," ")</f>
        <v>919</v>
      </c>
      <c r="K15" s="29"/>
      <c r="L15" s="29"/>
      <c r="M15" s="29"/>
      <c r="N15" s="29"/>
    </row>
    <row r="16" spans="2:14" x14ac:dyDescent="0.3">
      <c r="B16" s="1" t="str">
        <f>Överblick!A22</f>
        <v>Studiematerial</v>
      </c>
      <c r="C16" s="15"/>
      <c r="D16" s="1">
        <f>Överblick!B22</f>
        <v>300</v>
      </c>
      <c r="E16" s="19" t="str">
        <f t="shared" si="0"/>
        <v xml:space="preserve"> </v>
      </c>
      <c r="F16" s="20"/>
      <c r="G16" s="3">
        <f>IF(C16&lt;D16*(1-Överblick!C22),C16," ")</f>
        <v>0</v>
      </c>
      <c r="H16" s="3" t="str">
        <f>IF(C16&gt;D16*(1+Överblick!C22),C16," ")</f>
        <v xml:space="preserve"> </v>
      </c>
      <c r="K16" s="29"/>
      <c r="L16" s="29"/>
      <c r="M16" s="31"/>
      <c r="N16" s="29"/>
    </row>
    <row r="17" spans="2:14" x14ac:dyDescent="0.3">
      <c r="B17" s="1" t="str">
        <f>Överblick!A23</f>
        <v>Teknik och prylar</v>
      </c>
      <c r="C17" s="15">
        <v>399</v>
      </c>
      <c r="D17" s="1">
        <f>Överblick!B23</f>
        <v>200</v>
      </c>
      <c r="E17" s="19">
        <f t="shared" si="0"/>
        <v>1.9950000000000001</v>
      </c>
      <c r="F17" s="20"/>
      <c r="G17" s="3" t="str">
        <f>IF(C17&lt;D17*(1-Överblick!C23),C17," ")</f>
        <v xml:space="preserve"> </v>
      </c>
      <c r="H17" s="3">
        <f>IF(C17&gt;D17*(1+Överblick!C23),C17," ")</f>
        <v>399</v>
      </c>
      <c r="K17" s="29"/>
      <c r="L17" s="29"/>
      <c r="M17" s="31"/>
      <c r="N17" s="29"/>
    </row>
    <row r="18" spans="2:14" x14ac:dyDescent="0.3">
      <c r="B18" s="1" t="str">
        <f>Överblick!A24</f>
        <v>Dricka och aktiviteter</v>
      </c>
      <c r="C18" s="15">
        <v>975</v>
      </c>
      <c r="D18" s="1">
        <f>Överblick!B24</f>
        <v>300</v>
      </c>
      <c r="E18" s="19">
        <f t="shared" si="0"/>
        <v>3.25</v>
      </c>
      <c r="F18" s="20"/>
      <c r="G18" s="3" t="str">
        <f>IF(C18&lt;D18*(1-Överblick!C24),C18," ")</f>
        <v xml:space="preserve"> </v>
      </c>
      <c r="H18" s="3">
        <f>IF(C18&gt;D18*(1+Överblick!C24),C18," ")</f>
        <v>975</v>
      </c>
      <c r="K18" s="29"/>
      <c r="L18" s="29"/>
      <c r="M18" s="31"/>
      <c r="N18" s="29"/>
    </row>
    <row r="19" spans="2:14" x14ac:dyDescent="0.3">
      <c r="B19" s="1" t="str">
        <f>Överblick!A25</f>
        <v>Hushåll</v>
      </c>
      <c r="C19" s="15">
        <v>80</v>
      </c>
      <c r="D19" s="1">
        <f>Överblick!B25</f>
        <v>100</v>
      </c>
      <c r="E19" s="19">
        <f t="shared" si="0"/>
        <v>0.8</v>
      </c>
      <c r="F19" s="20"/>
      <c r="G19" s="3" t="str">
        <f>IF(C19&lt;D19*(1-Överblick!C25),C19," ")</f>
        <v xml:space="preserve"> </v>
      </c>
      <c r="H19" s="3" t="str">
        <f>IF(C19&gt;D19*(1+Överblick!C25),C19," ")</f>
        <v xml:space="preserve"> </v>
      </c>
      <c r="K19" s="29"/>
      <c r="L19" s="29"/>
      <c r="M19" s="29"/>
      <c r="N19" s="29"/>
    </row>
    <row r="20" spans="2:14" x14ac:dyDescent="0.3">
      <c r="B20" s="1" t="str">
        <f>Överblick!A26</f>
        <v>Transport</v>
      </c>
      <c r="C20" s="15">
        <v>625</v>
      </c>
      <c r="D20" s="1">
        <f>Överblick!B26</f>
        <v>400</v>
      </c>
      <c r="E20" s="19">
        <f t="shared" si="0"/>
        <v>1.5625</v>
      </c>
      <c r="F20" s="20"/>
      <c r="G20" s="3" t="str">
        <f>IF(C20&lt;D20*(1-Överblick!C26),C20," ")</f>
        <v xml:space="preserve"> </v>
      </c>
      <c r="H20" s="3">
        <f>IF(C20&gt;D20*(1+Överblick!C26),C20," ")</f>
        <v>625</v>
      </c>
      <c r="K20" s="31"/>
      <c r="L20" s="31"/>
      <c r="M20" s="31"/>
      <c r="N20" s="29"/>
    </row>
    <row r="21" spans="2:14" x14ac:dyDescent="0.3">
      <c r="B21" s="1" t="str">
        <f>Överblick!A27</f>
        <v>Sport och gym</v>
      </c>
      <c r="C21" s="15">
        <v>100</v>
      </c>
      <c r="D21" s="1">
        <f>Överblick!B27</f>
        <v>250</v>
      </c>
      <c r="E21" s="19">
        <f t="shared" si="0"/>
        <v>0.4</v>
      </c>
      <c r="F21" s="20"/>
      <c r="G21" s="3">
        <f>IF(C21&lt;D21*(1-Överblick!C27),C21," ")</f>
        <v>100</v>
      </c>
      <c r="H21" s="3" t="str">
        <f>IF(C21&gt;D21*(1+Överblick!C27),C21," ")</f>
        <v xml:space="preserve"> </v>
      </c>
      <c r="K21" s="29"/>
      <c r="L21" s="29"/>
      <c r="M21" s="29"/>
      <c r="N21" s="29"/>
    </row>
    <row r="22" spans="2:14" x14ac:dyDescent="0.3">
      <c r="B22" s="1" t="str">
        <f>Överblick!A28</f>
        <v>Date night</v>
      </c>
      <c r="C22" s="15"/>
      <c r="D22" s="1">
        <f>Överblick!B28</f>
        <v>300</v>
      </c>
      <c r="E22" s="19" t="str">
        <f t="shared" si="0"/>
        <v xml:space="preserve"> </v>
      </c>
      <c r="F22" s="20"/>
      <c r="G22" s="3">
        <f>IF(C22&lt;D22*(1-Överblick!C28),C22," ")</f>
        <v>0</v>
      </c>
      <c r="H22" s="3" t="str">
        <f>IF(C22&gt;D22*(1+Överblick!C28),C22," ")</f>
        <v xml:space="preserve"> </v>
      </c>
      <c r="K22" s="29"/>
      <c r="L22" s="29"/>
      <c r="M22" s="29"/>
      <c r="N22" s="29"/>
    </row>
    <row r="23" spans="2:14" x14ac:dyDescent="0.3">
      <c r="B23" s="1" t="str">
        <f>Överblick!A29</f>
        <v>Godis och snacks</v>
      </c>
      <c r="C23" s="15">
        <f>35+13+13+27+30+20+23+12</f>
        <v>173</v>
      </c>
      <c r="D23" s="25">
        <f>Överblick!B29</f>
        <v>150</v>
      </c>
      <c r="E23" s="26">
        <f t="shared" si="0"/>
        <v>1.1533333333333333</v>
      </c>
      <c r="F23" s="27"/>
      <c r="G23" s="3" t="str">
        <f>IF(C23&lt;D23*(1-Överblick!C29),C23," ")</f>
        <v xml:space="preserve"> </v>
      </c>
      <c r="H23" s="3" t="str">
        <f>IF(C23&gt;D23*(1+Överblick!C29),C23," ")</f>
        <v xml:space="preserve"> </v>
      </c>
      <c r="K23" s="29"/>
      <c r="L23" s="29"/>
      <c r="M23" s="29"/>
      <c r="N23" s="29"/>
    </row>
    <row r="24" spans="2:14" ht="15" thickBot="1" x14ac:dyDescent="0.35">
      <c r="B24" s="13" t="str">
        <f>Överblick!A30</f>
        <v>Övriga utgifter</v>
      </c>
      <c r="C24" s="21">
        <v>1072</v>
      </c>
      <c r="D24" s="8">
        <f>Överblick!B30</f>
        <v>500</v>
      </c>
      <c r="E24" s="9">
        <f t="shared" si="0"/>
        <v>2.1440000000000001</v>
      </c>
      <c r="F24" s="79"/>
      <c r="G24" s="3" t="str">
        <f>IF(C24&lt;D24*(1-Överblick!C30),C24," ")</f>
        <v xml:space="preserve"> </v>
      </c>
      <c r="H24" s="3">
        <f>IF(C24&gt;D24*(1+Överblick!C30),C24," ")</f>
        <v>1072</v>
      </c>
      <c r="K24" s="29"/>
      <c r="L24" s="29"/>
      <c r="M24" s="29"/>
      <c r="N24" s="29"/>
    </row>
    <row r="25" spans="2:14" x14ac:dyDescent="0.3">
      <c r="B25" s="12" t="str">
        <f>Överblick!A31</f>
        <v>Totala utgifter</v>
      </c>
      <c r="C25" s="1">
        <f>SUM(C12:C24)</f>
        <v>10505</v>
      </c>
      <c r="D25" s="1">
        <f>Överblick!B31</f>
        <v>9400</v>
      </c>
      <c r="E25" s="28">
        <f>IFERROR(IF(C25/D25=0," ",C25/D25)," ")</f>
        <v>1.1175531914893617</v>
      </c>
      <c r="F25" s="28"/>
      <c r="K25" s="29"/>
      <c r="L25" s="29"/>
      <c r="M25" s="29"/>
      <c r="N25" s="29"/>
    </row>
    <row r="26" spans="2:14" x14ac:dyDescent="0.3">
      <c r="D26" s="29"/>
      <c r="E26" s="30"/>
      <c r="F26" s="30"/>
      <c r="G26" s="3">
        <f>IF(C27&gt;D27*(1+Överblick!C33),C27," ")</f>
        <v>2853</v>
      </c>
      <c r="H26" s="3" t="str">
        <f>IF(C27&lt;D27*(1-Överblick!C33),C27," ")</f>
        <v xml:space="preserve"> </v>
      </c>
      <c r="K26" s="29"/>
      <c r="L26" s="29"/>
      <c r="M26" s="29"/>
      <c r="N26" s="29"/>
    </row>
    <row r="27" spans="2:14" ht="15" thickBot="1" x14ac:dyDescent="0.35">
      <c r="B27" s="33" t="s">
        <v>3</v>
      </c>
      <c r="C27" s="8">
        <f>ROUND(C8-C25,0)</f>
        <v>2853</v>
      </c>
      <c r="D27" s="22">
        <f>Överblick!B33</f>
        <v>1544</v>
      </c>
      <c r="E27" s="14">
        <f>IFERROR(C27/D27," ")</f>
        <v>1.8477979274611398</v>
      </c>
      <c r="F27" s="14"/>
      <c r="I27" s="29"/>
      <c r="J27" s="29"/>
      <c r="K27" s="29"/>
      <c r="L27" s="29"/>
      <c r="M27" s="29"/>
      <c r="N27" s="29"/>
    </row>
    <row r="28" spans="2:14" x14ac:dyDescent="0.3">
      <c r="I28" s="29"/>
      <c r="J28" s="29"/>
      <c r="K28" s="29"/>
      <c r="L28" s="29"/>
      <c r="M28" s="29"/>
      <c r="N28" s="29"/>
    </row>
    <row r="29" spans="2:14" x14ac:dyDescent="0.3">
      <c r="I29" s="29"/>
      <c r="J29" s="29"/>
      <c r="K29" s="29"/>
      <c r="L29" s="29"/>
      <c r="M29" s="29"/>
      <c r="N29" s="29"/>
    </row>
  </sheetData>
  <sheetProtection algorithmName="SHA-512" hashValue="j1yHv7+5UXBsVx3K10ODQSTGoBUJIY1PEkUHBYX2lX6TXRDfcaFVJtQaIXlNOyPhUoJLH7AHi2jaL5HQCfe79w==" saltValue="N9iPCFeMg078l3bvGSYVIA==" spinCount="100000" sheet="1" objects="1" scenarios="1"/>
  <conditionalFormatting sqref="E27 E5:E8 E12:E25">
    <cfRule type="cellIs" dxfId="69" priority="7" operator="between">
      <formula>$D$10</formula>
      <formula>$E$10</formula>
    </cfRule>
  </conditionalFormatting>
  <conditionalFormatting sqref="E5:E8 E27">
    <cfRule type="cellIs" dxfId="68" priority="3" operator="lessThan">
      <formula>$D$10</formula>
    </cfRule>
    <cfRule type="cellIs" dxfId="67" priority="4" operator="greaterThan">
      <formula>$E$10</formula>
    </cfRule>
  </conditionalFormatting>
  <conditionalFormatting sqref="E5:E8 E27 E12:E25">
    <cfRule type="beginsWith" dxfId="66" priority="2" operator="beginsWith" text=" ">
      <formula>LEFT(E5,LEN(" "))=" "</formula>
    </cfRule>
  </conditionalFormatting>
  <conditionalFormatting sqref="E12:E25">
    <cfRule type="cellIs" dxfId="65" priority="5" operator="greaterThan">
      <formula>$E$10</formula>
    </cfRule>
    <cfRule type="cellIs" dxfId="64" priority="6" operator="lessThan">
      <formula>$D$10</formula>
    </cfRule>
  </conditionalFormatting>
  <conditionalFormatting sqref="E1:E1048576">
    <cfRule type="cellIs" dxfId="63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1C27A-073E-4300-8EA4-C4AD4FF401EB}">
  <sheetPr codeName="Sheet22">
    <tabColor rgb="FFFFC000"/>
  </sheetPr>
  <dimension ref="B1:N29"/>
  <sheetViews>
    <sheetView showGridLines="0" topLeftCell="A2" zoomScaleNormal="100" workbookViewId="0">
      <selection activeCell="B32" sqref="B32"/>
    </sheetView>
  </sheetViews>
  <sheetFormatPr defaultColWidth="8.88671875" defaultRowHeight="14.4" x14ac:dyDescent="0.3"/>
  <cols>
    <col min="1" max="1" width="10.88671875" style="3" customWidth="1"/>
    <col min="2" max="2" width="20" style="3" bestFit="1" customWidth="1"/>
    <col min="3" max="3" width="11" style="3" bestFit="1" customWidth="1"/>
    <col min="4" max="4" width="10.88671875" style="3" bestFit="1" customWidth="1"/>
    <col min="5" max="6" width="13" style="4" customWidth="1"/>
    <col min="7" max="8" width="9.77734375" style="3" bestFit="1" customWidth="1"/>
    <col min="9" max="9" width="11" style="3" customWidth="1"/>
    <col min="10" max="15" width="8.88671875" style="3"/>
    <col min="16" max="16" width="10.77734375" style="3" customWidth="1"/>
    <col min="17" max="16384" width="8.88671875" style="3"/>
  </cols>
  <sheetData>
    <row r="1" spans="2:14" x14ac:dyDescent="0.3">
      <c r="I1" s="32"/>
      <c r="J1" s="29"/>
      <c r="K1" s="29"/>
      <c r="L1" s="29"/>
      <c r="M1" s="29"/>
      <c r="N1" s="29"/>
    </row>
    <row r="2" spans="2:14" x14ac:dyDescent="0.3">
      <c r="I2" s="29"/>
      <c r="J2" s="29"/>
      <c r="K2" s="29"/>
      <c r="L2" s="29"/>
      <c r="M2" s="29"/>
      <c r="N2" s="29"/>
    </row>
    <row r="3" spans="2:14" x14ac:dyDescent="0.3">
      <c r="I3" s="29"/>
      <c r="J3" s="29"/>
      <c r="K3" s="29"/>
      <c r="L3" s="29"/>
      <c r="M3" s="29"/>
      <c r="N3" s="29"/>
    </row>
    <row r="4" spans="2:14" ht="15" thickBot="1" x14ac:dyDescent="0.35">
      <c r="B4" s="33" t="str">
        <f>Överblick!A10</f>
        <v>Inkomst</v>
      </c>
      <c r="C4" s="33" t="s">
        <v>11</v>
      </c>
      <c r="D4" s="34" t="s">
        <v>10</v>
      </c>
      <c r="E4" s="36" t="s">
        <v>37</v>
      </c>
      <c r="F4" s="36" t="s">
        <v>38</v>
      </c>
      <c r="G4" s="3" t="s">
        <v>12</v>
      </c>
      <c r="H4" s="3" t="s">
        <v>13</v>
      </c>
      <c r="K4" s="29"/>
      <c r="L4" s="29"/>
      <c r="M4" s="29"/>
      <c r="N4" s="29"/>
    </row>
    <row r="5" spans="2:14" x14ac:dyDescent="0.3">
      <c r="B5" s="2" t="str">
        <f>Överblick!A11</f>
        <v>CSN</v>
      </c>
      <c r="C5" s="15">
        <v>13195</v>
      </c>
      <c r="D5" s="16">
        <f>Överblick!B11</f>
        <v>10444</v>
      </c>
      <c r="E5" s="17">
        <f>IFERROR(C5/D5," ")</f>
        <v>1.2634048257372654</v>
      </c>
      <c r="F5" s="18"/>
      <c r="G5" s="3">
        <f>IF(C5&gt;D5*(1+Överblick!C11),C5," ")</f>
        <v>13195</v>
      </c>
      <c r="H5" s="3" t="str">
        <f>IF(C5&lt;D5*(1-Överblick!C11),C5," ")</f>
        <v xml:space="preserve"> </v>
      </c>
      <c r="K5" s="29"/>
      <c r="L5" s="29"/>
      <c r="M5" s="29"/>
      <c r="N5" s="29"/>
    </row>
    <row r="6" spans="2:14" x14ac:dyDescent="0.3">
      <c r="B6" s="2" t="str">
        <f>Överblick!A12</f>
        <v>Lön</v>
      </c>
      <c r="C6" s="15">
        <v>7738</v>
      </c>
      <c r="D6" s="16">
        <f>Överblick!B12</f>
        <v>500</v>
      </c>
      <c r="E6" s="19">
        <f>IFERROR(C6/D6," ")</f>
        <v>15.476000000000001</v>
      </c>
      <c r="F6" s="20"/>
      <c r="G6" s="3">
        <f>IF(C6&gt;D6*(1+Överblick!C12),C6," ")</f>
        <v>7738</v>
      </c>
      <c r="H6" s="3" t="str">
        <f>IF(C6&lt;D6*(1-Överblick!C12),C6," ")</f>
        <v xml:space="preserve"> </v>
      </c>
      <c r="K6" s="29"/>
      <c r="L6" s="29"/>
      <c r="M6" s="29"/>
      <c r="N6" s="29"/>
    </row>
    <row r="7" spans="2:14" ht="15" thickBot="1" x14ac:dyDescent="0.35">
      <c r="B7" s="13" t="str">
        <f>Överblick!A13</f>
        <v>Övrig inkomst</v>
      </c>
      <c r="C7" s="21">
        <v>370</v>
      </c>
      <c r="D7" s="22">
        <f>Överblick!B13</f>
        <v>0</v>
      </c>
      <c r="E7" s="14" t="str">
        <f>IFERROR(C7/D7," ")</f>
        <v xml:space="preserve"> </v>
      </c>
      <c r="F7" s="23"/>
      <c r="G7" s="3">
        <f>IF(C7&gt;D7*(1+Överblick!C13),C7," ")</f>
        <v>370</v>
      </c>
      <c r="H7" s="3" t="str">
        <f>IF(C7&lt;D7*(1-Överblick!C13),C7," ")</f>
        <v xml:space="preserve"> </v>
      </c>
      <c r="K7" s="29"/>
      <c r="L7" s="29"/>
      <c r="M7" s="29"/>
      <c r="N7" s="29"/>
    </row>
    <row r="8" spans="2:14" x14ac:dyDescent="0.3">
      <c r="B8" s="2" t="str">
        <f>Överblick!A14</f>
        <v>Total inkomst</v>
      </c>
      <c r="C8" s="24">
        <f>SUM(C5:C7)</f>
        <v>21303</v>
      </c>
      <c r="D8" s="16">
        <f>Överblick!B14</f>
        <v>10944</v>
      </c>
      <c r="E8" s="17">
        <f>IFERROR(C8/D8," ")</f>
        <v>1.946546052631579</v>
      </c>
      <c r="F8" s="17"/>
      <c r="K8" s="29"/>
      <c r="L8" s="29"/>
      <c r="M8" s="29"/>
      <c r="N8" s="29"/>
    </row>
    <row r="9" spans="2:14" x14ac:dyDescent="0.3">
      <c r="B9" s="29"/>
      <c r="K9" s="29"/>
      <c r="L9" s="29"/>
      <c r="M9" s="29"/>
      <c r="N9" s="29"/>
    </row>
    <row r="10" spans="2:14" x14ac:dyDescent="0.3">
      <c r="D10" s="4">
        <v>0.75</v>
      </c>
      <c r="E10" s="4">
        <v>1.25</v>
      </c>
      <c r="K10" s="29"/>
      <c r="L10" s="29"/>
      <c r="M10" s="29"/>
      <c r="N10" s="29"/>
    </row>
    <row r="11" spans="2:14" ht="15" thickBot="1" x14ac:dyDescent="0.35">
      <c r="B11" s="33" t="s">
        <v>9</v>
      </c>
      <c r="C11" s="33" t="s">
        <v>11</v>
      </c>
      <c r="D11" s="34" t="s">
        <v>10</v>
      </c>
      <c r="E11" s="35" t="s">
        <v>37</v>
      </c>
      <c r="F11" s="35" t="s">
        <v>38</v>
      </c>
      <c r="G11" s="3" t="s">
        <v>12</v>
      </c>
      <c r="H11" s="3" t="s">
        <v>13</v>
      </c>
      <c r="K11" s="29"/>
      <c r="L11" s="29"/>
      <c r="M11" s="29"/>
      <c r="N11" s="29"/>
    </row>
    <row r="12" spans="2:14" x14ac:dyDescent="0.3">
      <c r="B12" s="1" t="str">
        <f>Överblick!A18</f>
        <v>Hyra</v>
      </c>
      <c r="C12" s="15">
        <v>5000</v>
      </c>
      <c r="D12" s="1">
        <f>Överblick!B18</f>
        <v>5000</v>
      </c>
      <c r="E12" s="19">
        <f>IFERROR(IF(C12/D12=0," ",C12/D12)," ")</f>
        <v>1</v>
      </c>
      <c r="F12" s="18"/>
      <c r="G12" s="3" t="str">
        <f>IF(C12&lt;D12*(1-Överblick!C18),C12," ")</f>
        <v xml:space="preserve"> </v>
      </c>
      <c r="H12" s="3" t="str">
        <f>IF(C12&gt;D12*(1+Överblick!C18),C12," ")</f>
        <v xml:space="preserve"> </v>
      </c>
      <c r="K12" s="29"/>
      <c r="L12" s="29"/>
      <c r="M12" s="29"/>
      <c r="N12" s="29"/>
    </row>
    <row r="13" spans="2:14" x14ac:dyDescent="0.3">
      <c r="B13" s="1" t="str">
        <f>Överblick!A19</f>
        <v>Mat/förbrukningsvaror</v>
      </c>
      <c r="C13" s="15">
        <v>1969</v>
      </c>
      <c r="D13" s="1">
        <f>Överblick!B19</f>
        <v>1250</v>
      </c>
      <c r="E13" s="19">
        <f t="shared" ref="E13:E24" si="0">IFERROR(IF(C13/D13=0," ",C13/D13)," ")</f>
        <v>1.5751999999999999</v>
      </c>
      <c r="F13" s="20"/>
      <c r="G13" s="3" t="str">
        <f>IF(C13&lt;D13*(1-Överblick!C19),C13," ")</f>
        <v xml:space="preserve"> </v>
      </c>
      <c r="H13" s="3">
        <f>IF(C13&gt;D13*(1+Överblick!C19),C13," ")</f>
        <v>1969</v>
      </c>
      <c r="K13" s="29"/>
      <c r="L13" s="29"/>
      <c r="M13" s="29"/>
      <c r="N13" s="29"/>
    </row>
    <row r="14" spans="2:14" x14ac:dyDescent="0.3">
      <c r="B14" s="1" t="str">
        <f>Överblick!A20</f>
        <v>Kläder och accessoarer</v>
      </c>
      <c r="C14" s="15"/>
      <c r="D14" s="1">
        <f>Överblick!B20</f>
        <v>400</v>
      </c>
      <c r="E14" s="19" t="str">
        <f t="shared" si="0"/>
        <v xml:space="preserve"> </v>
      </c>
      <c r="F14" s="20"/>
      <c r="G14" s="3">
        <f>IF(C14&lt;D14*(1-Överblick!C20),C14," ")</f>
        <v>0</v>
      </c>
      <c r="H14" s="3" t="str">
        <f>IF(C14&gt;D14*(1+Överblick!C20),C14," ")</f>
        <v xml:space="preserve"> </v>
      </c>
      <c r="K14" s="29"/>
      <c r="L14" s="29"/>
      <c r="M14" s="29"/>
      <c r="N14" s="29"/>
    </row>
    <row r="15" spans="2:14" x14ac:dyDescent="0.3">
      <c r="B15" s="1" t="str">
        <f>Överblick!A21</f>
        <v>Utemat</v>
      </c>
      <c r="C15" s="15">
        <f>55+79+62+(230+159+190+1)/2</f>
        <v>486</v>
      </c>
      <c r="D15" s="1">
        <f>Överblick!B21</f>
        <v>250</v>
      </c>
      <c r="E15" s="19">
        <f t="shared" si="0"/>
        <v>1.944</v>
      </c>
      <c r="F15" s="20"/>
      <c r="G15" s="3" t="str">
        <f>IF(C15&lt;D15*(1-Överblick!C21),C15," ")</f>
        <v xml:space="preserve"> </v>
      </c>
      <c r="H15" s="3">
        <f>IF(C15&gt;D15*(1+Överblick!C21),C15," ")</f>
        <v>486</v>
      </c>
      <c r="K15" s="29"/>
      <c r="L15" s="29"/>
      <c r="M15" s="29"/>
      <c r="N15" s="29"/>
    </row>
    <row r="16" spans="2:14" x14ac:dyDescent="0.3">
      <c r="B16" s="1" t="str">
        <f>Överblick!A22</f>
        <v>Studiematerial</v>
      </c>
      <c r="C16" s="15">
        <v>3813</v>
      </c>
      <c r="D16" s="1">
        <f>Överblick!B22</f>
        <v>300</v>
      </c>
      <c r="E16" s="19">
        <f t="shared" si="0"/>
        <v>12.71</v>
      </c>
      <c r="F16" s="20" t="s">
        <v>5562</v>
      </c>
      <c r="G16" s="3" t="str">
        <f>IF(C16&lt;D16*(1-Överblick!C22),C16," ")</f>
        <v xml:space="preserve"> </v>
      </c>
      <c r="H16" s="3">
        <f>IF(C16&gt;D16*(1+Överblick!C22),C16," ")</f>
        <v>3813</v>
      </c>
      <c r="K16" s="29"/>
      <c r="L16" s="29"/>
      <c r="M16" s="31"/>
      <c r="N16" s="29"/>
    </row>
    <row r="17" spans="2:14" x14ac:dyDescent="0.3">
      <c r="B17" s="1" t="str">
        <f>Överblick!A23</f>
        <v>Teknik och prylar</v>
      </c>
      <c r="C17" s="15">
        <v>99</v>
      </c>
      <c r="D17" s="1">
        <f>Överblick!B23</f>
        <v>200</v>
      </c>
      <c r="E17" s="19">
        <f t="shared" si="0"/>
        <v>0.495</v>
      </c>
      <c r="F17" s="20"/>
      <c r="G17" s="3">
        <f>IF(C17&lt;D17*(1-Överblick!C23),C17," ")</f>
        <v>99</v>
      </c>
      <c r="H17" s="3" t="str">
        <f>IF(C17&gt;D17*(1+Överblick!C23),C17," ")</f>
        <v xml:space="preserve"> </v>
      </c>
      <c r="K17" s="29"/>
      <c r="L17" s="29"/>
      <c r="M17" s="31"/>
      <c r="N17" s="29"/>
    </row>
    <row r="18" spans="2:14" x14ac:dyDescent="0.3">
      <c r="B18" s="1" t="str">
        <f>Överblick!A24</f>
        <v>Dricka och aktiviteter</v>
      </c>
      <c r="C18" s="15">
        <v>156</v>
      </c>
      <c r="D18" s="1">
        <f>Överblick!B24</f>
        <v>300</v>
      </c>
      <c r="E18" s="19">
        <f t="shared" si="0"/>
        <v>0.52</v>
      </c>
      <c r="F18" s="20"/>
      <c r="G18" s="3">
        <f>IF(C18&lt;D18*(1-Överblick!C24),C18," ")</f>
        <v>156</v>
      </c>
      <c r="H18" s="3" t="str">
        <f>IF(C18&gt;D18*(1+Överblick!C24),C18," ")</f>
        <v xml:space="preserve"> </v>
      </c>
      <c r="K18" s="29"/>
      <c r="L18" s="29"/>
      <c r="M18" s="31"/>
      <c r="N18" s="29"/>
    </row>
    <row r="19" spans="2:14" x14ac:dyDescent="0.3">
      <c r="B19" s="1" t="str">
        <f>Överblick!A25</f>
        <v>Hushåll</v>
      </c>
      <c r="C19" s="15">
        <v>35</v>
      </c>
      <c r="D19" s="1">
        <f>Överblick!B25</f>
        <v>100</v>
      </c>
      <c r="E19" s="19">
        <f t="shared" si="0"/>
        <v>0.35</v>
      </c>
      <c r="F19" s="20"/>
      <c r="G19" s="3">
        <f>IF(C19&lt;D19*(1-Överblick!C25),C19," ")</f>
        <v>35</v>
      </c>
      <c r="H19" s="3" t="str">
        <f>IF(C19&gt;D19*(1+Överblick!C25),C19," ")</f>
        <v xml:space="preserve"> </v>
      </c>
      <c r="K19" s="29"/>
      <c r="L19" s="29"/>
      <c r="M19" s="29"/>
      <c r="N19" s="29"/>
    </row>
    <row r="20" spans="2:14" x14ac:dyDescent="0.3">
      <c r="B20" s="1" t="str">
        <f>Överblick!A26</f>
        <v>Transport</v>
      </c>
      <c r="C20" s="15">
        <v>1225</v>
      </c>
      <c r="D20" s="1">
        <f>Överblick!B26</f>
        <v>400</v>
      </c>
      <c r="E20" s="19">
        <f t="shared" si="0"/>
        <v>3.0625</v>
      </c>
      <c r="F20" s="20" t="s">
        <v>5563</v>
      </c>
      <c r="G20" s="3" t="str">
        <f>IF(C20&lt;D20*(1-Överblick!C26),C20," ")</f>
        <v xml:space="preserve"> </v>
      </c>
      <c r="H20" s="3">
        <f>IF(C20&gt;D20*(1+Överblick!C26),C20," ")</f>
        <v>1225</v>
      </c>
      <c r="K20" s="31"/>
      <c r="L20" s="31"/>
      <c r="M20" s="31"/>
      <c r="N20" s="29"/>
    </row>
    <row r="21" spans="2:14" x14ac:dyDescent="0.3">
      <c r="B21" s="1" t="str">
        <f>Överblick!A27</f>
        <v>Sport och gym</v>
      </c>
      <c r="C21" s="15"/>
      <c r="D21" s="1">
        <f>Överblick!B27</f>
        <v>250</v>
      </c>
      <c r="E21" s="19" t="str">
        <f t="shared" si="0"/>
        <v xml:space="preserve"> </v>
      </c>
      <c r="F21" s="20"/>
      <c r="G21" s="3">
        <f>IF(C21&lt;D21*(1-Överblick!C27),C21," ")</f>
        <v>0</v>
      </c>
      <c r="H21" s="3" t="str">
        <f>IF(C21&gt;D21*(1+Överblick!C27),C21," ")</f>
        <v xml:space="preserve"> </v>
      </c>
      <c r="K21" s="29"/>
      <c r="L21" s="29"/>
      <c r="M21" s="29"/>
      <c r="N21" s="29"/>
    </row>
    <row r="22" spans="2:14" x14ac:dyDescent="0.3">
      <c r="B22" s="1" t="str">
        <f>Överblick!A28</f>
        <v>Date night</v>
      </c>
      <c r="C22" s="15">
        <v>2845</v>
      </c>
      <c r="D22" s="1">
        <f>Överblick!B28</f>
        <v>300</v>
      </c>
      <c r="E22" s="19">
        <f t="shared" si="0"/>
        <v>9.4833333333333325</v>
      </c>
      <c r="F22" s="20" t="s">
        <v>5564</v>
      </c>
      <c r="G22" s="3" t="str">
        <f>IF(C22&lt;D22*(1-Överblick!C28),C22," ")</f>
        <v xml:space="preserve"> </v>
      </c>
      <c r="H22" s="3">
        <f>IF(C22&gt;D22*(1+Överblick!C28),C22," ")</f>
        <v>2845</v>
      </c>
      <c r="K22" s="29"/>
      <c r="L22" s="29"/>
      <c r="M22" s="29"/>
      <c r="N22" s="29"/>
    </row>
    <row r="23" spans="2:14" x14ac:dyDescent="0.3">
      <c r="B23" s="1" t="str">
        <f>Överblick!A29</f>
        <v>Godis och snacks</v>
      </c>
      <c r="C23" s="15">
        <f>10+20+10+15+20+43+20+19+14</f>
        <v>171</v>
      </c>
      <c r="D23" s="25">
        <f>Överblick!B29</f>
        <v>150</v>
      </c>
      <c r="E23" s="26">
        <f t="shared" si="0"/>
        <v>1.1399999999999999</v>
      </c>
      <c r="F23" s="27"/>
      <c r="G23" s="3" t="str">
        <f>IF(C23&lt;D23*(1-Överblick!C29),C23," ")</f>
        <v xml:space="preserve"> </v>
      </c>
      <c r="H23" s="3" t="str">
        <f>IF(C23&gt;D23*(1+Överblick!C29),C23," ")</f>
        <v xml:space="preserve"> </v>
      </c>
      <c r="K23" s="29"/>
      <c r="L23" s="29"/>
      <c r="M23" s="29"/>
      <c r="N23" s="29"/>
    </row>
    <row r="24" spans="2:14" ht="15" thickBot="1" x14ac:dyDescent="0.35">
      <c r="B24" s="13" t="str">
        <f>Överblick!A30</f>
        <v>Övriga utgifter</v>
      </c>
      <c r="C24" s="21">
        <v>1113</v>
      </c>
      <c r="D24" s="8">
        <f>Överblick!B30</f>
        <v>500</v>
      </c>
      <c r="E24" s="9">
        <f t="shared" si="0"/>
        <v>2.226</v>
      </c>
      <c r="F24" s="79"/>
      <c r="G24" s="3" t="str">
        <f>IF(C24&lt;D24*(1-Överblick!C30),C24," ")</f>
        <v xml:space="preserve"> </v>
      </c>
      <c r="H24" s="3">
        <f>IF(C24&gt;D24*(1+Överblick!C30),C24," ")</f>
        <v>1113</v>
      </c>
      <c r="K24" s="29"/>
      <c r="L24" s="29"/>
      <c r="M24" s="29"/>
      <c r="N24" s="29"/>
    </row>
    <row r="25" spans="2:14" x14ac:dyDescent="0.3">
      <c r="B25" s="12" t="str">
        <f>Överblick!A31</f>
        <v>Totala utgifter</v>
      </c>
      <c r="C25" s="1">
        <f>SUM(C12:C24)</f>
        <v>16912</v>
      </c>
      <c r="D25" s="1">
        <f>Överblick!B31</f>
        <v>9400</v>
      </c>
      <c r="E25" s="28">
        <f>IFERROR(IF(C25/D25=0," ",C25/D25)," ")</f>
        <v>1.7991489361702129</v>
      </c>
      <c r="F25" s="28"/>
      <c r="K25" s="29"/>
      <c r="L25" s="29"/>
      <c r="M25" s="29"/>
      <c r="N25" s="29"/>
    </row>
    <row r="26" spans="2:14" x14ac:dyDescent="0.3">
      <c r="D26" s="29"/>
      <c r="E26" s="30"/>
      <c r="F26" s="30"/>
      <c r="G26" s="3">
        <f>IF(C27&gt;D27*(1+Överblick!C33),C27," ")</f>
        <v>4391</v>
      </c>
      <c r="H26" s="3" t="str">
        <f>IF(C27&lt;D27*(1-Överblick!C33),C27," ")</f>
        <v xml:space="preserve"> </v>
      </c>
      <c r="K26" s="29"/>
      <c r="L26" s="29"/>
      <c r="M26" s="29"/>
      <c r="N26" s="29"/>
    </row>
    <row r="27" spans="2:14" ht="15" thickBot="1" x14ac:dyDescent="0.35">
      <c r="B27" s="33" t="s">
        <v>3</v>
      </c>
      <c r="C27" s="8">
        <f>ROUND(C8-C25,0)</f>
        <v>4391</v>
      </c>
      <c r="D27" s="22">
        <f>Överblick!B33</f>
        <v>1544</v>
      </c>
      <c r="E27" s="14">
        <f>IFERROR(C27/D27," ")</f>
        <v>2.8439119170984455</v>
      </c>
      <c r="F27" s="14"/>
      <c r="I27" s="29"/>
      <c r="J27" s="29"/>
      <c r="K27" s="29"/>
      <c r="L27" s="29"/>
      <c r="M27" s="29"/>
      <c r="N27" s="29"/>
    </row>
    <row r="28" spans="2:14" x14ac:dyDescent="0.3">
      <c r="I28" s="29"/>
      <c r="J28" s="29"/>
      <c r="K28" s="29"/>
      <c r="L28" s="29"/>
      <c r="M28" s="29"/>
      <c r="N28" s="29"/>
    </row>
    <row r="29" spans="2:14" x14ac:dyDescent="0.3">
      <c r="I29" s="29"/>
      <c r="J29" s="29"/>
      <c r="K29" s="29"/>
      <c r="L29" s="29"/>
      <c r="M29" s="29"/>
      <c r="N29" s="29"/>
    </row>
  </sheetData>
  <conditionalFormatting sqref="E27 E5:E8 E12:E25">
    <cfRule type="cellIs" dxfId="62" priority="7" operator="between">
      <formula>$D$10</formula>
      <formula>$E$10</formula>
    </cfRule>
  </conditionalFormatting>
  <conditionalFormatting sqref="E5:E8 E27">
    <cfRule type="cellIs" dxfId="61" priority="3" operator="lessThan">
      <formula>$D$10</formula>
    </cfRule>
    <cfRule type="cellIs" dxfId="60" priority="4" operator="greaterThan">
      <formula>$E$10</formula>
    </cfRule>
  </conditionalFormatting>
  <conditionalFormatting sqref="E5:E8 E27 E12:E25">
    <cfRule type="beginsWith" dxfId="59" priority="2" operator="beginsWith" text=" ">
      <formula>LEFT(E5,LEN(" "))=" "</formula>
    </cfRule>
  </conditionalFormatting>
  <conditionalFormatting sqref="E12:E25">
    <cfRule type="cellIs" dxfId="58" priority="5" operator="greaterThan">
      <formula>$E$10</formula>
    </cfRule>
    <cfRule type="cellIs" dxfId="57" priority="6" operator="lessThan">
      <formula>$D$10</formula>
    </cfRule>
  </conditionalFormatting>
  <conditionalFormatting sqref="E1:E1048576">
    <cfRule type="cellIs" dxfId="56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D95254-BD64-4EC8-803C-0A4F31540051}">
  <sheetPr codeName="Sheet23">
    <tabColor rgb="FFFFC000"/>
  </sheetPr>
  <dimension ref="B1:N29"/>
  <sheetViews>
    <sheetView showGridLines="0" zoomScaleNormal="100" workbookViewId="0">
      <selection activeCell="F18" sqref="F18"/>
    </sheetView>
  </sheetViews>
  <sheetFormatPr defaultColWidth="8.88671875" defaultRowHeight="14.4" x14ac:dyDescent="0.3"/>
  <cols>
    <col min="1" max="1" width="10.88671875" style="3" customWidth="1"/>
    <col min="2" max="2" width="20" style="3" bestFit="1" customWidth="1"/>
    <col min="3" max="3" width="11" style="3" bestFit="1" customWidth="1"/>
    <col min="4" max="4" width="10.88671875" style="3" bestFit="1" customWidth="1"/>
    <col min="5" max="6" width="13" style="4" customWidth="1"/>
    <col min="7" max="8" width="9.77734375" style="3" bestFit="1" customWidth="1"/>
    <col min="9" max="9" width="11" style="3" customWidth="1"/>
    <col min="10" max="15" width="8.88671875" style="3"/>
    <col min="16" max="16" width="10.77734375" style="3" customWidth="1"/>
    <col min="17" max="16384" width="8.88671875" style="3"/>
  </cols>
  <sheetData>
    <row r="1" spans="2:14" x14ac:dyDescent="0.3">
      <c r="I1" s="32"/>
      <c r="J1" s="29"/>
      <c r="K1" s="29"/>
      <c r="L1" s="29"/>
      <c r="M1" s="29"/>
      <c r="N1" s="29"/>
    </row>
    <row r="2" spans="2:14" x14ac:dyDescent="0.3">
      <c r="I2" s="29"/>
      <c r="J2" s="29"/>
      <c r="K2" s="29"/>
      <c r="L2" s="29"/>
      <c r="M2" s="29"/>
      <c r="N2" s="29"/>
    </row>
    <row r="3" spans="2:14" x14ac:dyDescent="0.3">
      <c r="I3" s="29"/>
      <c r="J3" s="29"/>
      <c r="K3" s="29"/>
      <c r="L3" s="29"/>
      <c r="M3" s="29"/>
      <c r="N3" s="29"/>
    </row>
    <row r="4" spans="2:14" ht="15" thickBot="1" x14ac:dyDescent="0.35">
      <c r="B4" s="33" t="str">
        <f>Överblick!A10</f>
        <v>Inkomst</v>
      </c>
      <c r="C4" s="33" t="s">
        <v>11</v>
      </c>
      <c r="D4" s="34" t="s">
        <v>10</v>
      </c>
      <c r="E4" s="36" t="s">
        <v>37</v>
      </c>
      <c r="F4" s="36" t="s">
        <v>38</v>
      </c>
      <c r="G4" s="3" t="s">
        <v>12</v>
      </c>
      <c r="H4" s="3" t="s">
        <v>13</v>
      </c>
      <c r="K4" s="29"/>
      <c r="L4" s="29"/>
      <c r="M4" s="29"/>
      <c r="N4" s="29"/>
    </row>
    <row r="5" spans="2:14" x14ac:dyDescent="0.3">
      <c r="B5" s="2" t="str">
        <f>Överblick!A11</f>
        <v>CSN</v>
      </c>
      <c r="C5" s="15">
        <v>10676</v>
      </c>
      <c r="D5" s="16">
        <f>Överblick!B11</f>
        <v>10444</v>
      </c>
      <c r="E5" s="17">
        <f>IFERROR(C5/D5," ")</f>
        <v>1.0222137112217542</v>
      </c>
      <c r="F5" s="18"/>
      <c r="G5" s="3" t="str">
        <f>IF(C5&gt;D5*(1+Överblick!C11),C5," ")</f>
        <v xml:space="preserve"> </v>
      </c>
      <c r="H5" s="3" t="str">
        <f>IF(C5&lt;D5*(1-Överblick!C11),C5," ")</f>
        <v xml:space="preserve"> </v>
      </c>
      <c r="K5" s="29"/>
      <c r="L5" s="29"/>
      <c r="M5" s="29"/>
      <c r="N5" s="29"/>
    </row>
    <row r="6" spans="2:14" x14ac:dyDescent="0.3">
      <c r="B6" s="2" t="str">
        <f>Överblick!A12</f>
        <v>Lön</v>
      </c>
      <c r="C6" s="15">
        <v>2352</v>
      </c>
      <c r="D6" s="16">
        <f>Överblick!B12</f>
        <v>500</v>
      </c>
      <c r="E6" s="19">
        <f>IFERROR(C6/D6," ")</f>
        <v>4.7039999999999997</v>
      </c>
      <c r="F6" s="20"/>
      <c r="G6" s="3">
        <f>IF(C6&gt;D6*(1+Överblick!C12),C6," ")</f>
        <v>2352</v>
      </c>
      <c r="H6" s="3" t="str">
        <f>IF(C6&lt;D6*(1-Överblick!C12),C6," ")</f>
        <v xml:space="preserve"> </v>
      </c>
      <c r="K6" s="29"/>
      <c r="L6" s="29"/>
      <c r="M6" s="29"/>
      <c r="N6" s="29"/>
    </row>
    <row r="7" spans="2:14" ht="15" thickBot="1" x14ac:dyDescent="0.35">
      <c r="B7" s="13" t="str">
        <f>Överblick!A13</f>
        <v>Övrig inkomst</v>
      </c>
      <c r="C7" s="21">
        <v>200</v>
      </c>
      <c r="D7" s="22">
        <f>Överblick!B13</f>
        <v>0</v>
      </c>
      <c r="E7" s="14" t="str">
        <f>IFERROR(C7/D7," ")</f>
        <v xml:space="preserve"> </v>
      </c>
      <c r="F7" s="23"/>
      <c r="G7" s="3">
        <f>IF(C7&gt;D7*(1+Överblick!C13),C7," ")</f>
        <v>200</v>
      </c>
      <c r="H7" s="3" t="str">
        <f>IF(C7&lt;D7*(1-Överblick!C13),C7," ")</f>
        <v xml:space="preserve"> </v>
      </c>
      <c r="K7" s="29"/>
      <c r="L7" s="29"/>
      <c r="M7" s="29"/>
      <c r="N7" s="29"/>
    </row>
    <row r="8" spans="2:14" x14ac:dyDescent="0.3">
      <c r="B8" s="2" t="str">
        <f>Överblick!A14</f>
        <v>Total inkomst</v>
      </c>
      <c r="C8" s="24">
        <f>SUM(C5:C7)</f>
        <v>13228</v>
      </c>
      <c r="D8" s="16">
        <f>Överblick!B14</f>
        <v>10944</v>
      </c>
      <c r="E8" s="17">
        <f>IFERROR(C8/D8," ")</f>
        <v>1.2086988304093567</v>
      </c>
      <c r="F8" s="17"/>
      <c r="K8" s="29"/>
      <c r="L8" s="29"/>
      <c r="M8" s="29"/>
      <c r="N8" s="29"/>
    </row>
    <row r="9" spans="2:14" x14ac:dyDescent="0.3">
      <c r="B9" s="29"/>
      <c r="K9" s="29"/>
      <c r="L9" s="29"/>
      <c r="M9" s="29"/>
      <c r="N9" s="29"/>
    </row>
    <row r="10" spans="2:14" x14ac:dyDescent="0.3">
      <c r="D10" s="4">
        <v>0.75</v>
      </c>
      <c r="E10" s="4">
        <v>1.25</v>
      </c>
      <c r="K10" s="29"/>
      <c r="L10" s="29"/>
      <c r="M10" s="29"/>
      <c r="N10" s="29"/>
    </row>
    <row r="11" spans="2:14" ht="15" thickBot="1" x14ac:dyDescent="0.35">
      <c r="B11" s="33" t="s">
        <v>9</v>
      </c>
      <c r="C11" s="33" t="s">
        <v>11</v>
      </c>
      <c r="D11" s="34" t="s">
        <v>10</v>
      </c>
      <c r="E11" s="35" t="s">
        <v>37</v>
      </c>
      <c r="F11" s="35" t="s">
        <v>38</v>
      </c>
      <c r="G11" s="3" t="s">
        <v>12</v>
      </c>
      <c r="H11" s="3" t="s">
        <v>13</v>
      </c>
      <c r="K11" s="29"/>
      <c r="L11" s="29"/>
      <c r="M11" s="29"/>
      <c r="N11" s="29"/>
    </row>
    <row r="12" spans="2:14" x14ac:dyDescent="0.3">
      <c r="B12" s="1" t="str">
        <f>Överblick!A18</f>
        <v>Hyra</v>
      </c>
      <c r="C12" s="15">
        <v>6465</v>
      </c>
      <c r="D12" s="1">
        <f>Överblick!B18</f>
        <v>5000</v>
      </c>
      <c r="E12" s="19">
        <f>IFERROR(IF(C12/D12=0," ",C12/D12)," ")</f>
        <v>1.2929999999999999</v>
      </c>
      <c r="F12" s="18"/>
      <c r="G12" s="3" t="str">
        <f>IF(C12&lt;D12*(1-Överblick!C18),C12," ")</f>
        <v xml:space="preserve"> </v>
      </c>
      <c r="H12" s="3">
        <f>IF(C12&gt;D12*(1+Överblick!C18),C12," ")</f>
        <v>6465</v>
      </c>
      <c r="K12" s="29"/>
      <c r="L12" s="29"/>
      <c r="M12" s="29"/>
      <c r="N12" s="29"/>
    </row>
    <row r="13" spans="2:14" x14ac:dyDescent="0.3">
      <c r="B13" s="1" t="str">
        <f>Överblick!A19</f>
        <v>Mat/förbrukningsvaror</v>
      </c>
      <c r="C13" s="15">
        <v>1190</v>
      </c>
      <c r="D13" s="1">
        <f>Överblick!B19</f>
        <v>1250</v>
      </c>
      <c r="E13" s="19">
        <f t="shared" ref="E13:E24" si="0">IFERROR(IF(C13/D13=0," ",C13/D13)," ")</f>
        <v>0.95199999999999996</v>
      </c>
      <c r="F13" s="20"/>
      <c r="G13" s="3" t="str">
        <f>IF(C13&lt;D13*(1-Överblick!C19),C13," ")</f>
        <v xml:space="preserve"> </v>
      </c>
      <c r="H13" s="3" t="str">
        <f>IF(C13&gt;D13*(1+Överblick!C19),C13," ")</f>
        <v xml:space="preserve"> </v>
      </c>
      <c r="K13" s="29"/>
      <c r="L13" s="29"/>
      <c r="M13" s="29"/>
      <c r="N13" s="29"/>
    </row>
    <row r="14" spans="2:14" x14ac:dyDescent="0.3">
      <c r="B14" s="1" t="str">
        <f>Överblick!A20</f>
        <v>Kläder och accessoarer</v>
      </c>
      <c r="C14" s="15">
        <v>1801</v>
      </c>
      <c r="D14" s="1">
        <f>Överblick!B20</f>
        <v>400</v>
      </c>
      <c r="E14" s="19">
        <f t="shared" si="0"/>
        <v>4.5025000000000004</v>
      </c>
      <c r="F14" s="20" t="s">
        <v>5565</v>
      </c>
      <c r="G14" s="3" t="str">
        <f>IF(C14&lt;D14*(1-Överblick!C20),C14," ")</f>
        <v xml:space="preserve"> </v>
      </c>
      <c r="H14" s="3">
        <f>IF(C14&gt;D14*(1+Överblick!C20),C14," ")</f>
        <v>1801</v>
      </c>
      <c r="K14" s="29"/>
      <c r="L14" s="29"/>
      <c r="M14" s="29"/>
      <c r="N14" s="29"/>
    </row>
    <row r="15" spans="2:14" x14ac:dyDescent="0.3">
      <c r="B15" s="1" t="str">
        <f>Överblick!A21</f>
        <v>Utemat</v>
      </c>
      <c r="C15" s="15">
        <f>(1/2)*(160+80)+195</f>
        <v>315</v>
      </c>
      <c r="D15" s="1">
        <f>Överblick!B21</f>
        <v>250</v>
      </c>
      <c r="E15" s="19">
        <f t="shared" si="0"/>
        <v>1.26</v>
      </c>
      <c r="F15" s="20"/>
      <c r="G15" s="3" t="str">
        <f>IF(C15&lt;D15*(1-Överblick!C21),C15," ")</f>
        <v xml:space="preserve"> </v>
      </c>
      <c r="H15" s="3">
        <f>IF(C15&gt;D15*(1+Överblick!C21),C15," ")</f>
        <v>315</v>
      </c>
      <c r="K15" s="29"/>
      <c r="L15" s="29"/>
      <c r="M15" s="29"/>
      <c r="N15" s="29"/>
    </row>
    <row r="16" spans="2:14" x14ac:dyDescent="0.3">
      <c r="B16" s="1" t="str">
        <f>Överblick!A22</f>
        <v>Studiematerial</v>
      </c>
      <c r="C16" s="15">
        <v>396</v>
      </c>
      <c r="D16" s="1">
        <f>Överblick!B22</f>
        <v>300</v>
      </c>
      <c r="E16" s="19">
        <f t="shared" si="0"/>
        <v>1.32</v>
      </c>
      <c r="F16" s="20"/>
      <c r="G16" s="3" t="str">
        <f>IF(C16&lt;D16*(1-Överblick!C22),C16," ")</f>
        <v xml:space="preserve"> </v>
      </c>
      <c r="H16" s="3">
        <f>IF(C16&gt;D16*(1+Överblick!C22),C16," ")</f>
        <v>396</v>
      </c>
      <c r="K16" s="29"/>
      <c r="L16" s="29"/>
      <c r="M16" s="31"/>
      <c r="N16" s="29"/>
    </row>
    <row r="17" spans="2:14" x14ac:dyDescent="0.3">
      <c r="B17" s="1" t="str">
        <f>Överblick!A23</f>
        <v>Teknik och prylar</v>
      </c>
      <c r="C17" s="15">
        <v>2877</v>
      </c>
      <c r="D17" s="1">
        <f>Överblick!B23</f>
        <v>200</v>
      </c>
      <c r="E17" s="19">
        <f t="shared" si="0"/>
        <v>14.385</v>
      </c>
      <c r="F17" s="20" t="s">
        <v>5572</v>
      </c>
      <c r="G17" s="3" t="str">
        <f>IF(C17&lt;D17*(1-Överblick!C23),C17," ")</f>
        <v xml:space="preserve"> </v>
      </c>
      <c r="H17" s="3">
        <f>IF(C17&gt;D17*(1+Överblick!C23),C17," ")</f>
        <v>2877</v>
      </c>
      <c r="K17" s="29"/>
      <c r="L17" s="29"/>
      <c r="M17" s="31"/>
      <c r="N17" s="29"/>
    </row>
    <row r="18" spans="2:14" x14ac:dyDescent="0.3">
      <c r="B18" s="1" t="str">
        <f>Överblick!A24</f>
        <v>Dricka och aktiviteter</v>
      </c>
      <c r="C18" s="15">
        <v>291</v>
      </c>
      <c r="D18" s="1">
        <f>Överblick!B24</f>
        <v>300</v>
      </c>
      <c r="E18" s="19">
        <f t="shared" si="0"/>
        <v>0.97</v>
      </c>
      <c r="F18" s="20"/>
      <c r="G18" s="3" t="str">
        <f>IF(C18&lt;D18*(1-Överblick!C24),C18," ")</f>
        <v xml:space="preserve"> </v>
      </c>
      <c r="H18" s="3" t="str">
        <f>IF(C18&gt;D18*(1+Överblick!C24),C18," ")</f>
        <v xml:space="preserve"> </v>
      </c>
      <c r="K18" s="29"/>
      <c r="L18" s="29"/>
      <c r="M18" s="31"/>
      <c r="N18" s="29"/>
    </row>
    <row r="19" spans="2:14" x14ac:dyDescent="0.3">
      <c r="B19" s="1" t="str">
        <f>Överblick!A25</f>
        <v>Hushåll</v>
      </c>
      <c r="C19" s="15">
        <v>340</v>
      </c>
      <c r="D19" s="1">
        <f>Överblick!B25</f>
        <v>100</v>
      </c>
      <c r="E19" s="19">
        <f t="shared" si="0"/>
        <v>3.4</v>
      </c>
      <c r="F19" s="20"/>
      <c r="G19" s="3" t="str">
        <f>IF(C19&lt;D19*(1-Överblick!C25),C19," ")</f>
        <v xml:space="preserve"> </v>
      </c>
      <c r="H19" s="3">
        <f>IF(C19&gt;D19*(1+Överblick!C25),C19," ")</f>
        <v>340</v>
      </c>
      <c r="K19" s="29"/>
      <c r="L19" s="29"/>
      <c r="M19" s="29"/>
      <c r="N19" s="29"/>
    </row>
    <row r="20" spans="2:14" x14ac:dyDescent="0.3">
      <c r="B20" s="1" t="str">
        <f>Överblick!A26</f>
        <v>Transport</v>
      </c>
      <c r="C20" s="15"/>
      <c r="D20" s="1">
        <f>Överblick!B26</f>
        <v>400</v>
      </c>
      <c r="E20" s="19" t="str">
        <f t="shared" si="0"/>
        <v xml:space="preserve"> </v>
      </c>
      <c r="F20" s="20"/>
      <c r="G20" s="3">
        <f>IF(C20&lt;D20*(1-Överblick!C26),C20," ")</f>
        <v>0</v>
      </c>
      <c r="H20" s="3" t="str">
        <f>IF(C20&gt;D20*(1+Överblick!C26),C20," ")</f>
        <v xml:space="preserve"> </v>
      </c>
      <c r="K20" s="31"/>
      <c r="L20" s="31"/>
      <c r="M20" s="31"/>
      <c r="N20" s="29"/>
    </row>
    <row r="21" spans="2:14" x14ac:dyDescent="0.3">
      <c r="B21" s="1" t="str">
        <f>Överblick!A27</f>
        <v>Sport och gym</v>
      </c>
      <c r="C21" s="15"/>
      <c r="D21" s="1">
        <f>Överblick!B27</f>
        <v>250</v>
      </c>
      <c r="E21" s="19" t="str">
        <f t="shared" si="0"/>
        <v xml:space="preserve"> </v>
      </c>
      <c r="F21" s="20"/>
      <c r="G21" s="3">
        <f>IF(C21&lt;D21*(1-Överblick!C27),C21," ")</f>
        <v>0</v>
      </c>
      <c r="H21" s="3" t="str">
        <f>IF(C21&gt;D21*(1+Överblick!C27),C21," ")</f>
        <v xml:space="preserve"> </v>
      </c>
      <c r="K21" s="29"/>
      <c r="L21" s="29"/>
      <c r="M21" s="29"/>
      <c r="N21" s="29"/>
    </row>
    <row r="22" spans="2:14" x14ac:dyDescent="0.3">
      <c r="B22" s="1" t="str">
        <f>Överblick!A28</f>
        <v>Date night</v>
      </c>
      <c r="C22" s="15">
        <v>471</v>
      </c>
      <c r="D22" s="1">
        <f>Överblick!B28</f>
        <v>300</v>
      </c>
      <c r="E22" s="19">
        <f t="shared" si="0"/>
        <v>1.57</v>
      </c>
      <c r="F22" s="20"/>
      <c r="G22" s="3" t="str">
        <f>IF(C22&lt;D22*(1-Överblick!C28),C22," ")</f>
        <v xml:space="preserve"> </v>
      </c>
      <c r="H22" s="3">
        <f>IF(C22&gt;D22*(1+Överblick!C28),C22," ")</f>
        <v>471</v>
      </c>
      <c r="K22" s="29"/>
      <c r="L22" s="29"/>
      <c r="M22" s="29"/>
      <c r="N22" s="29"/>
    </row>
    <row r="23" spans="2:14" x14ac:dyDescent="0.3">
      <c r="B23" s="1" t="str">
        <f>Överblick!A29</f>
        <v>Godis och snacks</v>
      </c>
      <c r="C23" s="15">
        <f>35+15+37+16+29+25+25+26+52+19</f>
        <v>279</v>
      </c>
      <c r="D23" s="25">
        <f>Överblick!B29</f>
        <v>150</v>
      </c>
      <c r="E23" s="26">
        <f t="shared" si="0"/>
        <v>1.86</v>
      </c>
      <c r="F23" s="27"/>
      <c r="G23" s="3" t="str">
        <f>IF(C23&lt;D23*(1-Överblick!C29),C23," ")</f>
        <v xml:space="preserve"> </v>
      </c>
      <c r="H23" s="3">
        <f>IF(C23&gt;D23*(1+Överblick!C29),C23," ")</f>
        <v>279</v>
      </c>
      <c r="K23" s="29"/>
      <c r="L23" s="29"/>
      <c r="M23" s="29"/>
      <c r="N23" s="29"/>
    </row>
    <row r="24" spans="2:14" ht="15" thickBot="1" x14ac:dyDescent="0.35">
      <c r="B24" s="13" t="str">
        <f>Överblick!A30</f>
        <v>Övriga utgifter</v>
      </c>
      <c r="C24" s="21">
        <v>867</v>
      </c>
      <c r="D24" s="8">
        <f>Överblick!B30</f>
        <v>500</v>
      </c>
      <c r="E24" s="9">
        <f t="shared" si="0"/>
        <v>1.734</v>
      </c>
      <c r="F24" s="79"/>
      <c r="G24" s="3" t="str">
        <f>IF(C24&lt;D24*(1-Överblick!C30),C24," ")</f>
        <v xml:space="preserve"> </v>
      </c>
      <c r="H24" s="3">
        <f>IF(C24&gt;D24*(1+Överblick!C30),C24," ")</f>
        <v>867</v>
      </c>
      <c r="K24" s="29"/>
      <c r="L24" s="29"/>
      <c r="M24" s="29"/>
      <c r="N24" s="29"/>
    </row>
    <row r="25" spans="2:14" x14ac:dyDescent="0.3">
      <c r="B25" s="12" t="str">
        <f>Överblick!A31</f>
        <v>Totala utgifter</v>
      </c>
      <c r="C25" s="1">
        <f>SUM(C12:C24)</f>
        <v>15292</v>
      </c>
      <c r="D25" s="1">
        <f>Överblick!B31</f>
        <v>9400</v>
      </c>
      <c r="E25" s="28">
        <f>IFERROR(IF(C25/D25=0," ",C25/D25)," ")</f>
        <v>1.6268085106382979</v>
      </c>
      <c r="F25" s="28"/>
      <c r="K25" s="29"/>
      <c r="L25" s="29"/>
      <c r="M25" s="29"/>
      <c r="N25" s="29"/>
    </row>
    <row r="26" spans="2:14" x14ac:dyDescent="0.3">
      <c r="D26" s="29"/>
      <c r="E26" s="30"/>
      <c r="F26" s="30"/>
      <c r="G26" s="3" t="str">
        <f>IF(C27&gt;D27*(1+Överblick!C33),C27," ")</f>
        <v xml:space="preserve"> </v>
      </c>
      <c r="H26" s="3">
        <f>IF(C27&lt;D27*(1-Överblick!C33),C27," ")</f>
        <v>-2064</v>
      </c>
      <c r="K26" s="29"/>
      <c r="L26" s="29"/>
      <c r="M26" s="29"/>
      <c r="N26" s="29"/>
    </row>
    <row r="27" spans="2:14" ht="15" thickBot="1" x14ac:dyDescent="0.35">
      <c r="B27" s="33" t="s">
        <v>3</v>
      </c>
      <c r="C27" s="8">
        <f>ROUND(C8-C25,0)</f>
        <v>-2064</v>
      </c>
      <c r="D27" s="22">
        <f>Överblick!B33</f>
        <v>1544</v>
      </c>
      <c r="E27" s="14">
        <f>IFERROR(C27/D27," ")</f>
        <v>-1.3367875647668395</v>
      </c>
      <c r="F27" s="14"/>
      <c r="I27" s="29"/>
      <c r="J27" s="29"/>
      <c r="K27" s="29"/>
      <c r="L27" s="29"/>
      <c r="M27" s="29"/>
      <c r="N27" s="29"/>
    </row>
    <row r="28" spans="2:14" x14ac:dyDescent="0.3">
      <c r="I28" s="29"/>
      <c r="J28" s="29"/>
      <c r="K28" s="29"/>
      <c r="L28" s="29"/>
      <c r="M28" s="29"/>
      <c r="N28" s="29"/>
    </row>
    <row r="29" spans="2:14" x14ac:dyDescent="0.3">
      <c r="I29" s="29"/>
      <c r="J29" s="29"/>
      <c r="K29" s="29"/>
      <c r="L29" s="29"/>
      <c r="M29" s="29"/>
      <c r="N29" s="29"/>
    </row>
  </sheetData>
  <sheetProtection algorithmName="SHA-512" hashValue="rDVYhSiACIJ9LxEJ66qOLslxk49C2xal5tt1amggMfaPTioOcZjlwXstkwsBWagvCW1FrO2zKszERV6Vx8V9kw==" saltValue="6fYnmoUtHJle8wO+F/wO/A==" spinCount="100000" sheet="1" objects="1" scenarios="1"/>
  <conditionalFormatting sqref="E27 E5:E8 E12:E25">
    <cfRule type="cellIs" dxfId="55" priority="7" operator="between">
      <formula>$D$10</formula>
      <formula>$E$10</formula>
    </cfRule>
  </conditionalFormatting>
  <conditionalFormatting sqref="E5:E8 E27">
    <cfRule type="cellIs" dxfId="54" priority="3" operator="lessThan">
      <formula>$D$10</formula>
    </cfRule>
    <cfRule type="cellIs" dxfId="53" priority="4" operator="greaterThan">
      <formula>$E$10</formula>
    </cfRule>
  </conditionalFormatting>
  <conditionalFormatting sqref="E5:E8 E27 E12:E25">
    <cfRule type="beginsWith" dxfId="52" priority="2" operator="beginsWith" text=" ">
      <formula>LEFT(E5,LEN(" "))=" "</formula>
    </cfRule>
  </conditionalFormatting>
  <conditionalFormatting sqref="E12:E25">
    <cfRule type="cellIs" dxfId="51" priority="5" operator="greaterThan">
      <formula>$E$10</formula>
    </cfRule>
    <cfRule type="cellIs" dxfId="50" priority="6" operator="lessThan">
      <formula>$D$10</formula>
    </cfRule>
  </conditionalFormatting>
  <conditionalFormatting sqref="E1:E1048576">
    <cfRule type="cellIs" dxfId="49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F870D-A9F0-44E1-848E-5032C705103D}">
  <sheetPr codeName="Sheet24">
    <tabColor rgb="FFFFC000"/>
  </sheetPr>
  <dimension ref="B1:N29"/>
  <sheetViews>
    <sheetView showGridLines="0" zoomScaleNormal="100" workbookViewId="0">
      <selection activeCell="C23" sqref="C23"/>
    </sheetView>
  </sheetViews>
  <sheetFormatPr defaultColWidth="8.88671875" defaultRowHeight="14.4" x14ac:dyDescent="0.3"/>
  <cols>
    <col min="1" max="1" width="10.88671875" style="3" customWidth="1"/>
    <col min="2" max="2" width="20" style="3" bestFit="1" customWidth="1"/>
    <col min="3" max="3" width="11" style="3" bestFit="1" customWidth="1"/>
    <col min="4" max="4" width="10.88671875" style="3" bestFit="1" customWidth="1"/>
    <col min="5" max="6" width="13" style="4" customWidth="1"/>
    <col min="7" max="8" width="9.77734375" style="3" bestFit="1" customWidth="1"/>
    <col min="9" max="9" width="11" style="3" customWidth="1"/>
    <col min="10" max="15" width="8.88671875" style="3"/>
    <col min="16" max="16" width="10.77734375" style="3" customWidth="1"/>
    <col min="17" max="16384" width="8.88671875" style="3"/>
  </cols>
  <sheetData>
    <row r="1" spans="2:14" x14ac:dyDescent="0.3">
      <c r="I1" s="32"/>
      <c r="J1" s="29"/>
      <c r="K1" s="29"/>
      <c r="L1" s="29"/>
      <c r="M1" s="29"/>
      <c r="N1" s="29"/>
    </row>
    <row r="2" spans="2:14" x14ac:dyDescent="0.3">
      <c r="I2" s="29"/>
      <c r="J2" s="29"/>
      <c r="K2" s="29"/>
      <c r="L2" s="29"/>
      <c r="M2" s="29"/>
      <c r="N2" s="29"/>
    </row>
    <row r="3" spans="2:14" x14ac:dyDescent="0.3">
      <c r="I3" s="29"/>
      <c r="J3" s="29"/>
      <c r="K3" s="29"/>
      <c r="L3" s="29"/>
      <c r="M3" s="29"/>
      <c r="N3" s="29"/>
    </row>
    <row r="4" spans="2:14" ht="15" thickBot="1" x14ac:dyDescent="0.35">
      <c r="B4" s="33" t="str">
        <f>Överblick!A10</f>
        <v>Inkomst</v>
      </c>
      <c r="C4" s="33" t="s">
        <v>11</v>
      </c>
      <c r="D4" s="34" t="s">
        <v>10</v>
      </c>
      <c r="E4" s="36" t="s">
        <v>37</v>
      </c>
      <c r="F4" s="36" t="s">
        <v>38</v>
      </c>
      <c r="G4" s="3" t="s">
        <v>12</v>
      </c>
      <c r="H4" s="3" t="s">
        <v>13</v>
      </c>
      <c r="K4" s="29"/>
      <c r="L4" s="29"/>
      <c r="M4" s="29"/>
      <c r="N4" s="29"/>
    </row>
    <row r="5" spans="2:14" x14ac:dyDescent="0.3">
      <c r="B5" s="2" t="str">
        <f>Överblick!A11</f>
        <v>CSN</v>
      </c>
      <c r="C5" s="15">
        <v>10676</v>
      </c>
      <c r="D5" s="16">
        <f>Överblick!B11</f>
        <v>10444</v>
      </c>
      <c r="E5" s="17">
        <f>IFERROR(C5/D5," ")</f>
        <v>1.0222137112217542</v>
      </c>
      <c r="F5" s="18"/>
      <c r="G5" s="3" t="str">
        <f>IF(C5&gt;D5*(1+Överblick!C11),C5," ")</f>
        <v xml:space="preserve"> </v>
      </c>
      <c r="H5" s="3" t="str">
        <f>IF(C5&lt;D5*(1-Överblick!C11),C5," ")</f>
        <v xml:space="preserve"> </v>
      </c>
      <c r="K5" s="29"/>
      <c r="L5" s="29"/>
      <c r="M5" s="29"/>
      <c r="N5" s="29"/>
    </row>
    <row r="6" spans="2:14" x14ac:dyDescent="0.3">
      <c r="B6" s="2" t="str">
        <f>Överblick!A12</f>
        <v>Lön</v>
      </c>
      <c r="C6" s="15"/>
      <c r="D6" s="16">
        <f>Överblick!B12</f>
        <v>500</v>
      </c>
      <c r="E6" s="19">
        <f>IFERROR(C6/D6," ")</f>
        <v>0</v>
      </c>
      <c r="F6" s="20"/>
      <c r="G6" s="3" t="str">
        <f>IF(C6&gt;D6*(1+Överblick!C12),C6," ")</f>
        <v xml:space="preserve"> </v>
      </c>
      <c r="H6" s="3">
        <f>IF(C6&lt;D6*(1-Överblick!C12),C6," ")</f>
        <v>0</v>
      </c>
      <c r="K6" s="29"/>
      <c r="L6" s="29"/>
      <c r="M6" s="29"/>
      <c r="N6" s="29"/>
    </row>
    <row r="7" spans="2:14" ht="15" thickBot="1" x14ac:dyDescent="0.35">
      <c r="B7" s="13" t="str">
        <f>Överblick!A13</f>
        <v>Övrig inkomst</v>
      </c>
      <c r="C7" s="21"/>
      <c r="D7" s="22">
        <f>Överblick!B13</f>
        <v>0</v>
      </c>
      <c r="E7" s="14" t="str">
        <f>IFERROR(C7/D7," ")</f>
        <v xml:space="preserve"> </v>
      </c>
      <c r="F7" s="23" t="s">
        <v>5566</v>
      </c>
      <c r="G7" s="3" t="str">
        <f>IF(C7&gt;D7*(1+Överblick!C13),C7," ")</f>
        <v xml:space="preserve"> </v>
      </c>
      <c r="H7" s="3" t="str">
        <f>IF(C7&lt;D7*(1-Överblick!C13),C7," ")</f>
        <v xml:space="preserve"> </v>
      </c>
      <c r="K7" s="29"/>
      <c r="L7" s="29"/>
      <c r="M7" s="29"/>
      <c r="N7" s="29"/>
    </row>
    <row r="8" spans="2:14" x14ac:dyDescent="0.3">
      <c r="B8" s="2" t="str">
        <f>Överblick!A14</f>
        <v>Total inkomst</v>
      </c>
      <c r="C8" s="24">
        <f>SUM(C5:C7)</f>
        <v>10676</v>
      </c>
      <c r="D8" s="16">
        <f>Överblick!B14</f>
        <v>10944</v>
      </c>
      <c r="E8" s="17">
        <f>IFERROR(C8/D8," ")</f>
        <v>0.97551169590643272</v>
      </c>
      <c r="F8" s="17"/>
      <c r="K8" s="29"/>
      <c r="L8" s="29"/>
      <c r="M8" s="29"/>
      <c r="N8" s="29"/>
    </row>
    <row r="9" spans="2:14" x14ac:dyDescent="0.3">
      <c r="B9" s="29"/>
      <c r="K9" s="29"/>
      <c r="L9" s="29"/>
      <c r="M9" s="29"/>
      <c r="N9" s="29"/>
    </row>
    <row r="10" spans="2:14" x14ac:dyDescent="0.3">
      <c r="D10" s="4">
        <v>0.75</v>
      </c>
      <c r="E10" s="4">
        <v>1.25</v>
      </c>
      <c r="K10" s="29"/>
      <c r="L10" s="29"/>
      <c r="M10" s="29"/>
      <c r="N10" s="29"/>
    </row>
    <row r="11" spans="2:14" ht="15" thickBot="1" x14ac:dyDescent="0.35">
      <c r="B11" s="33" t="s">
        <v>9</v>
      </c>
      <c r="C11" s="33" t="s">
        <v>11</v>
      </c>
      <c r="D11" s="34" t="s">
        <v>10</v>
      </c>
      <c r="E11" s="35" t="s">
        <v>37</v>
      </c>
      <c r="F11" s="35" t="s">
        <v>38</v>
      </c>
      <c r="G11" s="3" t="s">
        <v>12</v>
      </c>
      <c r="H11" s="3" t="s">
        <v>13</v>
      </c>
      <c r="K11" s="29"/>
      <c r="L11" s="29"/>
      <c r="M11" s="29"/>
      <c r="N11" s="29"/>
    </row>
    <row r="12" spans="2:14" x14ac:dyDescent="0.3">
      <c r="B12" s="1" t="str">
        <f>Överblick!A18</f>
        <v>Hyra</v>
      </c>
      <c r="C12" s="15">
        <v>2748</v>
      </c>
      <c r="D12" s="1">
        <f>Överblick!B18</f>
        <v>5000</v>
      </c>
      <c r="E12" s="19">
        <f>IFERROR(IF(C12/D12=0," ",C12/D12)," ")</f>
        <v>0.54959999999999998</v>
      </c>
      <c r="F12" s="18"/>
      <c r="G12" s="3">
        <f>IF(C12&lt;D12*(1-Överblick!C18),C12," ")</f>
        <v>2748</v>
      </c>
      <c r="H12" s="3" t="str">
        <f>IF(C12&gt;D12*(1+Överblick!C18),C12," ")</f>
        <v xml:space="preserve"> </v>
      </c>
      <c r="K12" s="29"/>
      <c r="L12" s="29"/>
      <c r="M12" s="29"/>
      <c r="N12" s="29"/>
    </row>
    <row r="13" spans="2:14" x14ac:dyDescent="0.3">
      <c r="B13" s="1" t="str">
        <f>Överblick!A19</f>
        <v>Mat/förbrukningsvaror</v>
      </c>
      <c r="C13" s="15">
        <v>2087</v>
      </c>
      <c r="D13" s="1">
        <f>Överblick!B19</f>
        <v>1250</v>
      </c>
      <c r="E13" s="19">
        <f t="shared" ref="E13:E24" si="0">IFERROR(IF(C13/D13=0," ",C13/D13)," ")</f>
        <v>1.6696</v>
      </c>
      <c r="F13" s="20"/>
      <c r="G13" s="3" t="str">
        <f>IF(C13&lt;D13*(1-Överblick!C19),C13," ")</f>
        <v xml:space="preserve"> </v>
      </c>
      <c r="H13" s="3">
        <f>IF(C13&gt;D13*(1+Överblick!C19),C13," ")</f>
        <v>2087</v>
      </c>
      <c r="K13" s="29"/>
      <c r="L13" s="29"/>
      <c r="M13" s="29"/>
      <c r="N13" s="29"/>
    </row>
    <row r="14" spans="2:14" x14ac:dyDescent="0.3">
      <c r="B14" s="1" t="str">
        <f>Överblick!A20</f>
        <v>Kläder och accessoarer</v>
      </c>
      <c r="C14" s="15">
        <v>865</v>
      </c>
      <c r="D14" s="1">
        <f>Överblick!B20</f>
        <v>400</v>
      </c>
      <c r="E14" s="19">
        <f t="shared" si="0"/>
        <v>2.1625000000000001</v>
      </c>
      <c r="F14" s="20" t="s">
        <v>5567</v>
      </c>
      <c r="G14" s="3" t="str">
        <f>IF(C14&lt;D14*(1-Överblick!C20),C14," ")</f>
        <v xml:space="preserve"> </v>
      </c>
      <c r="H14" s="3">
        <f>IF(C14&gt;D14*(1+Överblick!C20),C14," ")</f>
        <v>865</v>
      </c>
      <c r="K14" s="29"/>
      <c r="L14" s="29"/>
      <c r="M14" s="29"/>
      <c r="N14" s="29"/>
    </row>
    <row r="15" spans="2:14" x14ac:dyDescent="0.3">
      <c r="B15" s="1" t="str">
        <f>Överblick!A21</f>
        <v>Utemat</v>
      </c>
      <c r="C15" s="15">
        <f>235+85+1/2*(85+85+190+200+275+10+20+15+42+253+1)+63</f>
        <v>971</v>
      </c>
      <c r="D15" s="1">
        <f>Överblick!B21</f>
        <v>250</v>
      </c>
      <c r="E15" s="19">
        <f t="shared" si="0"/>
        <v>3.8839999999999999</v>
      </c>
      <c r="F15" s="20"/>
      <c r="G15" s="3" t="str">
        <f>IF(C15&lt;D15*(1-Överblick!C21),C15," ")</f>
        <v xml:space="preserve"> </v>
      </c>
      <c r="H15" s="3">
        <f>IF(C15&gt;D15*(1+Överblick!C21),C15," ")</f>
        <v>971</v>
      </c>
      <c r="K15" s="29"/>
      <c r="L15" s="29"/>
      <c r="M15" s="29"/>
      <c r="N15" s="29"/>
    </row>
    <row r="16" spans="2:14" x14ac:dyDescent="0.3">
      <c r="B16" s="1" t="str">
        <f>Överblick!A22</f>
        <v>Studiematerial</v>
      </c>
      <c r="C16" s="15"/>
      <c r="D16" s="1">
        <f>Överblick!B22</f>
        <v>300</v>
      </c>
      <c r="E16" s="19" t="str">
        <f t="shared" si="0"/>
        <v xml:space="preserve"> </v>
      </c>
      <c r="F16" s="20"/>
      <c r="G16" s="3">
        <f>IF(C16&lt;D16*(1-Överblick!C22),C16," ")</f>
        <v>0</v>
      </c>
      <c r="H16" s="3" t="str">
        <f>IF(C16&gt;D16*(1+Överblick!C22),C16," ")</f>
        <v xml:space="preserve"> </v>
      </c>
      <c r="K16" s="29"/>
      <c r="L16" s="29"/>
      <c r="M16" s="31"/>
      <c r="N16" s="29"/>
    </row>
    <row r="17" spans="2:14" x14ac:dyDescent="0.3">
      <c r="B17" s="1" t="str">
        <f>Överblick!A23</f>
        <v>Teknik och prylar</v>
      </c>
      <c r="C17" s="15">
        <v>191</v>
      </c>
      <c r="D17" s="1">
        <f>Överblick!B23</f>
        <v>200</v>
      </c>
      <c r="E17" s="19">
        <f t="shared" si="0"/>
        <v>0.95499999999999996</v>
      </c>
      <c r="F17" s="20"/>
      <c r="G17" s="3" t="str">
        <f>IF(C17&lt;D17*(1-Överblick!C23),C17," ")</f>
        <v xml:space="preserve"> </v>
      </c>
      <c r="H17" s="3" t="str">
        <f>IF(C17&gt;D17*(1+Överblick!C23),C17," ")</f>
        <v xml:space="preserve"> </v>
      </c>
      <c r="K17" s="29"/>
      <c r="L17" s="29"/>
      <c r="M17" s="31"/>
      <c r="N17" s="29"/>
    </row>
    <row r="18" spans="2:14" x14ac:dyDescent="0.3">
      <c r="B18" s="1" t="str">
        <f>Överblick!A24</f>
        <v>Dricka och aktiviteter</v>
      </c>
      <c r="C18" s="15">
        <v>166</v>
      </c>
      <c r="D18" s="1">
        <f>Överblick!B24</f>
        <v>300</v>
      </c>
      <c r="E18" s="19">
        <f t="shared" si="0"/>
        <v>0.55333333333333334</v>
      </c>
      <c r="F18" s="20"/>
      <c r="G18" s="3">
        <f>IF(C18&lt;D18*(1-Överblick!C24),C18," ")</f>
        <v>166</v>
      </c>
      <c r="H18" s="3" t="str">
        <f>IF(C18&gt;D18*(1+Överblick!C24),C18," ")</f>
        <v xml:space="preserve"> </v>
      </c>
      <c r="K18" s="29"/>
      <c r="L18" s="29"/>
      <c r="M18" s="31"/>
      <c r="N18" s="29"/>
    </row>
    <row r="19" spans="2:14" x14ac:dyDescent="0.3">
      <c r="B19" s="1" t="str">
        <f>Överblick!A25</f>
        <v>Hushåll</v>
      </c>
      <c r="C19" s="15">
        <v>5637</v>
      </c>
      <c r="D19" s="1">
        <f>Överblick!B25</f>
        <v>100</v>
      </c>
      <c r="E19" s="19">
        <f t="shared" si="0"/>
        <v>56.37</v>
      </c>
      <c r="F19" s="20" t="s">
        <v>5568</v>
      </c>
      <c r="G19" s="3" t="str">
        <f>IF(C19&lt;D19*(1-Överblick!C25),C19," ")</f>
        <v xml:space="preserve"> </v>
      </c>
      <c r="H19" s="3">
        <f>IF(C19&gt;D19*(1+Överblick!C25),C19," ")</f>
        <v>5637</v>
      </c>
      <c r="K19" s="29"/>
      <c r="L19" s="29"/>
      <c r="M19" s="29"/>
      <c r="N19" s="29"/>
    </row>
    <row r="20" spans="2:14" x14ac:dyDescent="0.3">
      <c r="B20" s="1" t="str">
        <f>Överblick!A26</f>
        <v>Transport</v>
      </c>
      <c r="C20" s="15">
        <v>200</v>
      </c>
      <c r="D20" s="1">
        <f>Överblick!B26</f>
        <v>400</v>
      </c>
      <c r="E20" s="19">
        <f t="shared" si="0"/>
        <v>0.5</v>
      </c>
      <c r="F20" s="20"/>
      <c r="G20" s="3">
        <f>IF(C20&lt;D20*(1-Överblick!C26),C20," ")</f>
        <v>200</v>
      </c>
      <c r="H20" s="3" t="str">
        <f>IF(C20&gt;D20*(1+Överblick!C26),C20," ")</f>
        <v xml:space="preserve"> </v>
      </c>
      <c r="K20" s="31"/>
      <c r="L20" s="31"/>
      <c r="M20" s="31"/>
      <c r="N20" s="29"/>
    </row>
    <row r="21" spans="2:14" x14ac:dyDescent="0.3">
      <c r="B21" s="1" t="str">
        <f>Överblick!A27</f>
        <v>Sport och gym</v>
      </c>
      <c r="C21" s="15"/>
      <c r="D21" s="1">
        <f>Överblick!B27</f>
        <v>250</v>
      </c>
      <c r="E21" s="19" t="str">
        <f t="shared" si="0"/>
        <v xml:space="preserve"> </v>
      </c>
      <c r="F21" s="20"/>
      <c r="G21" s="3">
        <f>IF(C21&lt;D21*(1-Överblick!C27),C21," ")</f>
        <v>0</v>
      </c>
      <c r="H21" s="3" t="str">
        <f>IF(C21&gt;D21*(1+Överblick!C27),C21," ")</f>
        <v xml:space="preserve"> </v>
      </c>
      <c r="K21" s="29"/>
      <c r="L21" s="29"/>
      <c r="M21" s="29"/>
      <c r="N21" s="29"/>
    </row>
    <row r="22" spans="2:14" x14ac:dyDescent="0.3">
      <c r="B22" s="1" t="str">
        <f>Överblick!A28</f>
        <v>Date night</v>
      </c>
      <c r="C22" s="15">
        <v>575</v>
      </c>
      <c r="D22" s="1">
        <f>Överblick!B28</f>
        <v>300</v>
      </c>
      <c r="E22" s="19">
        <f t="shared" si="0"/>
        <v>1.9166666666666667</v>
      </c>
      <c r="F22" s="20"/>
      <c r="G22" s="3" t="str">
        <f>IF(C22&lt;D22*(1-Överblick!C28),C22," ")</f>
        <v xml:space="preserve"> </v>
      </c>
      <c r="H22" s="3">
        <f>IF(C22&gt;D22*(1+Överblick!C28),C22," ")</f>
        <v>575</v>
      </c>
      <c r="K22" s="29"/>
      <c r="L22" s="29"/>
      <c r="M22" s="29"/>
      <c r="N22" s="29"/>
    </row>
    <row r="23" spans="2:14" x14ac:dyDescent="0.3">
      <c r="B23" s="1" t="str">
        <f>Överblick!A29</f>
        <v>Godis och snacks</v>
      </c>
      <c r="C23" s="15">
        <f>6+28+21+25+10+24+12</f>
        <v>126</v>
      </c>
      <c r="D23" s="25">
        <f>Överblick!B29</f>
        <v>150</v>
      </c>
      <c r="E23" s="26">
        <f t="shared" si="0"/>
        <v>0.84</v>
      </c>
      <c r="F23" s="27"/>
      <c r="G23" s="3" t="str">
        <f>IF(C23&lt;D23*(1-Överblick!C29),C23," ")</f>
        <v xml:space="preserve"> </v>
      </c>
      <c r="H23" s="3" t="str">
        <f>IF(C23&gt;D23*(1+Överblick!C29),C23," ")</f>
        <v xml:space="preserve"> </v>
      </c>
      <c r="K23" s="29"/>
      <c r="L23" s="29"/>
      <c r="M23" s="29"/>
      <c r="N23" s="29"/>
    </row>
    <row r="24" spans="2:14" ht="15" thickBot="1" x14ac:dyDescent="0.35">
      <c r="B24" s="13" t="str">
        <f>Överblick!A30</f>
        <v>Övriga utgifter</v>
      </c>
      <c r="C24" s="21">
        <v>1061</v>
      </c>
      <c r="D24" s="8">
        <f>Överblick!B30</f>
        <v>500</v>
      </c>
      <c r="E24" s="9">
        <f t="shared" si="0"/>
        <v>2.1219999999999999</v>
      </c>
      <c r="F24" s="79"/>
      <c r="G24" s="3" t="str">
        <f>IF(C24&lt;D24*(1-Överblick!C30),C24," ")</f>
        <v xml:space="preserve"> </v>
      </c>
      <c r="H24" s="3">
        <f>IF(C24&gt;D24*(1+Överblick!C30),C24," ")</f>
        <v>1061</v>
      </c>
      <c r="K24" s="29"/>
      <c r="L24" s="29"/>
      <c r="M24" s="29"/>
      <c r="N24" s="29"/>
    </row>
    <row r="25" spans="2:14" x14ac:dyDescent="0.3">
      <c r="B25" s="12" t="str">
        <f>Överblick!A31</f>
        <v>Totala utgifter</v>
      </c>
      <c r="C25" s="1">
        <f>SUM(C12:C24)</f>
        <v>14627</v>
      </c>
      <c r="D25" s="1">
        <f>Överblick!B31</f>
        <v>9400</v>
      </c>
      <c r="E25" s="28">
        <f>IFERROR(IF(C25/D25=0," ",C25/D25)," ")</f>
        <v>1.556063829787234</v>
      </c>
      <c r="F25" s="28"/>
      <c r="K25" s="29"/>
      <c r="L25" s="29"/>
      <c r="M25" s="29"/>
      <c r="N25" s="29"/>
    </row>
    <row r="26" spans="2:14" x14ac:dyDescent="0.3">
      <c r="D26" s="29"/>
      <c r="E26" s="30"/>
      <c r="F26" s="30"/>
      <c r="G26" s="3" t="str">
        <f>IF(C27&gt;D27*(1+Överblick!C33),C27," ")</f>
        <v xml:space="preserve"> </v>
      </c>
      <c r="H26" s="3">
        <f>IF(C27&lt;D27*(1-Överblick!C33),C27," ")</f>
        <v>-3951</v>
      </c>
      <c r="K26" s="29"/>
      <c r="L26" s="29"/>
      <c r="M26" s="29"/>
      <c r="N26" s="29"/>
    </row>
    <row r="27" spans="2:14" ht="15" thickBot="1" x14ac:dyDescent="0.35">
      <c r="B27" s="33" t="s">
        <v>3</v>
      </c>
      <c r="C27" s="8">
        <f>ROUND(C8-C25,0)</f>
        <v>-3951</v>
      </c>
      <c r="D27" s="22">
        <f>Överblick!B33</f>
        <v>1544</v>
      </c>
      <c r="E27" s="14">
        <f>IFERROR(C27/D27," ")</f>
        <v>-2.5589378238341971</v>
      </c>
      <c r="F27" s="14"/>
      <c r="I27" s="29"/>
      <c r="J27" s="29"/>
      <c r="K27" s="29"/>
      <c r="L27" s="29"/>
      <c r="M27" s="29"/>
      <c r="N27" s="29"/>
    </row>
    <row r="28" spans="2:14" x14ac:dyDescent="0.3">
      <c r="I28" s="29"/>
      <c r="J28" s="29"/>
      <c r="K28" s="29"/>
      <c r="L28" s="29"/>
      <c r="M28" s="29"/>
      <c r="N28" s="29"/>
    </row>
    <row r="29" spans="2:14" x14ac:dyDescent="0.3">
      <c r="I29" s="29"/>
      <c r="J29" s="29"/>
      <c r="K29" s="29"/>
      <c r="L29" s="29"/>
      <c r="M29" s="29"/>
      <c r="N29" s="29"/>
    </row>
  </sheetData>
  <sheetProtection algorithmName="SHA-512" hashValue="PKijZA0oR3Ls8YfZVMDb6VLUGKCBphRYVbkf71zlnFRrzP+h2k2+cucEp63wVybDjDnaU2lH8WsIJn+/qyyuuQ==" saltValue="J83w1fmVXaFtNAz/Ztr6Bg==" spinCount="100000" sheet="1" objects="1" scenarios="1"/>
  <conditionalFormatting sqref="E27 E5:E8 E12:E25">
    <cfRule type="cellIs" dxfId="48" priority="7" operator="between">
      <formula>$D$10</formula>
      <formula>$E$10</formula>
    </cfRule>
  </conditionalFormatting>
  <conditionalFormatting sqref="E5:E8 E27">
    <cfRule type="cellIs" dxfId="47" priority="3" operator="lessThan">
      <formula>$D$10</formula>
    </cfRule>
    <cfRule type="cellIs" dxfId="46" priority="4" operator="greaterThan">
      <formula>$E$10</formula>
    </cfRule>
  </conditionalFormatting>
  <conditionalFormatting sqref="E5:E8 E27 E12:E25">
    <cfRule type="beginsWith" dxfId="45" priority="2" operator="beginsWith" text=" ">
      <formula>LEFT(E5,LEN(" "))=" "</formula>
    </cfRule>
  </conditionalFormatting>
  <conditionalFormatting sqref="E12:E25">
    <cfRule type="cellIs" dxfId="44" priority="5" operator="greaterThan">
      <formula>$E$10</formula>
    </cfRule>
    <cfRule type="cellIs" dxfId="43" priority="6" operator="lessThan">
      <formula>$D$10</formula>
    </cfRule>
  </conditionalFormatting>
  <conditionalFormatting sqref="E1:E1048576">
    <cfRule type="cellIs" dxfId="42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8EB4C-3372-41C1-8022-54B1DFB63BE0}">
  <sheetPr codeName="Sheet17">
    <tabColor rgb="FFFFC000"/>
  </sheetPr>
  <dimension ref="B1:N29"/>
  <sheetViews>
    <sheetView showGridLines="0" zoomScaleNormal="100" workbookViewId="0">
      <selection activeCell="C27" sqref="C27"/>
    </sheetView>
  </sheetViews>
  <sheetFormatPr defaultColWidth="8.88671875" defaultRowHeight="14.4" x14ac:dyDescent="0.3"/>
  <cols>
    <col min="1" max="1" width="10.88671875" style="3" customWidth="1"/>
    <col min="2" max="2" width="20" style="3" bestFit="1" customWidth="1"/>
    <col min="3" max="3" width="11" style="3" bestFit="1" customWidth="1"/>
    <col min="4" max="4" width="10.88671875" style="3" bestFit="1" customWidth="1"/>
    <col min="5" max="6" width="13" style="4" customWidth="1"/>
    <col min="7" max="8" width="9.77734375" style="3" bestFit="1" customWidth="1"/>
    <col min="9" max="9" width="11" style="3" customWidth="1"/>
    <col min="10" max="15" width="8.88671875" style="3"/>
    <col min="16" max="16" width="10.77734375" style="3" customWidth="1"/>
    <col min="17" max="16384" width="8.88671875" style="3"/>
  </cols>
  <sheetData>
    <row r="1" spans="2:14" x14ac:dyDescent="0.3">
      <c r="I1" s="32"/>
      <c r="J1" s="29"/>
      <c r="K1" s="29"/>
      <c r="L1" s="29"/>
      <c r="M1" s="29"/>
      <c r="N1" s="29"/>
    </row>
    <row r="2" spans="2:14" x14ac:dyDescent="0.3">
      <c r="I2" s="29"/>
      <c r="J2" s="29"/>
      <c r="K2" s="29"/>
      <c r="L2" s="29"/>
      <c r="M2" s="29"/>
      <c r="N2" s="29"/>
    </row>
    <row r="3" spans="2:14" x14ac:dyDescent="0.3">
      <c r="I3" s="29"/>
      <c r="J3" s="29"/>
      <c r="K3" s="29"/>
      <c r="L3" s="29"/>
      <c r="M3" s="29"/>
      <c r="N3" s="29"/>
    </row>
    <row r="4" spans="2:14" ht="15" thickBot="1" x14ac:dyDescent="0.35">
      <c r="B4" s="33" t="str">
        <f>Överblick!A10</f>
        <v>Inkomst</v>
      </c>
      <c r="C4" s="33" t="s">
        <v>11</v>
      </c>
      <c r="D4" s="34" t="s">
        <v>10</v>
      </c>
      <c r="E4" s="36" t="s">
        <v>37</v>
      </c>
      <c r="F4" s="36" t="s">
        <v>38</v>
      </c>
      <c r="G4" s="3" t="s">
        <v>12</v>
      </c>
      <c r="H4" s="3" t="s">
        <v>13</v>
      </c>
      <c r="K4" s="29"/>
      <c r="L4" s="29"/>
      <c r="M4" s="29"/>
      <c r="N4" s="29"/>
    </row>
    <row r="5" spans="2:14" x14ac:dyDescent="0.3">
      <c r="B5" s="2" t="str">
        <f>Överblick!A11</f>
        <v>CSN</v>
      </c>
      <c r="C5" s="15"/>
      <c r="D5" s="16">
        <f>Överblick!B11</f>
        <v>10444</v>
      </c>
      <c r="E5" s="17">
        <f>IFERROR(C5/D5," ")</f>
        <v>0</v>
      </c>
      <c r="F5" s="18"/>
      <c r="G5" s="3" t="str">
        <f>IF(C5&gt;D5*(1+Överblick!C11),C5," ")</f>
        <v xml:space="preserve"> </v>
      </c>
      <c r="H5" s="3">
        <f>IF(C5&lt;D5*(1-Överblick!C11),C5," ")</f>
        <v>0</v>
      </c>
      <c r="K5" s="29"/>
      <c r="L5" s="29"/>
      <c r="M5" s="29"/>
      <c r="N5" s="29"/>
    </row>
    <row r="6" spans="2:14" x14ac:dyDescent="0.3">
      <c r="B6" s="2" t="str">
        <f>Överblick!A12</f>
        <v>Lön</v>
      </c>
      <c r="C6" s="15"/>
      <c r="D6" s="16">
        <f>Överblick!B12</f>
        <v>500</v>
      </c>
      <c r="E6" s="19">
        <f>IFERROR(C6/D6," ")</f>
        <v>0</v>
      </c>
      <c r="F6" s="20"/>
      <c r="G6" s="3" t="str">
        <f>IF(C6&gt;D6*(1+Överblick!C12),C6," ")</f>
        <v xml:space="preserve"> </v>
      </c>
      <c r="H6" s="3">
        <f>IF(C6&lt;D6*(1-Överblick!C12),C6," ")</f>
        <v>0</v>
      </c>
      <c r="K6" s="29"/>
      <c r="L6" s="29"/>
      <c r="M6" s="29"/>
      <c r="N6" s="29"/>
    </row>
    <row r="7" spans="2:14" ht="15" thickBot="1" x14ac:dyDescent="0.35">
      <c r="B7" s="13" t="str">
        <f>Överblick!A13</f>
        <v>Övrig inkomst</v>
      </c>
      <c r="C7" s="21"/>
      <c r="D7" s="22">
        <f>Överblick!B13</f>
        <v>0</v>
      </c>
      <c r="E7" s="14" t="str">
        <f>IFERROR(C7/D7," ")</f>
        <v xml:space="preserve"> </v>
      </c>
      <c r="F7" s="23"/>
      <c r="G7" s="3" t="str">
        <f>IF(C7&gt;D7*(1+Överblick!C13),C7," ")</f>
        <v xml:space="preserve"> </v>
      </c>
      <c r="H7" s="3" t="str">
        <f>IF(C7&lt;D7*(1-Överblick!C13),C7," ")</f>
        <v xml:space="preserve"> </v>
      </c>
      <c r="K7" s="29"/>
      <c r="L7" s="29"/>
      <c r="M7" s="29"/>
      <c r="N7" s="29"/>
    </row>
    <row r="8" spans="2:14" x14ac:dyDescent="0.3">
      <c r="B8" s="2" t="str">
        <f>Överblick!A14</f>
        <v>Total inkomst</v>
      </c>
      <c r="C8" s="24">
        <f>SUM(C5:C7)</f>
        <v>0</v>
      </c>
      <c r="D8" s="16">
        <f>Överblick!B14</f>
        <v>10944</v>
      </c>
      <c r="E8" s="17">
        <f>IFERROR(C8/D8," ")</f>
        <v>0</v>
      </c>
      <c r="F8" s="17"/>
      <c r="K8" s="29"/>
      <c r="L8" s="29"/>
      <c r="M8" s="29"/>
      <c r="N8" s="29"/>
    </row>
    <row r="9" spans="2:14" x14ac:dyDescent="0.3">
      <c r="B9" s="29"/>
      <c r="K9" s="29"/>
      <c r="L9" s="29"/>
      <c r="M9" s="29"/>
      <c r="N9" s="29"/>
    </row>
    <row r="10" spans="2:14" x14ac:dyDescent="0.3">
      <c r="D10" s="4">
        <v>0.75</v>
      </c>
      <c r="E10" s="4">
        <v>1.25</v>
      </c>
      <c r="K10" s="29"/>
      <c r="L10" s="29"/>
      <c r="M10" s="29"/>
      <c r="N10" s="29"/>
    </row>
    <row r="11" spans="2:14" ht="15" thickBot="1" x14ac:dyDescent="0.35">
      <c r="B11" s="33" t="s">
        <v>9</v>
      </c>
      <c r="C11" s="33" t="s">
        <v>11</v>
      </c>
      <c r="D11" s="34" t="s">
        <v>10</v>
      </c>
      <c r="E11" s="35" t="s">
        <v>37</v>
      </c>
      <c r="F11" s="35" t="s">
        <v>38</v>
      </c>
      <c r="G11" s="3" t="s">
        <v>12</v>
      </c>
      <c r="H11" s="3" t="s">
        <v>13</v>
      </c>
      <c r="K11" s="29"/>
      <c r="L11" s="29"/>
      <c r="M11" s="29"/>
      <c r="N11" s="29"/>
    </row>
    <row r="12" spans="2:14" x14ac:dyDescent="0.3">
      <c r="B12" s="1" t="str">
        <f>Överblick!A18</f>
        <v>Hyra</v>
      </c>
      <c r="C12" s="15"/>
      <c r="D12" s="1">
        <f>Överblick!B18</f>
        <v>5000</v>
      </c>
      <c r="E12" s="19" t="str">
        <f>IFERROR(IF(C12/D12=0," ",C12/D12)," ")</f>
        <v xml:space="preserve"> </v>
      </c>
      <c r="F12" s="18"/>
      <c r="G12" s="3">
        <f>IF(C12&lt;D12*(1-Överblick!C18),C12," ")</f>
        <v>0</v>
      </c>
      <c r="H12" s="3" t="str">
        <f>IF(C12&gt;D12*(1+Överblick!C18),C12," ")</f>
        <v xml:space="preserve"> </v>
      </c>
      <c r="K12" s="29"/>
      <c r="L12" s="29"/>
      <c r="M12" s="29"/>
      <c r="N12" s="29"/>
    </row>
    <row r="13" spans="2:14" x14ac:dyDescent="0.3">
      <c r="B13" s="1" t="str">
        <f>Överblick!A19</f>
        <v>Mat/förbrukningsvaror</v>
      </c>
      <c r="C13" s="15"/>
      <c r="D13" s="1">
        <f>Överblick!B19</f>
        <v>1250</v>
      </c>
      <c r="E13" s="19" t="str">
        <f t="shared" ref="E13:E24" si="0">IFERROR(IF(C13/D13=0," ",C13/D13)," ")</f>
        <v xml:space="preserve"> </v>
      </c>
      <c r="F13" s="20"/>
      <c r="G13" s="3">
        <f>IF(C13&lt;D13*(1-Överblick!C19),C13," ")</f>
        <v>0</v>
      </c>
      <c r="H13" s="3" t="str">
        <f>IF(C13&gt;D13*(1+Överblick!C19),C13," ")</f>
        <v xml:space="preserve"> </v>
      </c>
      <c r="K13" s="29"/>
      <c r="L13" s="29"/>
      <c r="M13" s="29"/>
      <c r="N13" s="29"/>
    </row>
    <row r="14" spans="2:14" x14ac:dyDescent="0.3">
      <c r="B14" s="1" t="str">
        <f>Överblick!A20</f>
        <v>Kläder och accessoarer</v>
      </c>
      <c r="C14" s="15"/>
      <c r="D14" s="1">
        <f>Överblick!B20</f>
        <v>400</v>
      </c>
      <c r="E14" s="19" t="str">
        <f t="shared" si="0"/>
        <v xml:space="preserve"> </v>
      </c>
      <c r="F14" s="20"/>
      <c r="G14" s="3">
        <f>IF(C14&lt;D14*(1-Överblick!C20),C14," ")</f>
        <v>0</v>
      </c>
      <c r="H14" s="3" t="str">
        <f>IF(C14&gt;D14*(1+Överblick!C20),C14," ")</f>
        <v xml:space="preserve"> </v>
      </c>
      <c r="K14" s="29"/>
      <c r="L14" s="29"/>
      <c r="M14" s="29"/>
      <c r="N14" s="29"/>
    </row>
    <row r="15" spans="2:14" x14ac:dyDescent="0.3">
      <c r="B15" s="1" t="str">
        <f>Överblick!A21</f>
        <v>Utemat</v>
      </c>
      <c r="C15" s="15"/>
      <c r="D15" s="1">
        <f>Överblick!B21</f>
        <v>250</v>
      </c>
      <c r="E15" s="19" t="str">
        <f t="shared" si="0"/>
        <v xml:space="preserve"> </v>
      </c>
      <c r="F15" s="20"/>
      <c r="G15" s="3">
        <f>IF(C15&lt;D15*(1-Överblick!C21),C15," ")</f>
        <v>0</v>
      </c>
      <c r="H15" s="3" t="str">
        <f>IF(C15&gt;D15*(1+Överblick!C21),C15," ")</f>
        <v xml:space="preserve"> </v>
      </c>
      <c r="K15" s="29"/>
      <c r="L15" s="29"/>
      <c r="M15" s="29"/>
      <c r="N15" s="29"/>
    </row>
    <row r="16" spans="2:14" x14ac:dyDescent="0.3">
      <c r="B16" s="1" t="str">
        <f>Överblick!A22</f>
        <v>Studiematerial</v>
      </c>
      <c r="C16" s="15"/>
      <c r="D16" s="1">
        <f>Överblick!B22</f>
        <v>300</v>
      </c>
      <c r="E16" s="19" t="str">
        <f t="shared" si="0"/>
        <v xml:space="preserve"> </v>
      </c>
      <c r="F16" s="20"/>
      <c r="G16" s="3">
        <f>IF(C16&lt;D16*(1-Överblick!C22),C16," ")</f>
        <v>0</v>
      </c>
      <c r="H16" s="3" t="str">
        <f>IF(C16&gt;D16*(1+Överblick!C22),C16," ")</f>
        <v xml:space="preserve"> </v>
      </c>
      <c r="K16" s="29"/>
      <c r="L16" s="29"/>
      <c r="M16" s="31"/>
      <c r="N16" s="29"/>
    </row>
    <row r="17" spans="2:14" x14ac:dyDescent="0.3">
      <c r="B17" s="1" t="str">
        <f>Överblick!A23</f>
        <v>Teknik och prylar</v>
      </c>
      <c r="C17" s="15"/>
      <c r="D17" s="1">
        <f>Överblick!B23</f>
        <v>200</v>
      </c>
      <c r="E17" s="19" t="str">
        <f t="shared" si="0"/>
        <v xml:space="preserve"> </v>
      </c>
      <c r="F17" s="20"/>
      <c r="G17" s="3">
        <f>IF(C17&lt;D17*(1-Överblick!C23),C17," ")</f>
        <v>0</v>
      </c>
      <c r="H17" s="3" t="str">
        <f>IF(C17&gt;D17*(1+Överblick!C23),C17," ")</f>
        <v xml:space="preserve"> </v>
      </c>
      <c r="K17" s="29"/>
      <c r="L17" s="29"/>
      <c r="M17" s="31"/>
      <c r="N17" s="29"/>
    </row>
    <row r="18" spans="2:14" x14ac:dyDescent="0.3">
      <c r="B18" s="1" t="str">
        <f>Överblick!A24</f>
        <v>Dricka och aktiviteter</v>
      </c>
      <c r="C18" s="15"/>
      <c r="D18" s="1">
        <f>Överblick!B24</f>
        <v>300</v>
      </c>
      <c r="E18" s="19" t="str">
        <f t="shared" si="0"/>
        <v xml:space="preserve"> </v>
      </c>
      <c r="F18" s="20"/>
      <c r="G18" s="3">
        <f>IF(C18&lt;D18*(1-Överblick!C24),C18," ")</f>
        <v>0</v>
      </c>
      <c r="H18" s="3" t="str">
        <f>IF(C18&gt;D18*(1+Överblick!C24),C18," ")</f>
        <v xml:space="preserve"> </v>
      </c>
      <c r="K18" s="29"/>
      <c r="L18" s="29"/>
      <c r="M18" s="31"/>
      <c r="N18" s="29"/>
    </row>
    <row r="19" spans="2:14" x14ac:dyDescent="0.3">
      <c r="B19" s="1" t="str">
        <f>Överblick!A25</f>
        <v>Hushåll</v>
      </c>
      <c r="C19" s="15"/>
      <c r="D19" s="1">
        <f>Överblick!B25</f>
        <v>100</v>
      </c>
      <c r="E19" s="19" t="str">
        <f t="shared" si="0"/>
        <v xml:space="preserve"> </v>
      </c>
      <c r="F19" s="20"/>
      <c r="G19" s="3">
        <f>IF(C19&lt;D19*(1-Överblick!C25),C19," ")</f>
        <v>0</v>
      </c>
      <c r="H19" s="3" t="str">
        <f>IF(C19&gt;D19*(1+Överblick!C25),C19," ")</f>
        <v xml:space="preserve"> </v>
      </c>
      <c r="K19" s="29"/>
      <c r="L19" s="29"/>
      <c r="M19" s="29"/>
      <c r="N19" s="29"/>
    </row>
    <row r="20" spans="2:14" x14ac:dyDescent="0.3">
      <c r="B20" s="1" t="str">
        <f>Överblick!A26</f>
        <v>Transport</v>
      </c>
      <c r="C20" s="15"/>
      <c r="D20" s="1">
        <f>Överblick!B26</f>
        <v>400</v>
      </c>
      <c r="E20" s="19" t="str">
        <f t="shared" si="0"/>
        <v xml:space="preserve"> </v>
      </c>
      <c r="F20" s="20"/>
      <c r="G20" s="3">
        <f>IF(C20&lt;D20*(1-Överblick!C26),C20," ")</f>
        <v>0</v>
      </c>
      <c r="H20" s="3" t="str">
        <f>IF(C20&gt;D20*(1+Överblick!C26),C20," ")</f>
        <v xml:space="preserve"> </v>
      </c>
      <c r="K20" s="31"/>
      <c r="L20" s="31"/>
      <c r="M20" s="31"/>
      <c r="N20" s="29"/>
    </row>
    <row r="21" spans="2:14" x14ac:dyDescent="0.3">
      <c r="B21" s="1" t="str">
        <f>Överblick!A27</f>
        <v>Sport och gym</v>
      </c>
      <c r="C21" s="15"/>
      <c r="D21" s="1">
        <f>Överblick!B27</f>
        <v>250</v>
      </c>
      <c r="E21" s="19" t="str">
        <f t="shared" si="0"/>
        <v xml:space="preserve"> </v>
      </c>
      <c r="F21" s="20"/>
      <c r="G21" s="3">
        <f>IF(C21&lt;D21*(1-Överblick!C27),C21," ")</f>
        <v>0</v>
      </c>
      <c r="H21" s="3" t="str">
        <f>IF(C21&gt;D21*(1+Överblick!C27),C21," ")</f>
        <v xml:space="preserve"> </v>
      </c>
      <c r="K21" s="29"/>
      <c r="L21" s="29"/>
      <c r="M21" s="29"/>
      <c r="N21" s="29"/>
    </row>
    <row r="22" spans="2:14" x14ac:dyDescent="0.3">
      <c r="B22" s="1" t="str">
        <f>Överblick!A28</f>
        <v>Date night</v>
      </c>
      <c r="C22" s="15"/>
      <c r="D22" s="1">
        <f>Överblick!B28</f>
        <v>300</v>
      </c>
      <c r="E22" s="19" t="str">
        <f t="shared" si="0"/>
        <v xml:space="preserve"> </v>
      </c>
      <c r="F22" s="20"/>
      <c r="G22" s="3">
        <f>IF(C22&lt;D22*(1-Överblick!C28),C22," ")</f>
        <v>0</v>
      </c>
      <c r="H22" s="3" t="str">
        <f>IF(C22&gt;D22*(1+Överblick!C28),C22," ")</f>
        <v xml:space="preserve"> </v>
      </c>
      <c r="K22" s="29"/>
      <c r="L22" s="29"/>
      <c r="M22" s="29"/>
      <c r="N22" s="29"/>
    </row>
    <row r="23" spans="2:14" x14ac:dyDescent="0.3">
      <c r="B23" s="1" t="str">
        <f>Överblick!A29</f>
        <v>Godis och snacks</v>
      </c>
      <c r="C23" s="15"/>
      <c r="D23" s="25">
        <f>Överblick!B29</f>
        <v>150</v>
      </c>
      <c r="E23" s="26" t="str">
        <f t="shared" si="0"/>
        <v xml:space="preserve"> </v>
      </c>
      <c r="F23" s="27"/>
      <c r="G23" s="3">
        <f>IF(C23&lt;D23*(1-Överblick!C29),C23," ")</f>
        <v>0</v>
      </c>
      <c r="H23" s="3" t="str">
        <f>IF(C23&gt;D23*(1+Överblick!C29),C23," ")</f>
        <v xml:space="preserve"> </v>
      </c>
      <c r="K23" s="29"/>
      <c r="L23" s="29"/>
      <c r="M23" s="29"/>
      <c r="N23" s="29"/>
    </row>
    <row r="24" spans="2:14" ht="15" thickBot="1" x14ac:dyDescent="0.35">
      <c r="B24" s="13" t="str">
        <f>Överblick!A30</f>
        <v>Övriga utgifter</v>
      </c>
      <c r="C24" s="21"/>
      <c r="D24" s="8">
        <f>Överblick!B30</f>
        <v>500</v>
      </c>
      <c r="E24" s="9" t="str">
        <f t="shared" si="0"/>
        <v xml:space="preserve"> </v>
      </c>
      <c r="F24" s="79"/>
      <c r="G24" s="3">
        <f>IF(C24&lt;D24*(1-Överblick!C30),C24," ")</f>
        <v>0</v>
      </c>
      <c r="H24" s="3" t="str">
        <f>IF(C24&gt;D24*(1+Överblick!C30),C24," ")</f>
        <v xml:space="preserve"> </v>
      </c>
      <c r="K24" s="29"/>
      <c r="L24" s="29"/>
      <c r="M24" s="29"/>
      <c r="N24" s="29"/>
    </row>
    <row r="25" spans="2:14" x14ac:dyDescent="0.3">
      <c r="B25" s="12" t="str">
        <f>Överblick!A31</f>
        <v>Totala utgifter</v>
      </c>
      <c r="C25" s="1">
        <f>SUM(C12:C24)</f>
        <v>0</v>
      </c>
      <c r="D25" s="1">
        <f>Överblick!B31</f>
        <v>9400</v>
      </c>
      <c r="E25" s="28" t="str">
        <f>IFERROR(IF(C25/D25=0," ",C25/D25)," ")</f>
        <v xml:space="preserve"> </v>
      </c>
      <c r="F25" s="28"/>
      <c r="K25" s="29"/>
      <c r="L25" s="29"/>
      <c r="M25" s="29"/>
      <c r="N25" s="29"/>
    </row>
    <row r="26" spans="2:14" x14ac:dyDescent="0.3">
      <c r="D26" s="29"/>
      <c r="E26" s="30"/>
      <c r="F26" s="30"/>
      <c r="G26" s="3" t="str">
        <f>IF(C27&gt;D27*(1+Överblick!C33),C27," ")</f>
        <v xml:space="preserve"> </v>
      </c>
      <c r="H26" s="3">
        <f>IF(C27&lt;D27*(1-Överblick!C33),C27," ")</f>
        <v>0</v>
      </c>
      <c r="K26" s="29"/>
      <c r="L26" s="29"/>
      <c r="M26" s="29"/>
      <c r="N26" s="29"/>
    </row>
    <row r="27" spans="2:14" ht="15" thickBot="1" x14ac:dyDescent="0.35">
      <c r="B27" s="33" t="s">
        <v>3</v>
      </c>
      <c r="C27" s="8">
        <f>ROUND(C8-C25,0)</f>
        <v>0</v>
      </c>
      <c r="D27" s="22">
        <f>Överblick!B33</f>
        <v>1544</v>
      </c>
      <c r="E27" s="14">
        <f>IFERROR(C27/D27," ")</f>
        <v>0</v>
      </c>
      <c r="F27" s="14"/>
      <c r="I27" s="29"/>
      <c r="J27" s="29"/>
      <c r="K27" s="29"/>
      <c r="L27" s="29"/>
      <c r="M27" s="29"/>
      <c r="N27" s="29"/>
    </row>
    <row r="28" spans="2:14" x14ac:dyDescent="0.3">
      <c r="I28" s="29"/>
      <c r="J28" s="29"/>
      <c r="K28" s="29"/>
      <c r="L28" s="29"/>
      <c r="M28" s="29"/>
      <c r="N28" s="29"/>
    </row>
    <row r="29" spans="2:14" x14ac:dyDescent="0.3">
      <c r="I29" s="29"/>
      <c r="J29" s="29"/>
      <c r="K29" s="29"/>
      <c r="L29" s="29"/>
      <c r="M29" s="29"/>
      <c r="N29" s="29"/>
    </row>
  </sheetData>
  <sheetProtection algorithmName="SHA-512" hashValue="54JLzAXlGyZWT6zCdmSvtly8gim1rjT7+ZAbxKrjpdvh7QzSvH8v/3Fb9klcPKTkSTulXCqP1c+7oBGRZSl2Ow==" saltValue="QFWV0NP2tRLR/gRAKkoasQ==" spinCount="100000" sheet="1" objects="1" scenarios="1"/>
  <conditionalFormatting sqref="E27 E5:E8 E12:E25">
    <cfRule type="cellIs" dxfId="41" priority="7" operator="between">
      <formula>$D$10</formula>
      <formula>$E$10</formula>
    </cfRule>
  </conditionalFormatting>
  <conditionalFormatting sqref="E5:E8 E27">
    <cfRule type="cellIs" dxfId="40" priority="3" operator="lessThan">
      <formula>$D$10</formula>
    </cfRule>
    <cfRule type="cellIs" dxfId="39" priority="4" operator="greaterThan">
      <formula>$E$10</formula>
    </cfRule>
  </conditionalFormatting>
  <conditionalFormatting sqref="E5:E8 E27 E12:E25">
    <cfRule type="beginsWith" dxfId="38" priority="2" operator="beginsWith" text=" ">
      <formula>LEFT(E5,LEN(" "))=" "</formula>
    </cfRule>
  </conditionalFormatting>
  <conditionalFormatting sqref="E12:E25">
    <cfRule type="cellIs" dxfId="37" priority="5" operator="greaterThan">
      <formula>$E$10</formula>
    </cfRule>
    <cfRule type="cellIs" dxfId="36" priority="6" operator="lessThan">
      <formula>$D$10</formula>
    </cfRule>
  </conditionalFormatting>
  <conditionalFormatting sqref="E1:E1048576">
    <cfRule type="cellIs" dxfId="35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1B8B6-1211-4192-B48D-DD0797F2C47C}">
  <sheetPr codeName="Sheet25">
    <tabColor rgb="FFFFC000"/>
  </sheetPr>
  <dimension ref="B1:N29"/>
  <sheetViews>
    <sheetView showGridLines="0" zoomScaleNormal="100" workbookViewId="0">
      <selection activeCell="C8" sqref="C8"/>
    </sheetView>
  </sheetViews>
  <sheetFormatPr defaultColWidth="8.88671875" defaultRowHeight="14.4" x14ac:dyDescent="0.3"/>
  <cols>
    <col min="1" max="1" width="10.88671875" style="3" customWidth="1"/>
    <col min="2" max="2" width="20" style="3" bestFit="1" customWidth="1"/>
    <col min="3" max="3" width="11" style="3" bestFit="1" customWidth="1"/>
    <col min="4" max="4" width="10.88671875" style="3" bestFit="1" customWidth="1"/>
    <col min="5" max="6" width="13" style="4" customWidth="1"/>
    <col min="7" max="8" width="9.77734375" style="3" bestFit="1" customWidth="1"/>
    <col min="9" max="9" width="11" style="3" customWidth="1"/>
    <col min="10" max="15" width="8.88671875" style="3"/>
    <col min="16" max="16" width="10.77734375" style="3" customWidth="1"/>
    <col min="17" max="16384" width="8.88671875" style="3"/>
  </cols>
  <sheetData>
    <row r="1" spans="2:14" x14ac:dyDescent="0.3">
      <c r="I1" s="32"/>
      <c r="J1" s="29"/>
      <c r="K1" s="29"/>
      <c r="L1" s="29"/>
      <c r="M1" s="29"/>
      <c r="N1" s="29"/>
    </row>
    <row r="2" spans="2:14" x14ac:dyDescent="0.3">
      <c r="I2" s="29"/>
      <c r="J2" s="29"/>
      <c r="K2" s="29"/>
      <c r="L2" s="29"/>
      <c r="M2" s="29"/>
      <c r="N2" s="29"/>
    </row>
    <row r="3" spans="2:14" x14ac:dyDescent="0.3">
      <c r="I3" s="29"/>
      <c r="J3" s="29"/>
      <c r="K3" s="29"/>
      <c r="L3" s="29"/>
      <c r="M3" s="29"/>
      <c r="N3" s="29"/>
    </row>
    <row r="4" spans="2:14" ht="15" thickBot="1" x14ac:dyDescent="0.35">
      <c r="B4" s="33" t="str">
        <f>Överblick!A10</f>
        <v>Inkomst</v>
      </c>
      <c r="C4" s="33" t="s">
        <v>11</v>
      </c>
      <c r="D4" s="34" t="s">
        <v>10</v>
      </c>
      <c r="E4" s="36" t="s">
        <v>37</v>
      </c>
      <c r="F4" s="36" t="s">
        <v>38</v>
      </c>
      <c r="G4" s="3" t="s">
        <v>12</v>
      </c>
      <c r="H4" s="3" t="s">
        <v>13</v>
      </c>
      <c r="K4" s="29"/>
      <c r="L4" s="29"/>
      <c r="M4" s="29"/>
      <c r="N4" s="29"/>
    </row>
    <row r="5" spans="2:14" x14ac:dyDescent="0.3">
      <c r="B5" s="2" t="str">
        <f>Överblick!A11</f>
        <v>CSN</v>
      </c>
      <c r="C5" s="15">
        <v>10676</v>
      </c>
      <c r="D5" s="16">
        <f>Överblick!B11</f>
        <v>10444</v>
      </c>
      <c r="E5" s="17">
        <f>IFERROR(C5/D5," ")</f>
        <v>1.0222137112217542</v>
      </c>
      <c r="F5" s="18"/>
      <c r="G5" s="3" t="str">
        <f>IF(C5&gt;D5*(1+Överblick!C11),C5," ")</f>
        <v xml:space="preserve"> </v>
      </c>
      <c r="H5" s="3" t="str">
        <f>IF(C5&lt;D5*(1-Överblick!C11),C5," ")</f>
        <v xml:space="preserve"> </v>
      </c>
      <c r="K5" s="29"/>
      <c r="L5" s="29"/>
      <c r="M5" s="29"/>
      <c r="N5" s="29"/>
    </row>
    <row r="6" spans="2:14" x14ac:dyDescent="0.3">
      <c r="B6" s="2" t="str">
        <f>Överblick!A12</f>
        <v>Lön</v>
      </c>
      <c r="C6" s="15">
        <v>7270</v>
      </c>
      <c r="D6" s="16">
        <f>Överblick!B12</f>
        <v>500</v>
      </c>
      <c r="E6" s="19">
        <f>IFERROR(C6/D6," ")</f>
        <v>14.54</v>
      </c>
      <c r="F6" s="20" t="s">
        <v>5571</v>
      </c>
      <c r="G6" s="3">
        <f>IF(C6&gt;D6*(1+Överblick!C12),C6," ")</f>
        <v>7270</v>
      </c>
      <c r="H6" s="3" t="str">
        <f>IF(C6&lt;D6*(1-Överblick!C12),C6," ")</f>
        <v xml:space="preserve"> </v>
      </c>
      <c r="K6" s="29"/>
      <c r="L6" s="29"/>
      <c r="M6" s="29"/>
      <c r="N6" s="29"/>
    </row>
    <row r="7" spans="2:14" ht="15" thickBot="1" x14ac:dyDescent="0.35">
      <c r="B7" s="13" t="str">
        <f>Överblick!A13</f>
        <v>Övrig inkomst</v>
      </c>
      <c r="C7" s="21">
        <v>360</v>
      </c>
      <c r="D7" s="22">
        <f>Överblick!B13</f>
        <v>0</v>
      </c>
      <c r="E7" s="14" t="str">
        <f>IFERROR(C7/D7," ")</f>
        <v xml:space="preserve"> </v>
      </c>
      <c r="F7" s="23"/>
      <c r="G7" s="3">
        <f>IF(C7&gt;D7*(1+Överblick!C13),C7," ")</f>
        <v>360</v>
      </c>
      <c r="H7" s="3" t="str">
        <f>IF(C7&lt;D7*(1-Överblick!C13),C7," ")</f>
        <v xml:space="preserve"> </v>
      </c>
      <c r="K7" s="29"/>
      <c r="L7" s="29"/>
      <c r="M7" s="29"/>
      <c r="N7" s="29"/>
    </row>
    <row r="8" spans="2:14" x14ac:dyDescent="0.3">
      <c r="B8" s="2" t="str">
        <f>Överblick!A14</f>
        <v>Total inkomst</v>
      </c>
      <c r="C8" s="24">
        <f>SUM(C5:C7)</f>
        <v>18306</v>
      </c>
      <c r="D8" s="16">
        <f>Överblick!B14</f>
        <v>10944</v>
      </c>
      <c r="E8" s="17">
        <f>IFERROR(C8/D8," ")</f>
        <v>1.6726973684210527</v>
      </c>
      <c r="F8" s="17"/>
      <c r="K8" s="29"/>
      <c r="L8" s="29"/>
      <c r="M8" s="29"/>
      <c r="N8" s="29"/>
    </row>
    <row r="9" spans="2:14" x14ac:dyDescent="0.3">
      <c r="B9" s="29"/>
      <c r="K9" s="29"/>
      <c r="L9" s="29"/>
      <c r="M9" s="29"/>
      <c r="N9" s="29"/>
    </row>
    <row r="10" spans="2:14" x14ac:dyDescent="0.3">
      <c r="D10" s="4">
        <v>0.75</v>
      </c>
      <c r="E10" s="4">
        <v>1.25</v>
      </c>
      <c r="K10" s="29"/>
      <c r="L10" s="29"/>
      <c r="M10" s="29"/>
      <c r="N10" s="29"/>
    </row>
    <row r="11" spans="2:14" ht="15" thickBot="1" x14ac:dyDescent="0.35">
      <c r="B11" s="33" t="s">
        <v>9</v>
      </c>
      <c r="C11" s="33" t="s">
        <v>11</v>
      </c>
      <c r="D11" s="34" t="s">
        <v>10</v>
      </c>
      <c r="E11" s="35" t="s">
        <v>37</v>
      </c>
      <c r="F11" s="35" t="s">
        <v>38</v>
      </c>
      <c r="G11" s="3" t="s">
        <v>12</v>
      </c>
      <c r="H11" s="3" t="s">
        <v>13</v>
      </c>
      <c r="K11" s="29"/>
      <c r="L11" s="29"/>
      <c r="M11" s="29"/>
      <c r="N11" s="29"/>
    </row>
    <row r="12" spans="2:14" x14ac:dyDescent="0.3">
      <c r="B12" s="1" t="str">
        <f>Överblick!A18</f>
        <v>Hyra</v>
      </c>
      <c r="C12" s="15">
        <v>2750</v>
      </c>
      <c r="D12" s="1">
        <f>Överblick!B18</f>
        <v>5000</v>
      </c>
      <c r="E12" s="19">
        <f>IFERROR(IF(C12/D12=0," ",C12/D12)," ")</f>
        <v>0.55000000000000004</v>
      </c>
      <c r="F12" s="18"/>
      <c r="G12" s="3">
        <f>IF(C12&lt;D12*(1-Överblick!C18),C12," ")</f>
        <v>2750</v>
      </c>
      <c r="H12" s="3" t="str">
        <f>IF(C12&gt;D12*(1+Överblick!C18),C12," ")</f>
        <v xml:space="preserve"> </v>
      </c>
      <c r="K12" s="29"/>
      <c r="L12" s="29"/>
      <c r="M12" s="29"/>
      <c r="N12" s="29"/>
    </row>
    <row r="13" spans="2:14" x14ac:dyDescent="0.3">
      <c r="B13" s="1" t="str">
        <f>Överblick!A19</f>
        <v>Mat/förbrukningsvaror</v>
      </c>
      <c r="C13" s="15">
        <f>135+1/2*(678+254+223+38+56+85+527+10+254+33+81+98+9+164+310+100+302)-60</f>
        <v>1686</v>
      </c>
      <c r="D13" s="1">
        <f>Överblick!B19</f>
        <v>1250</v>
      </c>
      <c r="E13" s="19">
        <f t="shared" ref="E13:E24" si="0">IFERROR(IF(C13/D13=0," ",C13/D13)," ")</f>
        <v>1.3488</v>
      </c>
      <c r="F13" s="20"/>
      <c r="G13" s="3" t="str">
        <f>IF(C13&lt;D13*(1-Överblick!C19),C13," ")</f>
        <v xml:space="preserve"> </v>
      </c>
      <c r="H13" s="3">
        <f>IF(C13&gt;D13*(1+Överblick!C19),C13," ")</f>
        <v>1686</v>
      </c>
      <c r="K13" s="29"/>
      <c r="L13" s="29"/>
      <c r="M13" s="29"/>
      <c r="N13" s="29"/>
    </row>
    <row r="14" spans="2:14" x14ac:dyDescent="0.3">
      <c r="B14" s="1" t="str">
        <f>Överblick!A20</f>
        <v>Kläder och accessoarer</v>
      </c>
      <c r="C14" s="15">
        <v>1200</v>
      </c>
      <c r="D14" s="1">
        <f>Överblick!B20</f>
        <v>400</v>
      </c>
      <c r="E14" s="19">
        <f t="shared" si="0"/>
        <v>3</v>
      </c>
      <c r="F14" s="20" t="s">
        <v>5570</v>
      </c>
      <c r="G14" s="3" t="str">
        <f>IF(C14&lt;D14*(1-Överblick!C20),C14," ")</f>
        <v xml:space="preserve"> </v>
      </c>
      <c r="H14" s="3">
        <f>IF(C14&gt;D14*(1+Överblick!C20),C14," ")</f>
        <v>1200</v>
      </c>
      <c r="K14" s="29"/>
      <c r="L14" s="29"/>
      <c r="M14" s="29"/>
      <c r="N14" s="29"/>
    </row>
    <row r="15" spans="2:14" x14ac:dyDescent="0.3">
      <c r="B15" s="1" t="str">
        <f>Överblick!A21</f>
        <v>Utemat</v>
      </c>
      <c r="C15" s="15">
        <f>75+42+53+75</f>
        <v>245</v>
      </c>
      <c r="D15" s="1">
        <f>Överblick!B21</f>
        <v>250</v>
      </c>
      <c r="E15" s="19">
        <f t="shared" si="0"/>
        <v>0.98</v>
      </c>
      <c r="F15" s="20"/>
      <c r="G15" s="3" t="str">
        <f>IF(C15&lt;D15*(1-Överblick!C21),C15," ")</f>
        <v xml:space="preserve"> </v>
      </c>
      <c r="H15" s="3" t="str">
        <f>IF(C15&gt;D15*(1+Överblick!C21),C15," ")</f>
        <v xml:space="preserve"> </v>
      </c>
      <c r="K15" s="29"/>
      <c r="L15" s="29"/>
      <c r="M15" s="29"/>
      <c r="N15" s="29"/>
    </row>
    <row r="16" spans="2:14" x14ac:dyDescent="0.3">
      <c r="B16" s="1" t="str">
        <f>Överblick!A22</f>
        <v>Studiematerial</v>
      </c>
      <c r="C16" s="15"/>
      <c r="D16" s="1">
        <f>Överblick!B22</f>
        <v>300</v>
      </c>
      <c r="E16" s="19" t="str">
        <f t="shared" si="0"/>
        <v xml:space="preserve"> </v>
      </c>
      <c r="F16" s="20"/>
      <c r="G16" s="3">
        <f>IF(C16&lt;D16*(1-Överblick!C22),C16," ")</f>
        <v>0</v>
      </c>
      <c r="H16" s="3" t="str">
        <f>IF(C16&gt;D16*(1+Överblick!C22),C16," ")</f>
        <v xml:space="preserve"> </v>
      </c>
      <c r="K16" s="29"/>
      <c r="L16" s="29"/>
      <c r="M16" s="31"/>
      <c r="N16" s="29"/>
    </row>
    <row r="17" spans="2:14" x14ac:dyDescent="0.3">
      <c r="B17" s="1" t="str">
        <f>Överblick!A23</f>
        <v>Teknik och prylar</v>
      </c>
      <c r="C17" s="15">
        <f>99+58+12</f>
        <v>169</v>
      </c>
      <c r="D17" s="1">
        <f>Överblick!B23</f>
        <v>200</v>
      </c>
      <c r="E17" s="19">
        <f t="shared" si="0"/>
        <v>0.84499999999999997</v>
      </c>
      <c r="F17" s="20"/>
      <c r="G17" s="3" t="str">
        <f>IF(C17&lt;D17*(1-Överblick!C23),C17," ")</f>
        <v xml:space="preserve"> </v>
      </c>
      <c r="H17" s="3" t="str">
        <f>IF(C17&gt;D17*(1+Överblick!C23),C17," ")</f>
        <v xml:space="preserve"> </v>
      </c>
      <c r="K17" s="29"/>
      <c r="L17" s="29"/>
      <c r="M17" s="31"/>
      <c r="N17" s="29"/>
    </row>
    <row r="18" spans="2:14" x14ac:dyDescent="0.3">
      <c r="B18" s="1" t="str">
        <f>Överblick!A24</f>
        <v>Dricka och aktiviteter</v>
      </c>
      <c r="C18" s="15">
        <v>33</v>
      </c>
      <c r="D18" s="1">
        <f>Överblick!B24</f>
        <v>300</v>
      </c>
      <c r="E18" s="19">
        <f t="shared" si="0"/>
        <v>0.11</v>
      </c>
      <c r="F18" s="20"/>
      <c r="G18" s="3">
        <f>IF(C18&lt;D18*(1-Överblick!C24),C18," ")</f>
        <v>33</v>
      </c>
      <c r="H18" s="3" t="str">
        <f>IF(C18&gt;D18*(1+Överblick!C24),C18," ")</f>
        <v xml:space="preserve"> </v>
      </c>
      <c r="K18" s="29"/>
      <c r="L18" s="29"/>
      <c r="M18" s="31"/>
      <c r="N18" s="29"/>
    </row>
    <row r="19" spans="2:14" x14ac:dyDescent="0.3">
      <c r="B19" s="1" t="str">
        <f>Överblick!A25</f>
        <v>Hushåll</v>
      </c>
      <c r="C19" s="15">
        <f>290+1194-199+1/2*(70+150-324)</f>
        <v>1233</v>
      </c>
      <c r="D19" s="1">
        <f>Överblick!B25</f>
        <v>100</v>
      </c>
      <c r="E19" s="19">
        <f t="shared" si="0"/>
        <v>12.33</v>
      </c>
      <c r="F19" s="20"/>
      <c r="G19" s="3" t="str">
        <f>IF(C19&lt;D19*(1-Överblick!C25),C19," ")</f>
        <v xml:space="preserve"> </v>
      </c>
      <c r="H19" s="3">
        <f>IF(C19&gt;D19*(1+Överblick!C25),C19," ")</f>
        <v>1233</v>
      </c>
      <c r="K19" s="29"/>
      <c r="L19" s="29"/>
      <c r="M19" s="29"/>
      <c r="N19" s="29"/>
    </row>
    <row r="20" spans="2:14" x14ac:dyDescent="0.3">
      <c r="B20" s="1" t="str">
        <f>Överblick!A26</f>
        <v>Transport</v>
      </c>
      <c r="C20" s="15"/>
      <c r="D20" s="1">
        <f>Överblick!B26</f>
        <v>400</v>
      </c>
      <c r="E20" s="19" t="str">
        <f t="shared" si="0"/>
        <v xml:space="preserve"> </v>
      </c>
      <c r="F20" s="20"/>
      <c r="G20" s="3">
        <f>IF(C20&lt;D20*(1-Överblick!C26),C20," ")</f>
        <v>0</v>
      </c>
      <c r="H20" s="3" t="str">
        <f>IF(C20&gt;D20*(1+Överblick!C26),C20," ")</f>
        <v xml:space="preserve"> </v>
      </c>
      <c r="K20" s="31"/>
      <c r="L20" s="31"/>
      <c r="M20" s="31"/>
      <c r="N20" s="29"/>
    </row>
    <row r="21" spans="2:14" x14ac:dyDescent="0.3">
      <c r="B21" s="1" t="str">
        <f>Överblick!A27</f>
        <v>Sport och gym</v>
      </c>
      <c r="C21" s="15"/>
      <c r="D21" s="1">
        <f>Överblick!B27</f>
        <v>250</v>
      </c>
      <c r="E21" s="19" t="str">
        <f t="shared" si="0"/>
        <v xml:space="preserve"> </v>
      </c>
      <c r="F21" s="20"/>
      <c r="G21" s="3">
        <f>IF(C21&lt;D21*(1-Överblick!C27),C21," ")</f>
        <v>0</v>
      </c>
      <c r="H21" s="3" t="str">
        <f>IF(C21&gt;D21*(1+Överblick!C27),C21," ")</f>
        <v xml:space="preserve"> </v>
      </c>
      <c r="K21" s="29"/>
      <c r="L21" s="29"/>
      <c r="M21" s="29"/>
      <c r="N21" s="29"/>
    </row>
    <row r="22" spans="2:14" x14ac:dyDescent="0.3">
      <c r="B22" s="1" t="str">
        <f>Överblick!A28</f>
        <v>Date night</v>
      </c>
      <c r="C22" s="15">
        <v>128</v>
      </c>
      <c r="D22" s="1">
        <f>Överblick!B28</f>
        <v>300</v>
      </c>
      <c r="E22" s="19">
        <f t="shared" si="0"/>
        <v>0.42666666666666669</v>
      </c>
      <c r="F22" s="20"/>
      <c r="G22" s="3">
        <f>IF(C22&lt;D22*(1-Överblick!C28),C22," ")</f>
        <v>128</v>
      </c>
      <c r="H22" s="3" t="str">
        <f>IF(C22&gt;D22*(1+Överblick!C28),C22," ")</f>
        <v xml:space="preserve"> </v>
      </c>
      <c r="K22" s="29"/>
      <c r="L22" s="29"/>
      <c r="M22" s="29"/>
      <c r="N22" s="29"/>
    </row>
    <row r="23" spans="2:14" x14ac:dyDescent="0.3">
      <c r="B23" s="1" t="str">
        <f>Överblick!A29</f>
        <v>Godis och snacks</v>
      </c>
      <c r="C23" s="15">
        <f>19+17+24+15+5+25+60</f>
        <v>165</v>
      </c>
      <c r="D23" s="25">
        <f>Överblick!B29</f>
        <v>150</v>
      </c>
      <c r="E23" s="26">
        <f t="shared" si="0"/>
        <v>1.1000000000000001</v>
      </c>
      <c r="F23" s="27"/>
      <c r="G23" s="3" t="str">
        <f>IF(C23&lt;D23*(1-Överblick!C29),C23," ")</f>
        <v xml:space="preserve"> </v>
      </c>
      <c r="H23" s="3" t="str">
        <f>IF(C23&gt;D23*(1+Överblick!C29),C23," ")</f>
        <v xml:space="preserve"> </v>
      </c>
      <c r="K23" s="29"/>
      <c r="L23" s="29"/>
      <c r="M23" s="29"/>
      <c r="N23" s="29"/>
    </row>
    <row r="24" spans="2:14" ht="15" thickBot="1" x14ac:dyDescent="0.35">
      <c r="B24" s="13" t="str">
        <f>Överblick!A30</f>
        <v>Övriga utgifter</v>
      </c>
      <c r="C24" s="21">
        <f>85+445+142-150</f>
        <v>522</v>
      </c>
      <c r="D24" s="8">
        <f>Överblick!B30</f>
        <v>500</v>
      </c>
      <c r="E24" s="9">
        <f t="shared" si="0"/>
        <v>1.044</v>
      </c>
      <c r="F24" s="79"/>
      <c r="G24" s="3" t="str">
        <f>IF(C24&lt;D24*(1-Överblick!C30),C24," ")</f>
        <v xml:space="preserve"> </v>
      </c>
      <c r="H24" s="3" t="str">
        <f>IF(C24&gt;D24*(1+Överblick!C30),C24," ")</f>
        <v xml:space="preserve"> </v>
      </c>
      <c r="K24" s="29"/>
      <c r="L24" s="29"/>
      <c r="M24" s="29"/>
      <c r="N24" s="29"/>
    </row>
    <row r="25" spans="2:14" x14ac:dyDescent="0.3">
      <c r="B25" s="12" t="str">
        <f>Överblick!A31</f>
        <v>Totala utgifter</v>
      </c>
      <c r="C25" s="1">
        <f>SUM(C12:C24)</f>
        <v>8131</v>
      </c>
      <c r="D25" s="1">
        <f>Överblick!B31</f>
        <v>9400</v>
      </c>
      <c r="E25" s="28">
        <f>IFERROR(IF(C25/D25=0," ",C25/D25)," ")</f>
        <v>0.86499999999999999</v>
      </c>
      <c r="F25" s="28"/>
      <c r="K25" s="29"/>
      <c r="L25" s="29"/>
      <c r="M25" s="29"/>
      <c r="N25" s="29"/>
    </row>
    <row r="26" spans="2:14" x14ac:dyDescent="0.3">
      <c r="D26" s="29"/>
      <c r="E26" s="30"/>
      <c r="F26" s="30"/>
      <c r="G26" s="3">
        <f>IF(C27&gt;D27*(1+Överblick!C33),C27," ")</f>
        <v>10175</v>
      </c>
      <c r="H26" s="3" t="str">
        <f>IF(C27&lt;D27*(1-Överblick!C33),C27," ")</f>
        <v xml:space="preserve"> </v>
      </c>
      <c r="K26" s="29"/>
      <c r="L26" s="29"/>
      <c r="M26" s="29"/>
      <c r="N26" s="29"/>
    </row>
    <row r="27" spans="2:14" ht="15" thickBot="1" x14ac:dyDescent="0.35">
      <c r="B27" s="33" t="s">
        <v>3</v>
      </c>
      <c r="C27" s="8">
        <f>ROUND(C8-C25,0)</f>
        <v>10175</v>
      </c>
      <c r="D27" s="22">
        <f>Överblick!B33</f>
        <v>1544</v>
      </c>
      <c r="E27" s="14">
        <f>IFERROR(C27/D27," ")</f>
        <v>6.5900259067357512</v>
      </c>
      <c r="F27" s="14"/>
      <c r="I27" s="29"/>
      <c r="J27" s="29"/>
      <c r="K27" s="29"/>
      <c r="L27" s="29"/>
      <c r="M27" s="29"/>
      <c r="N27" s="29"/>
    </row>
    <row r="28" spans="2:14" x14ac:dyDescent="0.3">
      <c r="I28" s="29"/>
      <c r="J28" s="29"/>
      <c r="K28" s="29"/>
      <c r="L28" s="29"/>
      <c r="M28" s="29"/>
      <c r="N28" s="29"/>
    </row>
    <row r="29" spans="2:14" x14ac:dyDescent="0.3">
      <c r="I29" s="29"/>
      <c r="J29" s="29"/>
      <c r="K29" s="29"/>
      <c r="L29" s="29"/>
      <c r="M29" s="29"/>
      <c r="N29" s="29"/>
    </row>
  </sheetData>
  <sheetProtection algorithmName="SHA-512" hashValue="54JLzAXlGyZWT6zCdmSvtly8gim1rjT7+ZAbxKrjpdvh7QzSvH8v/3Fb9klcPKTkSTulXCqP1c+7oBGRZSl2Ow==" saltValue="QFWV0NP2tRLR/gRAKkoasQ==" spinCount="100000" sheet="1" objects="1" scenarios="1"/>
  <conditionalFormatting sqref="E27 E5:E8 E12:E25">
    <cfRule type="cellIs" dxfId="34" priority="7" operator="between">
      <formula>$D$10</formula>
      <formula>$E$10</formula>
    </cfRule>
  </conditionalFormatting>
  <conditionalFormatting sqref="E5:E8 E27">
    <cfRule type="cellIs" dxfId="33" priority="3" operator="lessThan">
      <formula>$D$10</formula>
    </cfRule>
    <cfRule type="cellIs" dxfId="32" priority="4" operator="greaterThan">
      <formula>$E$10</formula>
    </cfRule>
  </conditionalFormatting>
  <conditionalFormatting sqref="E5:E8 E27 E12:E25">
    <cfRule type="beginsWith" dxfId="31" priority="2" operator="beginsWith" text=" ">
      <formula>LEFT(E5,LEN(" "))=" "</formula>
    </cfRule>
  </conditionalFormatting>
  <conditionalFormatting sqref="E12:E25">
    <cfRule type="cellIs" dxfId="30" priority="5" operator="greaterThan">
      <formula>$E$10</formula>
    </cfRule>
    <cfRule type="cellIs" dxfId="29" priority="6" operator="lessThan">
      <formula>$D$10</formula>
    </cfRule>
  </conditionalFormatting>
  <conditionalFormatting sqref="E1:E1048576">
    <cfRule type="cellIs" dxfId="28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7EC11-CF2D-4B31-849D-1FDF0CA73339}">
  <sheetPr codeName="Sheet26">
    <tabColor rgb="FFFFC000"/>
  </sheetPr>
  <dimension ref="B1:N29"/>
  <sheetViews>
    <sheetView showGridLines="0" zoomScaleNormal="100" workbookViewId="0">
      <selection activeCell="C24" sqref="C24"/>
    </sheetView>
  </sheetViews>
  <sheetFormatPr defaultColWidth="8.88671875" defaultRowHeight="14.4" x14ac:dyDescent="0.3"/>
  <cols>
    <col min="1" max="1" width="10.88671875" style="3" customWidth="1"/>
    <col min="2" max="2" width="20" style="3" bestFit="1" customWidth="1"/>
    <col min="3" max="3" width="11" style="3" bestFit="1" customWidth="1"/>
    <col min="4" max="4" width="10.88671875" style="3" bestFit="1" customWidth="1"/>
    <col min="5" max="6" width="13" style="4" customWidth="1"/>
    <col min="7" max="8" width="9.77734375" style="3" bestFit="1" customWidth="1"/>
    <col min="9" max="9" width="11" style="3" customWidth="1"/>
    <col min="10" max="15" width="8.88671875" style="3"/>
    <col min="16" max="16" width="10.77734375" style="3" customWidth="1"/>
    <col min="17" max="16384" width="8.88671875" style="3"/>
  </cols>
  <sheetData>
    <row r="1" spans="2:14" x14ac:dyDescent="0.3">
      <c r="I1" s="32"/>
      <c r="J1" s="29"/>
      <c r="K1" s="29"/>
      <c r="L1" s="29"/>
      <c r="M1" s="29"/>
      <c r="N1" s="29"/>
    </row>
    <row r="2" spans="2:14" x14ac:dyDescent="0.3">
      <c r="I2" s="29"/>
      <c r="J2" s="29"/>
      <c r="K2" s="29"/>
      <c r="L2" s="29"/>
      <c r="M2" s="29"/>
      <c r="N2" s="29"/>
    </row>
    <row r="3" spans="2:14" x14ac:dyDescent="0.3">
      <c r="I3" s="29"/>
      <c r="J3" s="29"/>
      <c r="K3" s="29"/>
      <c r="L3" s="29"/>
      <c r="M3" s="29"/>
      <c r="N3" s="29"/>
    </row>
    <row r="4" spans="2:14" ht="15" thickBot="1" x14ac:dyDescent="0.35">
      <c r="B4" s="33" t="str">
        <f>Överblick!A10</f>
        <v>Inkomst</v>
      </c>
      <c r="C4" s="33" t="s">
        <v>11</v>
      </c>
      <c r="D4" s="34" t="s">
        <v>10</v>
      </c>
      <c r="E4" s="36" t="s">
        <v>37</v>
      </c>
      <c r="F4" s="36" t="s">
        <v>38</v>
      </c>
      <c r="G4" s="3" t="s">
        <v>12</v>
      </c>
      <c r="H4" s="3" t="s">
        <v>13</v>
      </c>
      <c r="K4" s="29"/>
      <c r="L4" s="29"/>
      <c r="M4" s="29"/>
      <c r="N4" s="29"/>
    </row>
    <row r="5" spans="2:14" x14ac:dyDescent="0.3">
      <c r="B5" s="2" t="str">
        <f>Överblick!A11</f>
        <v>CSN</v>
      </c>
      <c r="C5" s="15">
        <v>8007</v>
      </c>
      <c r="D5" s="16">
        <f>Överblick!B11</f>
        <v>10444</v>
      </c>
      <c r="E5" s="17">
        <f>IFERROR(C5/D5," ")</f>
        <v>0.76666028341631554</v>
      </c>
      <c r="F5" s="18"/>
      <c r="G5" s="3" t="str">
        <f>IF(C5&gt;D5*(1+Överblick!C11),C5," ")</f>
        <v xml:space="preserve"> </v>
      </c>
      <c r="H5" s="3" t="str">
        <f>IF(C5&lt;D5*(1-Överblick!C11),C5," ")</f>
        <v xml:space="preserve"> </v>
      </c>
      <c r="K5" s="29"/>
      <c r="L5" s="29"/>
      <c r="M5" s="29"/>
      <c r="N5" s="29"/>
    </row>
    <row r="6" spans="2:14" x14ac:dyDescent="0.3">
      <c r="B6" s="2" t="str">
        <f>Överblick!A12</f>
        <v>Lön</v>
      </c>
      <c r="C6" s="15">
        <v>2156</v>
      </c>
      <c r="D6" s="16">
        <f>Överblick!B12</f>
        <v>500</v>
      </c>
      <c r="E6" s="19">
        <f>IFERROR(C6/D6," ")</f>
        <v>4.3120000000000003</v>
      </c>
      <c r="F6" s="20"/>
      <c r="G6" s="3">
        <f>IF(C6&gt;D6*(1+Överblick!C12),C6," ")</f>
        <v>2156</v>
      </c>
      <c r="H6" s="3" t="str">
        <f>IF(C6&lt;D6*(1-Överblick!C12),C6," ")</f>
        <v xml:space="preserve"> </v>
      </c>
      <c r="K6" s="29"/>
      <c r="L6" s="29"/>
      <c r="M6" s="29"/>
      <c r="N6" s="29"/>
    </row>
    <row r="7" spans="2:14" ht="15" thickBot="1" x14ac:dyDescent="0.35">
      <c r="B7" s="13" t="str">
        <f>Överblick!A13</f>
        <v>Övrig inkomst</v>
      </c>
      <c r="C7" s="21">
        <f>134+129</f>
        <v>263</v>
      </c>
      <c r="D7" s="22">
        <f>Överblick!B13</f>
        <v>0</v>
      </c>
      <c r="E7" s="14" t="str">
        <f>IFERROR(C7/D7," ")</f>
        <v xml:space="preserve"> </v>
      </c>
      <c r="F7" s="23"/>
      <c r="G7" s="3">
        <f>IF(C7&gt;D7*(1+Överblick!C13),C7," ")</f>
        <v>263</v>
      </c>
      <c r="H7" s="3" t="str">
        <f>IF(C7&lt;D7*(1-Överblick!C13),C7," ")</f>
        <v xml:space="preserve"> </v>
      </c>
      <c r="K7" s="29"/>
      <c r="L7" s="29"/>
      <c r="M7" s="29"/>
      <c r="N7" s="29"/>
    </row>
    <row r="8" spans="2:14" x14ac:dyDescent="0.3">
      <c r="B8" s="2" t="str">
        <f>Överblick!A14</f>
        <v>Total inkomst</v>
      </c>
      <c r="C8" s="24">
        <f>SUM(C5:C7)</f>
        <v>10426</v>
      </c>
      <c r="D8" s="16">
        <f>Överblick!B14</f>
        <v>10944</v>
      </c>
      <c r="E8" s="17">
        <f>IFERROR(C8/D8," ")</f>
        <v>0.95266812865497075</v>
      </c>
      <c r="F8" s="17"/>
      <c r="K8" s="29"/>
      <c r="L8" s="29"/>
      <c r="M8" s="29"/>
      <c r="N8" s="29"/>
    </row>
    <row r="9" spans="2:14" x14ac:dyDescent="0.3">
      <c r="B9" s="29"/>
      <c r="K9" s="29"/>
      <c r="L9" s="29"/>
      <c r="M9" s="29"/>
      <c r="N9" s="29"/>
    </row>
    <row r="10" spans="2:14" x14ac:dyDescent="0.3">
      <c r="D10" s="4">
        <v>0.75</v>
      </c>
      <c r="E10" s="4">
        <v>1.25</v>
      </c>
      <c r="K10" s="29"/>
      <c r="L10" s="29"/>
      <c r="M10" s="29"/>
      <c r="N10" s="29"/>
    </row>
    <row r="11" spans="2:14" ht="15" thickBot="1" x14ac:dyDescent="0.35">
      <c r="B11" s="33" t="s">
        <v>9</v>
      </c>
      <c r="C11" s="33" t="s">
        <v>11</v>
      </c>
      <c r="D11" s="34" t="s">
        <v>10</v>
      </c>
      <c r="E11" s="35" t="s">
        <v>37</v>
      </c>
      <c r="F11" s="35" t="s">
        <v>38</v>
      </c>
      <c r="G11" s="3" t="s">
        <v>12</v>
      </c>
      <c r="H11" s="3" t="s">
        <v>13</v>
      </c>
      <c r="K11" s="29"/>
      <c r="L11" s="29"/>
      <c r="M11" s="29"/>
      <c r="N11" s="29"/>
    </row>
    <row r="12" spans="2:14" x14ac:dyDescent="0.3">
      <c r="B12" s="1" t="str">
        <f>Överblick!A18</f>
        <v>Hyra</v>
      </c>
      <c r="C12" s="15">
        <f>2730</f>
        <v>2730</v>
      </c>
      <c r="D12" s="1">
        <f>Överblick!B18</f>
        <v>5000</v>
      </c>
      <c r="E12" s="19">
        <f>IFERROR(IF(C12/D12=0," ",C12/D12)," ")</f>
        <v>0.54600000000000004</v>
      </c>
      <c r="F12" s="18"/>
      <c r="G12" s="3">
        <f>IF(C12&lt;D12*(1-Överblick!C18),C12," ")</f>
        <v>2730</v>
      </c>
      <c r="H12" s="3" t="str">
        <f>IF(C12&gt;D12*(1+Överblick!C18),C12," ")</f>
        <v xml:space="preserve"> </v>
      </c>
      <c r="K12" s="29"/>
      <c r="L12" s="29"/>
      <c r="M12" s="29"/>
      <c r="N12" s="29"/>
    </row>
    <row r="13" spans="2:14" x14ac:dyDescent="0.3">
      <c r="B13" s="1" t="str">
        <f>Överblick!A19</f>
        <v>Mat/förbrukningsvaror</v>
      </c>
      <c r="C13" s="15">
        <f>97+175+53+135+1/2*(266+160+244+312+262+142+40+74+76+52)</f>
        <v>1274</v>
      </c>
      <c r="D13" s="1">
        <f>Överblick!B19</f>
        <v>1250</v>
      </c>
      <c r="E13" s="19">
        <f t="shared" ref="E13:E24" si="0">IFERROR(IF(C13/D13=0," ",C13/D13)," ")</f>
        <v>1.0192000000000001</v>
      </c>
      <c r="F13" s="20"/>
      <c r="G13" s="3" t="str">
        <f>IF(C13&lt;D13*(1-Överblick!C19),C13," ")</f>
        <v xml:space="preserve"> </v>
      </c>
      <c r="H13" s="3" t="str">
        <f>IF(C13&gt;D13*(1+Överblick!C19),C13," ")</f>
        <v xml:space="preserve"> </v>
      </c>
      <c r="K13" s="29"/>
      <c r="L13" s="29"/>
      <c r="M13" s="29"/>
      <c r="N13" s="29"/>
    </row>
    <row r="14" spans="2:14" x14ac:dyDescent="0.3">
      <c r="B14" s="1" t="str">
        <f>Överblick!A20</f>
        <v>Kläder och accessoarer</v>
      </c>
      <c r="C14" s="15"/>
      <c r="D14" s="1">
        <f>Överblick!B20</f>
        <v>400</v>
      </c>
      <c r="E14" s="19" t="str">
        <f t="shared" si="0"/>
        <v xml:space="preserve"> </v>
      </c>
      <c r="F14" s="20"/>
      <c r="G14" s="3">
        <f>IF(C14&lt;D14*(1-Överblick!C20),C14," ")</f>
        <v>0</v>
      </c>
      <c r="H14" s="3" t="str">
        <f>IF(C14&gt;D14*(1+Överblick!C20),C14," ")</f>
        <v xml:space="preserve"> </v>
      </c>
      <c r="K14" s="29"/>
      <c r="L14" s="29"/>
      <c r="M14" s="29"/>
      <c r="N14" s="29"/>
    </row>
    <row r="15" spans="2:14" x14ac:dyDescent="0.3">
      <c r="B15" s="1" t="str">
        <f>Överblick!A21</f>
        <v>Utemat</v>
      </c>
      <c r="C15" s="15">
        <f>52+45+35+46+90+45+24+26+1/2*(190+204+284)</f>
        <v>702</v>
      </c>
      <c r="D15" s="1">
        <f>Överblick!B21</f>
        <v>250</v>
      </c>
      <c r="E15" s="19">
        <f t="shared" si="0"/>
        <v>2.8079999999999998</v>
      </c>
      <c r="F15" s="20"/>
      <c r="G15" s="3" t="str">
        <f>IF(C15&lt;D15*(1-Överblick!C21),C15," ")</f>
        <v xml:space="preserve"> </v>
      </c>
      <c r="H15" s="3">
        <f>IF(C15&gt;D15*(1+Överblick!C21),C15," ")</f>
        <v>702</v>
      </c>
      <c r="K15" s="29"/>
      <c r="L15" s="29"/>
      <c r="M15" s="29"/>
      <c r="N15" s="29"/>
    </row>
    <row r="16" spans="2:14" x14ac:dyDescent="0.3">
      <c r="B16" s="1" t="str">
        <f>Överblick!A22</f>
        <v>Studiematerial</v>
      </c>
      <c r="C16" s="15"/>
      <c r="D16" s="1">
        <f>Överblick!B22</f>
        <v>300</v>
      </c>
      <c r="E16" s="19" t="str">
        <f t="shared" si="0"/>
        <v xml:space="preserve"> </v>
      </c>
      <c r="F16" s="20"/>
      <c r="G16" s="3">
        <f>IF(C16&lt;D16*(1-Överblick!C22),C16," ")</f>
        <v>0</v>
      </c>
      <c r="H16" s="3" t="str">
        <f>IF(C16&gt;D16*(1+Överblick!C22),C16," ")</f>
        <v xml:space="preserve"> </v>
      </c>
      <c r="K16" s="29"/>
      <c r="L16" s="29"/>
      <c r="M16" s="31"/>
      <c r="N16" s="29"/>
    </row>
    <row r="17" spans="2:14" x14ac:dyDescent="0.3">
      <c r="B17" s="1" t="str">
        <f>Överblick!A23</f>
        <v>Teknik och prylar</v>
      </c>
      <c r="C17" s="15">
        <f>99</f>
        <v>99</v>
      </c>
      <c r="D17" s="1">
        <f>Överblick!B23</f>
        <v>200</v>
      </c>
      <c r="E17" s="19">
        <f t="shared" si="0"/>
        <v>0.495</v>
      </c>
      <c r="F17" s="20"/>
      <c r="G17" s="3">
        <f>IF(C17&lt;D17*(1-Överblick!C23),C17," ")</f>
        <v>99</v>
      </c>
      <c r="H17" s="3" t="str">
        <f>IF(C17&gt;D17*(1+Överblick!C23),C17," ")</f>
        <v xml:space="preserve"> </v>
      </c>
      <c r="K17" s="29"/>
      <c r="L17" s="29"/>
      <c r="M17" s="31"/>
      <c r="N17" s="29"/>
    </row>
    <row r="18" spans="2:14" x14ac:dyDescent="0.3">
      <c r="B18" s="1" t="str">
        <f>Överblick!A24</f>
        <v>Dricka och aktiviteter</v>
      </c>
      <c r="C18" s="15">
        <f>90/2</f>
        <v>45</v>
      </c>
      <c r="D18" s="1">
        <f>Överblick!B24</f>
        <v>300</v>
      </c>
      <c r="E18" s="19">
        <f t="shared" si="0"/>
        <v>0.15</v>
      </c>
      <c r="F18" s="20"/>
      <c r="G18" s="3">
        <f>IF(C18&lt;D18*(1-Överblick!C24),C18," ")</f>
        <v>45</v>
      </c>
      <c r="H18" s="3" t="str">
        <f>IF(C18&gt;D18*(1+Överblick!C24),C18," ")</f>
        <v xml:space="preserve"> </v>
      </c>
      <c r="K18" s="29"/>
      <c r="L18" s="29"/>
      <c r="M18" s="31"/>
      <c r="N18" s="29"/>
    </row>
    <row r="19" spans="2:14" x14ac:dyDescent="0.3">
      <c r="B19" s="1" t="str">
        <f>Överblick!A25</f>
        <v>Hushåll</v>
      </c>
      <c r="C19" s="15">
        <f>30+(70+282)/2</f>
        <v>206</v>
      </c>
      <c r="D19" s="1">
        <f>Överblick!B25</f>
        <v>100</v>
      </c>
      <c r="E19" s="19">
        <f t="shared" si="0"/>
        <v>2.06</v>
      </c>
      <c r="F19" s="20"/>
      <c r="G19" s="3" t="str">
        <f>IF(C19&lt;D19*(1-Överblick!C25),C19," ")</f>
        <v xml:space="preserve"> </v>
      </c>
      <c r="H19" s="3">
        <f>IF(C19&gt;D19*(1+Överblick!C25),C19," ")</f>
        <v>206</v>
      </c>
      <c r="K19" s="29"/>
      <c r="L19" s="29"/>
      <c r="M19" s="29"/>
      <c r="N19" s="29"/>
    </row>
    <row r="20" spans="2:14" x14ac:dyDescent="0.3">
      <c r="B20" s="1" t="str">
        <f>Överblick!A26</f>
        <v>Transport</v>
      </c>
      <c r="C20" s="15">
        <f>28+28</f>
        <v>56</v>
      </c>
      <c r="D20" s="1">
        <f>Överblick!B26</f>
        <v>400</v>
      </c>
      <c r="E20" s="19">
        <f t="shared" si="0"/>
        <v>0.14000000000000001</v>
      </c>
      <c r="F20" s="20"/>
      <c r="G20" s="3">
        <f>IF(C20&lt;D20*(1-Överblick!C26),C20," ")</f>
        <v>56</v>
      </c>
      <c r="H20" s="3" t="str">
        <f>IF(C20&gt;D20*(1+Överblick!C26),C20," ")</f>
        <v xml:space="preserve"> </v>
      </c>
      <c r="K20" s="31"/>
      <c r="L20" s="31"/>
      <c r="M20" s="31"/>
      <c r="N20" s="29"/>
    </row>
    <row r="21" spans="2:14" x14ac:dyDescent="0.3">
      <c r="B21" s="1" t="str">
        <f>Överblick!A27</f>
        <v>Sport och gym</v>
      </c>
      <c r="C21" s="15"/>
      <c r="D21" s="1">
        <f>Överblick!B27</f>
        <v>250</v>
      </c>
      <c r="E21" s="19" t="str">
        <f t="shared" si="0"/>
        <v xml:space="preserve"> </v>
      </c>
      <c r="F21" s="20"/>
      <c r="G21" s="3">
        <f>IF(C21&lt;D21*(1-Överblick!C27),C21," ")</f>
        <v>0</v>
      </c>
      <c r="H21" s="3" t="str">
        <f>IF(C21&gt;D21*(1+Överblick!C27),C21," ")</f>
        <v xml:space="preserve"> </v>
      </c>
      <c r="K21" s="29"/>
      <c r="L21" s="29"/>
      <c r="M21" s="29"/>
      <c r="N21" s="29"/>
    </row>
    <row r="22" spans="2:14" x14ac:dyDescent="0.3">
      <c r="B22" s="1" t="str">
        <f>Överblick!A28</f>
        <v>Date night</v>
      </c>
      <c r="C22" s="15">
        <f>200</f>
        <v>200</v>
      </c>
      <c r="D22" s="1">
        <f>Överblick!B28</f>
        <v>300</v>
      </c>
      <c r="E22" s="19">
        <f t="shared" si="0"/>
        <v>0.66666666666666663</v>
      </c>
      <c r="F22" s="20"/>
      <c r="G22" s="3">
        <f>IF(C22&lt;D22*(1-Överblick!C28),C22," ")</f>
        <v>200</v>
      </c>
      <c r="H22" s="3" t="str">
        <f>IF(C22&gt;D22*(1+Överblick!C28),C22," ")</f>
        <v xml:space="preserve"> </v>
      </c>
      <c r="K22" s="29"/>
      <c r="L22" s="29"/>
      <c r="M22" s="29"/>
      <c r="N22" s="29"/>
    </row>
    <row r="23" spans="2:14" x14ac:dyDescent="0.3">
      <c r="B23" s="1" t="str">
        <f>Överblick!A29</f>
        <v>Godis och snacks</v>
      </c>
      <c r="C23" s="15">
        <f>30+14+24+26+12+20+50/2</f>
        <v>151</v>
      </c>
      <c r="D23" s="25">
        <f>Överblick!B29</f>
        <v>150</v>
      </c>
      <c r="E23" s="26">
        <f t="shared" si="0"/>
        <v>1.0066666666666666</v>
      </c>
      <c r="F23" s="27"/>
      <c r="G23" s="3" t="str">
        <f>IF(C23&lt;D23*(1-Överblick!C29),C23," ")</f>
        <v xml:space="preserve"> </v>
      </c>
      <c r="H23" s="3" t="str">
        <f>IF(C23&gt;D23*(1+Överblick!C29),C23," ")</f>
        <v xml:space="preserve"> </v>
      </c>
      <c r="K23" s="29"/>
      <c r="L23" s="29"/>
      <c r="M23" s="29"/>
      <c r="N23" s="29"/>
    </row>
    <row r="24" spans="2:14" ht="15" thickBot="1" x14ac:dyDescent="0.35">
      <c r="B24" s="13" t="str">
        <f>Överblick!A30</f>
        <v>Övriga utgifter</v>
      </c>
      <c r="C24" s="21">
        <f>310+279+460+1/2*(178)</f>
        <v>1138</v>
      </c>
      <c r="D24" s="8">
        <f>Överblick!B30</f>
        <v>500</v>
      </c>
      <c r="E24" s="9">
        <f t="shared" si="0"/>
        <v>2.2759999999999998</v>
      </c>
      <c r="F24" s="79" t="s">
        <v>5574</v>
      </c>
      <c r="G24" s="3" t="str">
        <f>IF(C24&lt;D24*(1-Överblick!C30),C24," ")</f>
        <v xml:space="preserve"> </v>
      </c>
      <c r="H24" s="3">
        <f>IF(C24&gt;D24*(1+Överblick!C30),C24," ")</f>
        <v>1138</v>
      </c>
      <c r="K24" s="29"/>
      <c r="L24" s="29"/>
      <c r="M24" s="29"/>
      <c r="N24" s="29"/>
    </row>
    <row r="25" spans="2:14" x14ac:dyDescent="0.3">
      <c r="B25" s="12" t="str">
        <f>Överblick!A31</f>
        <v>Totala utgifter</v>
      </c>
      <c r="C25" s="1">
        <f>SUM(C12:C24)</f>
        <v>6601</v>
      </c>
      <c r="D25" s="1">
        <f>Överblick!B31</f>
        <v>9400</v>
      </c>
      <c r="E25" s="28">
        <f>IFERROR(IF(C25/D25=0," ",C25/D25)," ")</f>
        <v>0.70223404255319144</v>
      </c>
      <c r="F25" s="28"/>
      <c r="K25" s="29"/>
      <c r="L25" s="29"/>
      <c r="M25" s="29"/>
      <c r="N25" s="29"/>
    </row>
    <row r="26" spans="2:14" x14ac:dyDescent="0.3">
      <c r="D26" s="29"/>
      <c r="E26" s="30"/>
      <c r="F26" s="30"/>
      <c r="G26" s="3">
        <f>IF(C27&gt;D27*(1+Överblick!C33),C27," ")</f>
        <v>3825</v>
      </c>
      <c r="H26" s="3" t="str">
        <f>IF(C27&lt;D27*(1-Överblick!C33),C27," ")</f>
        <v xml:space="preserve"> </v>
      </c>
      <c r="K26" s="29"/>
      <c r="L26" s="29"/>
      <c r="M26" s="29"/>
      <c r="N26" s="29"/>
    </row>
    <row r="27" spans="2:14" ht="15" thickBot="1" x14ac:dyDescent="0.35">
      <c r="B27" s="33" t="s">
        <v>3</v>
      </c>
      <c r="C27" s="8">
        <f>ROUND(C8-C25,0)</f>
        <v>3825</v>
      </c>
      <c r="D27" s="22">
        <f>Överblick!B33</f>
        <v>1544</v>
      </c>
      <c r="E27" s="14">
        <f>IFERROR(C27/D27," ")</f>
        <v>2.4773316062176165</v>
      </c>
      <c r="F27" s="14"/>
      <c r="I27" s="29"/>
      <c r="J27" s="29"/>
      <c r="K27" s="29"/>
      <c r="L27" s="29"/>
      <c r="M27" s="29"/>
      <c r="N27" s="29"/>
    </row>
    <row r="28" spans="2:14" x14ac:dyDescent="0.3">
      <c r="I28" s="29"/>
      <c r="J28" s="29"/>
      <c r="K28" s="29"/>
      <c r="L28" s="29"/>
      <c r="M28" s="29"/>
      <c r="N28" s="29"/>
    </row>
    <row r="29" spans="2:14" x14ac:dyDescent="0.3">
      <c r="I29" s="29"/>
      <c r="J29" s="29"/>
      <c r="K29" s="29"/>
      <c r="L29" s="29"/>
      <c r="M29" s="29"/>
      <c r="N29" s="29"/>
    </row>
  </sheetData>
  <sheetProtection algorithmName="SHA-512" hashValue="54JLzAXlGyZWT6zCdmSvtly8gim1rjT7+ZAbxKrjpdvh7QzSvH8v/3Fb9klcPKTkSTulXCqP1c+7oBGRZSl2Ow==" saltValue="QFWV0NP2tRLR/gRAKkoasQ==" spinCount="100000" sheet="1" objects="1" scenarios="1"/>
  <conditionalFormatting sqref="E27 E5:E8 E12:E25">
    <cfRule type="cellIs" dxfId="27" priority="7" operator="between">
      <formula>$D$10</formula>
      <formula>$E$10</formula>
    </cfRule>
  </conditionalFormatting>
  <conditionalFormatting sqref="E5:E8 E27">
    <cfRule type="cellIs" dxfId="26" priority="3" operator="lessThan">
      <formula>$D$10</formula>
    </cfRule>
    <cfRule type="cellIs" dxfId="25" priority="4" operator="greaterThan">
      <formula>$E$10</formula>
    </cfRule>
  </conditionalFormatting>
  <conditionalFormatting sqref="E5:E8 E27 E12:E25">
    <cfRule type="beginsWith" dxfId="24" priority="2" operator="beginsWith" text=" ">
      <formula>LEFT(E5,LEN(" "))=" "</formula>
    </cfRule>
  </conditionalFormatting>
  <conditionalFormatting sqref="E12:E25">
    <cfRule type="cellIs" dxfId="23" priority="5" operator="greaterThan">
      <formula>$E$10</formula>
    </cfRule>
    <cfRule type="cellIs" dxfId="22" priority="6" operator="lessThan">
      <formula>$D$10</formula>
    </cfRule>
  </conditionalFormatting>
  <conditionalFormatting sqref="E1:E1048576">
    <cfRule type="cellIs" dxfId="21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60BCE-1140-40D4-8A77-C1592E2DFEC5}">
  <sheetPr codeName="Sheet27">
    <tabColor rgb="FFFFC000"/>
  </sheetPr>
  <dimension ref="B1:N29"/>
  <sheetViews>
    <sheetView showGridLines="0" zoomScaleNormal="100" workbookViewId="0">
      <selection activeCell="C6" sqref="C6"/>
    </sheetView>
  </sheetViews>
  <sheetFormatPr defaultColWidth="8.88671875" defaultRowHeight="14.4" x14ac:dyDescent="0.3"/>
  <cols>
    <col min="1" max="1" width="10.88671875" style="3" customWidth="1"/>
    <col min="2" max="2" width="20" style="3" bestFit="1" customWidth="1"/>
    <col min="3" max="3" width="11" style="3" bestFit="1" customWidth="1"/>
    <col min="4" max="4" width="10.88671875" style="3" bestFit="1" customWidth="1"/>
    <col min="5" max="6" width="13" style="4" customWidth="1"/>
    <col min="7" max="8" width="9.77734375" style="3" bestFit="1" customWidth="1"/>
    <col min="9" max="9" width="11" style="3" customWidth="1"/>
    <col min="10" max="15" width="8.88671875" style="3"/>
    <col min="16" max="16" width="10.77734375" style="3" customWidth="1"/>
    <col min="17" max="16384" width="8.88671875" style="3"/>
  </cols>
  <sheetData>
    <row r="1" spans="2:14" x14ac:dyDescent="0.3">
      <c r="I1" s="32"/>
      <c r="J1" s="29"/>
      <c r="K1" s="29"/>
      <c r="L1" s="29"/>
      <c r="M1" s="29"/>
      <c r="N1" s="29"/>
    </row>
    <row r="2" spans="2:14" x14ac:dyDescent="0.3">
      <c r="I2" s="29"/>
      <c r="J2" s="29"/>
      <c r="K2" s="29"/>
      <c r="L2" s="29"/>
      <c r="M2" s="29"/>
      <c r="N2" s="29"/>
    </row>
    <row r="3" spans="2:14" x14ac:dyDescent="0.3">
      <c r="I3" s="29"/>
      <c r="J3" s="29"/>
      <c r="K3" s="29"/>
      <c r="L3" s="29"/>
      <c r="M3" s="29"/>
      <c r="N3" s="29"/>
    </row>
    <row r="4" spans="2:14" ht="15" thickBot="1" x14ac:dyDescent="0.35">
      <c r="B4" s="33" t="str">
        <f>Överblick!A10</f>
        <v>Inkomst</v>
      </c>
      <c r="C4" s="33" t="s">
        <v>11</v>
      </c>
      <c r="D4" s="34" t="s">
        <v>10</v>
      </c>
      <c r="E4" s="36" t="s">
        <v>37</v>
      </c>
      <c r="F4" s="36" t="s">
        <v>38</v>
      </c>
      <c r="G4" s="3" t="s">
        <v>12</v>
      </c>
      <c r="H4" s="3" t="s">
        <v>13</v>
      </c>
      <c r="K4" s="29"/>
      <c r="L4" s="29"/>
      <c r="M4" s="29"/>
      <c r="N4" s="29"/>
    </row>
    <row r="5" spans="2:14" x14ac:dyDescent="0.3">
      <c r="B5" s="2" t="str">
        <f>Överblick!A11</f>
        <v>CSN</v>
      </c>
      <c r="C5" s="15"/>
      <c r="D5" s="16">
        <f>Överblick!B11</f>
        <v>10444</v>
      </c>
      <c r="E5" s="17">
        <f>IFERROR(C5/D5," ")</f>
        <v>0</v>
      </c>
      <c r="F5" s="18"/>
      <c r="G5" s="3" t="str">
        <f>IF(C5&gt;D5*(1+Överblick!C11),C5," ")</f>
        <v xml:space="preserve"> </v>
      </c>
      <c r="H5" s="3">
        <f>IF(C5&lt;D5*(1-Överblick!C11),C5," ")</f>
        <v>0</v>
      </c>
      <c r="K5" s="29"/>
      <c r="L5" s="29"/>
      <c r="M5" s="29"/>
      <c r="N5" s="29"/>
    </row>
    <row r="6" spans="2:14" x14ac:dyDescent="0.3">
      <c r="B6" s="2" t="str">
        <f>Överblick!A12</f>
        <v>Lön</v>
      </c>
      <c r="C6" s="15">
        <f>3626-1600</f>
        <v>2026</v>
      </c>
      <c r="D6" s="16">
        <f>Överblick!B12</f>
        <v>500</v>
      </c>
      <c r="E6" s="19">
        <f>IFERROR(C6/D6," ")</f>
        <v>4.0519999999999996</v>
      </c>
      <c r="F6" s="20"/>
      <c r="G6" s="3">
        <f>IF(C6&gt;D6*(1+Överblick!C12),C6," ")</f>
        <v>2026</v>
      </c>
      <c r="H6" s="3" t="str">
        <f>IF(C6&lt;D6*(1-Överblick!C12),C6," ")</f>
        <v xml:space="preserve"> </v>
      </c>
      <c r="K6" s="29"/>
      <c r="L6" s="29"/>
      <c r="M6" s="29"/>
      <c r="N6" s="29"/>
    </row>
    <row r="7" spans="2:14" ht="15" thickBot="1" x14ac:dyDescent="0.35">
      <c r="B7" s="13" t="str">
        <f>Överblick!A13</f>
        <v>Övrig inkomst</v>
      </c>
      <c r="C7" s="21">
        <f>824/2</f>
        <v>412</v>
      </c>
      <c r="D7" s="22">
        <f>Överblick!B13</f>
        <v>0</v>
      </c>
      <c r="E7" s="14" t="str">
        <f>IFERROR(C7/D7," ")</f>
        <v xml:space="preserve"> </v>
      </c>
      <c r="F7" s="23" t="s">
        <v>5573</v>
      </c>
      <c r="G7" s="3">
        <f>IF(C7&gt;D7*(1+Överblick!C13),C7," ")</f>
        <v>412</v>
      </c>
      <c r="H7" s="3" t="str">
        <f>IF(C7&lt;D7*(1-Överblick!C13),C7," ")</f>
        <v xml:space="preserve"> </v>
      </c>
      <c r="K7" s="29"/>
      <c r="L7" s="29"/>
      <c r="M7" s="29"/>
      <c r="N7" s="29"/>
    </row>
    <row r="8" spans="2:14" x14ac:dyDescent="0.3">
      <c r="B8" s="2" t="str">
        <f>Överblick!A14</f>
        <v>Total inkomst</v>
      </c>
      <c r="C8" s="24">
        <f>SUM(C5:C7)</f>
        <v>2438</v>
      </c>
      <c r="D8" s="16">
        <f>Överblick!B14</f>
        <v>10944</v>
      </c>
      <c r="E8" s="17">
        <f>IFERROR(C8/D8," ")</f>
        <v>0.22277046783625731</v>
      </c>
      <c r="F8" s="17"/>
      <c r="K8" s="29"/>
      <c r="L8" s="29"/>
      <c r="M8" s="29"/>
      <c r="N8" s="29"/>
    </row>
    <row r="9" spans="2:14" x14ac:dyDescent="0.3">
      <c r="B9" s="29"/>
      <c r="K9" s="29"/>
      <c r="L9" s="29"/>
      <c r="M9" s="29"/>
      <c r="N9" s="29"/>
    </row>
    <row r="10" spans="2:14" x14ac:dyDescent="0.3">
      <c r="D10" s="4">
        <v>0.75</v>
      </c>
      <c r="E10" s="4">
        <v>1.25</v>
      </c>
      <c r="K10" s="29"/>
      <c r="L10" s="29"/>
      <c r="M10" s="29"/>
      <c r="N10" s="29"/>
    </row>
    <row r="11" spans="2:14" ht="15" thickBot="1" x14ac:dyDescent="0.35">
      <c r="B11" s="33" t="s">
        <v>9</v>
      </c>
      <c r="C11" s="33" t="s">
        <v>11</v>
      </c>
      <c r="D11" s="34" t="s">
        <v>10</v>
      </c>
      <c r="E11" s="35" t="s">
        <v>37</v>
      </c>
      <c r="F11" s="35" t="s">
        <v>38</v>
      </c>
      <c r="G11" s="3" t="s">
        <v>12</v>
      </c>
      <c r="H11" s="3" t="s">
        <v>13</v>
      </c>
      <c r="K11" s="29"/>
      <c r="L11" s="29"/>
      <c r="M11" s="29"/>
      <c r="N11" s="29"/>
    </row>
    <row r="12" spans="2:14" x14ac:dyDescent="0.3">
      <c r="B12" s="1" t="str">
        <f>Överblick!A18</f>
        <v>Hyra</v>
      </c>
      <c r="C12" s="15">
        <v>830</v>
      </c>
      <c r="D12" s="1">
        <f>Överblick!B18</f>
        <v>5000</v>
      </c>
      <c r="E12" s="19">
        <f>IFERROR(IF(C12/D12=0," ",C12/D12)," ")</f>
        <v>0.16600000000000001</v>
      </c>
      <c r="F12" s="18"/>
      <c r="G12" s="3">
        <f>IF(C12&lt;D12*(1-Överblick!C18),C12," ")</f>
        <v>830</v>
      </c>
      <c r="H12" s="3" t="str">
        <f>IF(C12&gt;D12*(1+Överblick!C18),C12," ")</f>
        <v xml:space="preserve"> </v>
      </c>
      <c r="K12" s="29"/>
      <c r="L12" s="29"/>
      <c r="M12" s="29"/>
      <c r="N12" s="29"/>
    </row>
    <row r="13" spans="2:14" x14ac:dyDescent="0.3">
      <c r="B13" s="1" t="str">
        <f>Överblick!A19</f>
        <v>Mat/förbrukningsvaror</v>
      </c>
      <c r="C13" s="15">
        <f>146+32+50+618+143+90+173+59+1/2*(37+129+24+90+86+166)</f>
        <v>1577</v>
      </c>
      <c r="D13" s="1">
        <f>Överblick!B19</f>
        <v>1250</v>
      </c>
      <c r="E13" s="19">
        <f t="shared" ref="E13:E24" si="0">IFERROR(IF(C13/D13=0," ",C13/D13)," ")</f>
        <v>1.2616000000000001</v>
      </c>
      <c r="F13" s="20"/>
      <c r="G13" s="3" t="str">
        <f>IF(C13&lt;D13*(1-Överblick!C19),C13," ")</f>
        <v xml:space="preserve"> </v>
      </c>
      <c r="H13" s="3">
        <f>IF(C13&gt;D13*(1+Överblick!C19),C13," ")</f>
        <v>1577</v>
      </c>
      <c r="K13" s="29"/>
      <c r="L13" s="29"/>
      <c r="M13" s="29"/>
      <c r="N13" s="29"/>
    </row>
    <row r="14" spans="2:14" x14ac:dyDescent="0.3">
      <c r="B14" s="1" t="str">
        <f>Överblick!A20</f>
        <v>Kläder och accessoarer</v>
      </c>
      <c r="C14" s="15">
        <f>200+950+199</f>
        <v>1349</v>
      </c>
      <c r="D14" s="1">
        <f>Överblick!B20</f>
        <v>400</v>
      </c>
      <c r="E14" s="19">
        <f t="shared" si="0"/>
        <v>3.3725000000000001</v>
      </c>
      <c r="F14" s="20"/>
      <c r="G14" s="3" t="str">
        <f>IF(C14&lt;D14*(1-Överblick!C20),C14," ")</f>
        <v xml:space="preserve"> </v>
      </c>
      <c r="H14" s="3">
        <f>IF(C14&gt;D14*(1+Överblick!C20),C14," ")</f>
        <v>1349</v>
      </c>
      <c r="K14" s="29"/>
      <c r="L14" s="29"/>
      <c r="M14" s="29"/>
      <c r="N14" s="29"/>
    </row>
    <row r="15" spans="2:14" x14ac:dyDescent="0.3">
      <c r="B15" s="1" t="str">
        <f>Överblick!A21</f>
        <v>Utemat</v>
      </c>
      <c r="C15" s="15">
        <f>25+26+59+90+70+70+70+70+40+70+60+1/2*(210+38+38+230+34)</f>
        <v>925</v>
      </c>
      <c r="D15" s="1">
        <f>Överblick!B21</f>
        <v>250</v>
      </c>
      <c r="E15" s="19">
        <f t="shared" si="0"/>
        <v>3.7</v>
      </c>
      <c r="F15" s="20"/>
      <c r="G15" s="3" t="str">
        <f>IF(C15&lt;D15*(1-Överblick!C21),C15," ")</f>
        <v xml:space="preserve"> </v>
      </c>
      <c r="H15" s="3">
        <f>IF(C15&gt;D15*(1+Överblick!C21),C15," ")</f>
        <v>925</v>
      </c>
      <c r="K15" s="29"/>
      <c r="L15" s="29"/>
      <c r="M15" s="29"/>
      <c r="N15" s="29"/>
    </row>
    <row r="16" spans="2:14" x14ac:dyDescent="0.3">
      <c r="B16" s="1" t="str">
        <f>Överblick!A22</f>
        <v>Studiematerial</v>
      </c>
      <c r="C16" s="15">
        <f>95</f>
        <v>95</v>
      </c>
      <c r="D16" s="1">
        <f>Överblick!B22</f>
        <v>300</v>
      </c>
      <c r="E16" s="19">
        <f t="shared" si="0"/>
        <v>0.31666666666666665</v>
      </c>
      <c r="F16" s="20"/>
      <c r="G16" s="3">
        <f>IF(C16&lt;D16*(1-Överblick!C22),C16," ")</f>
        <v>95</v>
      </c>
      <c r="H16" s="3" t="str">
        <f>IF(C16&gt;D16*(1+Överblick!C22),C16," ")</f>
        <v xml:space="preserve"> </v>
      </c>
      <c r="K16" s="29"/>
      <c r="L16" s="29"/>
      <c r="M16" s="31"/>
      <c r="N16" s="29"/>
    </row>
    <row r="17" spans="2:14" x14ac:dyDescent="0.3">
      <c r="B17" s="1" t="str">
        <f>Överblick!A23</f>
        <v>Teknik och prylar</v>
      </c>
      <c r="C17" s="15">
        <f>99+49</f>
        <v>148</v>
      </c>
      <c r="D17" s="1">
        <f>Överblick!B23</f>
        <v>200</v>
      </c>
      <c r="E17" s="19">
        <f t="shared" si="0"/>
        <v>0.74</v>
      </c>
      <c r="F17" s="20"/>
      <c r="G17" s="3">
        <f>IF(C17&lt;D17*(1-Överblick!C23),C17," ")</f>
        <v>148</v>
      </c>
      <c r="H17" s="3" t="str">
        <f>IF(C17&gt;D17*(1+Överblick!C23),C17," ")</f>
        <v xml:space="preserve"> </v>
      </c>
      <c r="K17" s="29"/>
      <c r="L17" s="29"/>
      <c r="M17" s="31"/>
      <c r="N17" s="29"/>
    </row>
    <row r="18" spans="2:14" x14ac:dyDescent="0.3">
      <c r="B18" s="1" t="str">
        <f>Överblick!A24</f>
        <v>Dricka och aktiviteter</v>
      </c>
      <c r="C18" s="15">
        <f>175+50+59+59+1/2*(94)</f>
        <v>390</v>
      </c>
      <c r="D18" s="1">
        <f>Överblick!B24</f>
        <v>300</v>
      </c>
      <c r="E18" s="19">
        <f t="shared" si="0"/>
        <v>1.3</v>
      </c>
      <c r="F18" s="20"/>
      <c r="G18" s="3" t="str">
        <f>IF(C18&lt;D18*(1-Överblick!C24),C18," ")</f>
        <v xml:space="preserve"> </v>
      </c>
      <c r="H18" s="3">
        <f>IF(C18&gt;D18*(1+Överblick!C24),C18," ")</f>
        <v>390</v>
      </c>
      <c r="K18" s="29"/>
      <c r="L18" s="29"/>
      <c r="M18" s="31"/>
      <c r="N18" s="29"/>
    </row>
    <row r="19" spans="2:14" x14ac:dyDescent="0.3">
      <c r="B19" s="1" t="str">
        <f>Överblick!A25</f>
        <v>Hushåll</v>
      </c>
      <c r="C19" s="15">
        <f>1/2*(70)</f>
        <v>35</v>
      </c>
      <c r="D19" s="1">
        <f>Överblick!B25</f>
        <v>100</v>
      </c>
      <c r="E19" s="19">
        <f t="shared" si="0"/>
        <v>0.35</v>
      </c>
      <c r="F19" s="20"/>
      <c r="G19" s="3">
        <f>IF(C19&lt;D19*(1-Överblick!C25),C19," ")</f>
        <v>35</v>
      </c>
      <c r="H19" s="3" t="str">
        <f>IF(C19&gt;D19*(1+Överblick!C25),C19," ")</f>
        <v xml:space="preserve"> </v>
      </c>
      <c r="K19" s="29"/>
      <c r="L19" s="29"/>
      <c r="M19" s="29"/>
      <c r="N19" s="29"/>
    </row>
    <row r="20" spans="2:14" x14ac:dyDescent="0.3">
      <c r="B20" s="1" t="str">
        <f>Överblick!A26</f>
        <v>Transport</v>
      </c>
      <c r="C20" s="15">
        <f>91+223+300+158</f>
        <v>772</v>
      </c>
      <c r="D20" s="1">
        <f>Överblick!B26</f>
        <v>400</v>
      </c>
      <c r="E20" s="19">
        <f t="shared" si="0"/>
        <v>1.93</v>
      </c>
      <c r="F20" s="20"/>
      <c r="G20" s="3" t="str">
        <f>IF(C20&lt;D20*(1-Överblick!C26),C20," ")</f>
        <v xml:space="preserve"> </v>
      </c>
      <c r="H20" s="3">
        <f>IF(C20&gt;D20*(1+Överblick!C26),C20," ")</f>
        <v>772</v>
      </c>
      <c r="K20" s="31"/>
      <c r="L20" s="31"/>
      <c r="M20" s="31"/>
      <c r="N20" s="29"/>
    </row>
    <row r="21" spans="2:14" x14ac:dyDescent="0.3">
      <c r="B21" s="1" t="str">
        <f>Överblick!A27</f>
        <v>Sport och gym</v>
      </c>
      <c r="C21" s="15">
        <f>159+49</f>
        <v>208</v>
      </c>
      <c r="D21" s="1">
        <f>Överblick!B27</f>
        <v>250</v>
      </c>
      <c r="E21" s="19">
        <f t="shared" si="0"/>
        <v>0.83199999999999996</v>
      </c>
      <c r="F21" s="20"/>
      <c r="G21" s="3" t="str">
        <f>IF(C21&lt;D21*(1-Överblick!C27),C21," ")</f>
        <v xml:space="preserve"> </v>
      </c>
      <c r="H21" s="3" t="str">
        <f>IF(C21&gt;D21*(1+Överblick!C27),C21," ")</f>
        <v xml:space="preserve"> </v>
      </c>
      <c r="K21" s="29"/>
      <c r="L21" s="29"/>
      <c r="M21" s="29"/>
      <c r="N21" s="29"/>
    </row>
    <row r="22" spans="2:14" x14ac:dyDescent="0.3">
      <c r="B22" s="1" t="str">
        <f>Överblick!A28</f>
        <v>Date night</v>
      </c>
      <c r="C22" s="15"/>
      <c r="D22" s="1">
        <f>Överblick!B28</f>
        <v>300</v>
      </c>
      <c r="E22" s="19" t="str">
        <f t="shared" si="0"/>
        <v xml:space="preserve"> </v>
      </c>
      <c r="F22" s="20"/>
      <c r="G22" s="3">
        <f>IF(C22&lt;D22*(1-Överblick!C28),C22," ")</f>
        <v>0</v>
      </c>
      <c r="H22" s="3" t="str">
        <f>IF(C22&gt;D22*(1+Överblick!C28),C22," ")</f>
        <v xml:space="preserve"> </v>
      </c>
      <c r="K22" s="29"/>
      <c r="L22" s="29"/>
      <c r="M22" s="29"/>
      <c r="N22" s="29"/>
    </row>
    <row r="23" spans="2:14" x14ac:dyDescent="0.3">
      <c r="B23" s="1" t="str">
        <f>Överblick!A29</f>
        <v>Godis och snacks</v>
      </c>
      <c r="C23" s="15">
        <f>25+25+27+30+26+25</f>
        <v>158</v>
      </c>
      <c r="D23" s="25">
        <f>Överblick!B29</f>
        <v>150</v>
      </c>
      <c r="E23" s="26">
        <f t="shared" si="0"/>
        <v>1.0533333333333332</v>
      </c>
      <c r="F23" s="27"/>
      <c r="G23" s="3" t="str">
        <f>IF(C23&lt;D23*(1-Överblick!C29),C23," ")</f>
        <v xml:space="preserve"> </v>
      </c>
      <c r="H23" s="3" t="str">
        <f>IF(C23&gt;D23*(1+Överblick!C29),C23," ")</f>
        <v xml:space="preserve"> </v>
      </c>
      <c r="K23" s="29"/>
      <c r="L23" s="29"/>
      <c r="M23" s="29"/>
      <c r="N23" s="29"/>
    </row>
    <row r="24" spans="2:14" ht="15" thickBot="1" x14ac:dyDescent="0.35">
      <c r="B24" s="13" t="str">
        <f>Överblick!A30</f>
        <v>Övriga utgifter</v>
      </c>
      <c r="C24" s="21">
        <f>1317+1495+120+150+150-250-390+750+280+20+1995+4419+750+211+1/2*(300+54)</f>
        <v>11194</v>
      </c>
      <c r="D24" s="8">
        <f>Överblick!B30</f>
        <v>500</v>
      </c>
      <c r="E24" s="9">
        <f t="shared" si="0"/>
        <v>22.388000000000002</v>
      </c>
      <c r="F24" s="79" t="s">
        <v>5575</v>
      </c>
      <c r="G24" s="3" t="str">
        <f>IF(C24&lt;D24*(1-Överblick!C30),C24," ")</f>
        <v xml:space="preserve"> </v>
      </c>
      <c r="H24" s="3">
        <f>IF(C24&gt;D24*(1+Överblick!C30),C24," ")</f>
        <v>11194</v>
      </c>
      <c r="K24" s="29"/>
      <c r="L24" s="29"/>
      <c r="M24" s="29"/>
      <c r="N24" s="29"/>
    </row>
    <row r="25" spans="2:14" x14ac:dyDescent="0.3">
      <c r="B25" s="12" t="str">
        <f>Överblick!A31</f>
        <v>Totala utgifter</v>
      </c>
      <c r="C25" s="1">
        <f>SUM(C12:C24)</f>
        <v>17681</v>
      </c>
      <c r="D25" s="1">
        <f>Överblick!B31</f>
        <v>9400</v>
      </c>
      <c r="E25" s="28">
        <f>IFERROR(IF(C25/D25=0," ",C25/D25)," ")</f>
        <v>1.8809574468085106</v>
      </c>
      <c r="F25" s="28"/>
      <c r="K25" s="29"/>
      <c r="L25" s="29"/>
      <c r="M25" s="29"/>
      <c r="N25" s="29"/>
    </row>
    <row r="26" spans="2:14" x14ac:dyDescent="0.3">
      <c r="D26" s="29"/>
      <c r="E26" s="30"/>
      <c r="F26" s="30"/>
      <c r="G26" s="3" t="str">
        <f>IF(C27&gt;D27*(1+Överblick!C33),C27," ")</f>
        <v xml:space="preserve"> </v>
      </c>
      <c r="H26" s="3">
        <f>IF(C27&lt;D27*(1-Överblick!C33),C27," ")</f>
        <v>-15243</v>
      </c>
      <c r="K26" s="29"/>
      <c r="L26" s="29"/>
      <c r="M26" s="29"/>
      <c r="N26" s="29"/>
    </row>
    <row r="27" spans="2:14" ht="15" thickBot="1" x14ac:dyDescent="0.35">
      <c r="B27" s="33" t="s">
        <v>3</v>
      </c>
      <c r="C27" s="8">
        <f>ROUND(C8-C25,0)</f>
        <v>-15243</v>
      </c>
      <c r="D27" s="22">
        <f>Överblick!B33</f>
        <v>1544</v>
      </c>
      <c r="E27" s="14">
        <f>IFERROR(C27/D27," ")</f>
        <v>-9.8724093264248705</v>
      </c>
      <c r="F27" s="14"/>
      <c r="I27" s="29"/>
      <c r="J27" s="29"/>
      <c r="K27" s="29"/>
      <c r="L27" s="29"/>
      <c r="M27" s="29"/>
      <c r="N27" s="29"/>
    </row>
    <row r="28" spans="2:14" x14ac:dyDescent="0.3">
      <c r="I28" s="29"/>
      <c r="J28" s="29"/>
      <c r="K28" s="29"/>
      <c r="L28" s="29"/>
      <c r="M28" s="29"/>
      <c r="N28" s="29"/>
    </row>
    <row r="29" spans="2:14" x14ac:dyDescent="0.3">
      <c r="I29" s="29"/>
      <c r="J29" s="29"/>
      <c r="K29" s="29"/>
      <c r="L29" s="29"/>
      <c r="M29" s="29"/>
      <c r="N29" s="29"/>
    </row>
  </sheetData>
  <sheetProtection algorithmName="SHA-512" hashValue="54JLzAXlGyZWT6zCdmSvtly8gim1rjT7+ZAbxKrjpdvh7QzSvH8v/3Fb9klcPKTkSTulXCqP1c+7oBGRZSl2Ow==" saltValue="QFWV0NP2tRLR/gRAKkoasQ==" spinCount="100000" sheet="1" objects="1" scenarios="1"/>
  <conditionalFormatting sqref="E27 E5:E8 E12:E25">
    <cfRule type="cellIs" dxfId="20" priority="7" operator="between">
      <formula>$D$10</formula>
      <formula>$E$10</formula>
    </cfRule>
  </conditionalFormatting>
  <conditionalFormatting sqref="E5:E8 E27">
    <cfRule type="cellIs" dxfId="19" priority="3" operator="lessThan">
      <formula>$D$10</formula>
    </cfRule>
    <cfRule type="cellIs" dxfId="18" priority="4" operator="greaterThan">
      <formula>$E$10</formula>
    </cfRule>
  </conditionalFormatting>
  <conditionalFormatting sqref="E5:E8 E27 E12:E25">
    <cfRule type="beginsWith" dxfId="17" priority="2" operator="beginsWith" text=" ">
      <formula>LEFT(E5,LEN(" "))=" "</formula>
    </cfRule>
  </conditionalFormatting>
  <conditionalFormatting sqref="E12:E25">
    <cfRule type="cellIs" dxfId="16" priority="5" operator="greaterThan">
      <formula>$E$10</formula>
    </cfRule>
    <cfRule type="cellIs" dxfId="15" priority="6" operator="lessThan">
      <formula>$D$10</formula>
    </cfRule>
  </conditionalFormatting>
  <conditionalFormatting sqref="E1:E1048576">
    <cfRule type="cellIs" dxfId="14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DD9C-00FB-4454-8CC4-B45BD37282C5}">
  <sheetPr codeName="Sheet28">
    <tabColor rgb="FFFFC000"/>
  </sheetPr>
  <dimension ref="B1:N29"/>
  <sheetViews>
    <sheetView showGridLines="0" zoomScaleNormal="100" workbookViewId="0">
      <selection activeCell="A24" sqref="A24"/>
    </sheetView>
  </sheetViews>
  <sheetFormatPr defaultColWidth="8.88671875" defaultRowHeight="14.4" x14ac:dyDescent="0.3"/>
  <cols>
    <col min="1" max="1" width="10.88671875" style="3" customWidth="1"/>
    <col min="2" max="2" width="20" style="3" bestFit="1" customWidth="1"/>
    <col min="3" max="3" width="11" style="3" bestFit="1" customWidth="1"/>
    <col min="4" max="4" width="10.88671875" style="3" bestFit="1" customWidth="1"/>
    <col min="5" max="6" width="13" style="4" customWidth="1"/>
    <col min="7" max="8" width="9.77734375" style="3" bestFit="1" customWidth="1"/>
    <col min="9" max="9" width="11" style="3" customWidth="1"/>
    <col min="10" max="15" width="8.88671875" style="3"/>
    <col min="16" max="16" width="10.77734375" style="3" customWidth="1"/>
    <col min="17" max="16384" width="8.88671875" style="3"/>
  </cols>
  <sheetData>
    <row r="1" spans="2:14" x14ac:dyDescent="0.3">
      <c r="I1" s="32"/>
      <c r="J1" s="29"/>
      <c r="K1" s="29"/>
      <c r="L1" s="29"/>
      <c r="M1" s="29"/>
      <c r="N1" s="29"/>
    </row>
    <row r="2" spans="2:14" x14ac:dyDescent="0.3">
      <c r="I2" s="29"/>
      <c r="J2" s="29"/>
      <c r="K2" s="29"/>
      <c r="L2" s="29"/>
      <c r="M2" s="29"/>
      <c r="N2" s="29"/>
    </row>
    <row r="3" spans="2:14" x14ac:dyDescent="0.3">
      <c r="I3" s="29"/>
      <c r="J3" s="29"/>
      <c r="K3" s="29"/>
      <c r="L3" s="29"/>
      <c r="M3" s="29"/>
      <c r="N3" s="29"/>
    </row>
    <row r="4" spans="2:14" ht="15" thickBot="1" x14ac:dyDescent="0.35">
      <c r="B4" s="33" t="str">
        <f>Överblick!A10</f>
        <v>Inkomst</v>
      </c>
      <c r="C4" s="33" t="s">
        <v>11</v>
      </c>
      <c r="D4" s="34" t="s">
        <v>10</v>
      </c>
      <c r="E4" s="36" t="s">
        <v>37</v>
      </c>
      <c r="F4" s="36" t="s">
        <v>38</v>
      </c>
      <c r="G4" s="3" t="s">
        <v>12</v>
      </c>
      <c r="H4" s="3" t="s">
        <v>13</v>
      </c>
      <c r="K4" s="29"/>
      <c r="L4" s="29"/>
      <c r="M4" s="29"/>
      <c r="N4" s="29"/>
    </row>
    <row r="5" spans="2:14" x14ac:dyDescent="0.3">
      <c r="B5" s="2" t="str">
        <f>Överblick!A11</f>
        <v>CSN</v>
      </c>
      <c r="C5" s="15"/>
      <c r="D5" s="16">
        <f>Överblick!B11</f>
        <v>10444</v>
      </c>
      <c r="E5" s="17">
        <f>IFERROR(C5/D5," ")</f>
        <v>0</v>
      </c>
      <c r="F5" s="18"/>
      <c r="G5" s="3" t="str">
        <f>IF(C5&gt;D5*(1+Överblick!C11),C5," ")</f>
        <v xml:space="preserve"> </v>
      </c>
      <c r="H5" s="3">
        <f>IF(C5&lt;D5*(1-Överblick!C11),C5," ")</f>
        <v>0</v>
      </c>
      <c r="K5" s="29"/>
      <c r="L5" s="29"/>
      <c r="M5" s="29"/>
      <c r="N5" s="29"/>
    </row>
    <row r="6" spans="2:14" x14ac:dyDescent="0.3">
      <c r="B6" s="2" t="str">
        <f>Överblick!A12</f>
        <v>Lön</v>
      </c>
      <c r="C6" s="15">
        <f>-98+14360+1568</f>
        <v>15830</v>
      </c>
      <c r="D6" s="16">
        <f>Överblick!B12</f>
        <v>500</v>
      </c>
      <c r="E6" s="19">
        <f>IFERROR(C6/D6," ")</f>
        <v>31.66</v>
      </c>
      <c r="F6" s="20"/>
      <c r="G6" s="3">
        <f>IF(C6&gt;D6*(1+Överblick!C12),C6," ")</f>
        <v>15830</v>
      </c>
      <c r="H6" s="3" t="str">
        <f>IF(C6&lt;D6*(1-Överblick!C12),C6," ")</f>
        <v xml:space="preserve"> </v>
      </c>
      <c r="K6" s="29"/>
      <c r="L6" s="29"/>
      <c r="M6" s="29"/>
      <c r="N6" s="29"/>
    </row>
    <row r="7" spans="2:14" ht="15" thickBot="1" x14ac:dyDescent="0.35">
      <c r="B7" s="13" t="str">
        <f>Överblick!A13</f>
        <v>Övrig inkomst</v>
      </c>
      <c r="C7" s="21">
        <f>(830+220)/2</f>
        <v>525</v>
      </c>
      <c r="D7" s="22">
        <f>Överblick!B13</f>
        <v>0</v>
      </c>
      <c r="E7" s="14" t="str">
        <f>IFERROR(C7/D7," ")</f>
        <v xml:space="preserve"> </v>
      </c>
      <c r="F7" s="23"/>
      <c r="G7" s="3">
        <f>IF(C7&gt;D7*(1+Överblick!C13),C7," ")</f>
        <v>525</v>
      </c>
      <c r="H7" s="3" t="str">
        <f>IF(C7&lt;D7*(1-Överblick!C13),C7," ")</f>
        <v xml:space="preserve"> </v>
      </c>
      <c r="K7" s="29"/>
      <c r="L7" s="29"/>
      <c r="M7" s="29"/>
      <c r="N7" s="29"/>
    </row>
    <row r="8" spans="2:14" x14ac:dyDescent="0.3">
      <c r="B8" s="2" t="str">
        <f>Överblick!A14</f>
        <v>Total inkomst</v>
      </c>
      <c r="C8" s="24">
        <f>SUM(C5:C7)</f>
        <v>16355</v>
      </c>
      <c r="D8" s="16">
        <f>Överblick!B14</f>
        <v>10944</v>
      </c>
      <c r="E8" s="17">
        <f>IFERROR(C8/D8," ")</f>
        <v>1.4944261695906433</v>
      </c>
      <c r="F8" s="17"/>
      <c r="K8" s="29"/>
      <c r="L8" s="29"/>
      <c r="M8" s="29"/>
      <c r="N8" s="29"/>
    </row>
    <row r="9" spans="2:14" x14ac:dyDescent="0.3">
      <c r="B9" s="29"/>
      <c r="K9" s="29"/>
      <c r="L9" s="29"/>
      <c r="M9" s="29"/>
      <c r="N9" s="29"/>
    </row>
    <row r="10" spans="2:14" x14ac:dyDescent="0.3">
      <c r="D10" s="4">
        <v>0.75</v>
      </c>
      <c r="E10" s="4">
        <v>1.25</v>
      </c>
      <c r="K10" s="29"/>
      <c r="L10" s="29"/>
      <c r="M10" s="29"/>
      <c r="N10" s="29"/>
    </row>
    <row r="11" spans="2:14" ht="15" thickBot="1" x14ac:dyDescent="0.35">
      <c r="B11" s="33" t="s">
        <v>9</v>
      </c>
      <c r="C11" s="33" t="s">
        <v>11</v>
      </c>
      <c r="D11" s="34" t="s">
        <v>10</v>
      </c>
      <c r="E11" s="35" t="s">
        <v>37</v>
      </c>
      <c r="F11" s="35" t="s">
        <v>38</v>
      </c>
      <c r="G11" s="3" t="s">
        <v>12</v>
      </c>
      <c r="H11" s="3" t="s">
        <v>13</v>
      </c>
      <c r="K11" s="29"/>
      <c r="L11" s="29"/>
      <c r="M11" s="29"/>
      <c r="N11" s="29"/>
    </row>
    <row r="12" spans="2:14" x14ac:dyDescent="0.3">
      <c r="B12" s="1" t="str">
        <f>Överblick!A18</f>
        <v>Hyra</v>
      </c>
      <c r="C12" s="15">
        <v>830</v>
      </c>
      <c r="D12" s="1">
        <f>Överblick!B18</f>
        <v>5000</v>
      </c>
      <c r="E12" s="19">
        <f>IFERROR(IF(C12/D12=0," ",C12/D12)," ")</f>
        <v>0.16600000000000001</v>
      </c>
      <c r="F12" s="18"/>
      <c r="G12" s="3">
        <f>IF(C12&lt;D12*(1-Överblick!C18),C12," ")</f>
        <v>830</v>
      </c>
      <c r="H12" s="3" t="str">
        <f>IF(C12&gt;D12*(1+Överblick!C18),C12," ")</f>
        <v xml:space="preserve"> </v>
      </c>
      <c r="K12" s="29"/>
      <c r="L12" s="29"/>
      <c r="M12" s="29"/>
      <c r="N12" s="29"/>
    </row>
    <row r="13" spans="2:14" x14ac:dyDescent="0.3">
      <c r="B13" s="1" t="str">
        <f>Överblick!A19</f>
        <v>Mat/förbrukningsvaror</v>
      </c>
      <c r="C13" s="15">
        <f>32+98-20+70+1/2*(30+74+211)</f>
        <v>337.5</v>
      </c>
      <c r="D13" s="1">
        <f>Överblick!B19</f>
        <v>1250</v>
      </c>
      <c r="E13" s="19">
        <f t="shared" ref="E13:E24" si="0">IFERROR(IF(C13/D13=0," ",C13/D13)," ")</f>
        <v>0.27</v>
      </c>
      <c r="F13" s="20"/>
      <c r="G13" s="3">
        <f>IF(C13&lt;D13*(1-Överblick!C19),C13," ")</f>
        <v>337.5</v>
      </c>
      <c r="H13" s="3" t="str">
        <f>IF(C13&gt;D13*(1+Överblick!C19),C13," ")</f>
        <v xml:space="preserve"> </v>
      </c>
      <c r="K13" s="29"/>
      <c r="L13" s="29"/>
      <c r="M13" s="29"/>
      <c r="N13" s="29"/>
    </row>
    <row r="14" spans="2:14" x14ac:dyDescent="0.3">
      <c r="B14" s="1" t="str">
        <f>Överblick!A20</f>
        <v>Kläder och accessoarer</v>
      </c>
      <c r="C14" s="15"/>
      <c r="D14" s="1">
        <f>Överblick!B20</f>
        <v>400</v>
      </c>
      <c r="E14" s="19" t="str">
        <f t="shared" si="0"/>
        <v xml:space="preserve"> </v>
      </c>
      <c r="F14" s="20"/>
      <c r="G14" s="3">
        <f>IF(C14&lt;D14*(1-Överblick!C20),C14," ")</f>
        <v>0</v>
      </c>
      <c r="H14" s="3" t="str">
        <f>IF(C14&gt;D14*(1+Överblick!C20),C14," ")</f>
        <v xml:space="preserve"> </v>
      </c>
      <c r="K14" s="29"/>
      <c r="L14" s="29"/>
      <c r="M14" s="29"/>
      <c r="N14" s="29"/>
    </row>
    <row r="15" spans="2:14" x14ac:dyDescent="0.3">
      <c r="B15" s="1" t="str">
        <f>Överblick!A21</f>
        <v>Utemat</v>
      </c>
      <c r="C15" s="15">
        <f>80+65+95+90+65+95+75+190+56+70-50+89+80+80+115+105+65+1/2*(492+250+30)</f>
        <v>1751</v>
      </c>
      <c r="D15" s="1">
        <f>Överblick!B21</f>
        <v>250</v>
      </c>
      <c r="E15" s="19">
        <f t="shared" si="0"/>
        <v>7.0039999999999996</v>
      </c>
      <c r="F15" s="20"/>
      <c r="G15" s="3" t="str">
        <f>IF(C15&lt;D15*(1-Överblick!C21),C15," ")</f>
        <v xml:space="preserve"> </v>
      </c>
      <c r="H15" s="3">
        <f>IF(C15&gt;D15*(1+Överblick!C21),C15," ")</f>
        <v>1751</v>
      </c>
      <c r="K15" s="29"/>
      <c r="L15" s="29"/>
      <c r="M15" s="29"/>
      <c r="N15" s="29"/>
    </row>
    <row r="16" spans="2:14" x14ac:dyDescent="0.3">
      <c r="B16" s="1" t="str">
        <f>Överblick!A22</f>
        <v>Studiematerial</v>
      </c>
      <c r="C16" s="15"/>
      <c r="D16" s="1">
        <f>Överblick!B22</f>
        <v>300</v>
      </c>
      <c r="E16" s="19" t="str">
        <f t="shared" si="0"/>
        <v xml:space="preserve"> </v>
      </c>
      <c r="F16" s="20"/>
      <c r="G16" s="3">
        <f>IF(C16&lt;D16*(1-Överblick!C22),C16," ")</f>
        <v>0</v>
      </c>
      <c r="H16" s="3" t="str">
        <f>IF(C16&gt;D16*(1+Överblick!C22),C16," ")</f>
        <v xml:space="preserve"> </v>
      </c>
      <c r="K16" s="29"/>
      <c r="L16" s="29"/>
      <c r="M16" s="31"/>
      <c r="N16" s="29"/>
    </row>
    <row r="17" spans="2:14" x14ac:dyDescent="0.3">
      <c r="B17" s="1" t="str">
        <f>Överblick!A23</f>
        <v>Teknik och prylar</v>
      </c>
      <c r="C17" s="15">
        <f>99+93+49</f>
        <v>241</v>
      </c>
      <c r="D17" s="1">
        <f>Överblick!B23</f>
        <v>200</v>
      </c>
      <c r="E17" s="19">
        <f t="shared" si="0"/>
        <v>1.2050000000000001</v>
      </c>
      <c r="F17" s="20"/>
      <c r="G17" s="3" t="str">
        <f>IF(C17&lt;D17*(1-Överblick!C23),C17," ")</f>
        <v xml:space="preserve"> </v>
      </c>
      <c r="H17" s="3" t="str">
        <f>IF(C17&gt;D17*(1+Överblick!C23),C17," ")</f>
        <v xml:space="preserve"> </v>
      </c>
      <c r="K17" s="29"/>
      <c r="L17" s="29"/>
      <c r="M17" s="31"/>
      <c r="N17" s="29"/>
    </row>
    <row r="18" spans="2:14" x14ac:dyDescent="0.3">
      <c r="B18" s="1" t="str">
        <f>Överblick!A24</f>
        <v>Dricka och aktiviteter</v>
      </c>
      <c r="C18" s="15">
        <f>121</f>
        <v>121</v>
      </c>
      <c r="D18" s="1">
        <f>Överblick!B24</f>
        <v>300</v>
      </c>
      <c r="E18" s="19">
        <f t="shared" si="0"/>
        <v>0.40333333333333332</v>
      </c>
      <c r="F18" s="20"/>
      <c r="G18" s="3">
        <f>IF(C18&lt;D18*(1-Överblick!C24),C18," ")</f>
        <v>121</v>
      </c>
      <c r="H18" s="3" t="str">
        <f>IF(C18&gt;D18*(1+Överblick!C24),C18," ")</f>
        <v xml:space="preserve"> </v>
      </c>
      <c r="K18" s="29"/>
      <c r="L18" s="29"/>
      <c r="M18" s="31"/>
      <c r="N18" s="29"/>
    </row>
    <row r="19" spans="2:14" x14ac:dyDescent="0.3">
      <c r="B19" s="1" t="str">
        <f>Överblick!A25</f>
        <v>Hushåll</v>
      </c>
      <c r="C19" s="15">
        <f>70+1/2*(40)</f>
        <v>90</v>
      </c>
      <c r="D19" s="1">
        <f>Överblick!B25</f>
        <v>100</v>
      </c>
      <c r="E19" s="19">
        <f t="shared" si="0"/>
        <v>0.9</v>
      </c>
      <c r="F19" s="20"/>
      <c r="G19" s="3" t="str">
        <f>IF(C19&lt;D19*(1-Överblick!C25),C19," ")</f>
        <v xml:space="preserve"> </v>
      </c>
      <c r="H19" s="3" t="str">
        <f>IF(C19&gt;D19*(1+Överblick!C25),C19," ")</f>
        <v xml:space="preserve"> </v>
      </c>
      <c r="K19" s="29"/>
      <c r="L19" s="29"/>
      <c r="M19" s="29"/>
      <c r="N19" s="29"/>
    </row>
    <row r="20" spans="2:14" x14ac:dyDescent="0.3">
      <c r="B20" s="1" t="str">
        <f>Överblick!A26</f>
        <v>Transport</v>
      </c>
      <c r="C20" s="15">
        <f>1800+128+200+202+192</f>
        <v>2522</v>
      </c>
      <c r="D20" s="1">
        <f>Överblick!B26</f>
        <v>400</v>
      </c>
      <c r="E20" s="19">
        <f t="shared" si="0"/>
        <v>6.3049999999999997</v>
      </c>
      <c r="F20" s="20"/>
      <c r="G20" s="3" t="str">
        <f>IF(C20&lt;D20*(1-Överblick!C26),C20," ")</f>
        <v xml:space="preserve"> </v>
      </c>
      <c r="H20" s="3">
        <f>IF(C20&gt;D20*(1+Överblick!C26),C20," ")</f>
        <v>2522</v>
      </c>
      <c r="K20" s="31"/>
      <c r="L20" s="31"/>
      <c r="M20" s="31"/>
      <c r="N20" s="29"/>
    </row>
    <row r="21" spans="2:14" x14ac:dyDescent="0.3">
      <c r="B21" s="1" t="str">
        <f>Överblick!A27</f>
        <v>Sport och gym</v>
      </c>
      <c r="C21" s="15"/>
      <c r="D21" s="1">
        <f>Överblick!B27</f>
        <v>250</v>
      </c>
      <c r="E21" s="19" t="str">
        <f t="shared" si="0"/>
        <v xml:space="preserve"> </v>
      </c>
      <c r="F21" s="20"/>
      <c r="G21" s="3">
        <f>IF(C21&lt;D21*(1-Överblick!C27),C21," ")</f>
        <v>0</v>
      </c>
      <c r="H21" s="3" t="str">
        <f>IF(C21&gt;D21*(1+Överblick!C27),C21," ")</f>
        <v xml:space="preserve"> </v>
      </c>
      <c r="K21" s="29"/>
      <c r="L21" s="29"/>
      <c r="M21" s="29"/>
      <c r="N21" s="29"/>
    </row>
    <row r="22" spans="2:14" x14ac:dyDescent="0.3">
      <c r="B22" s="1" t="str">
        <f>Överblick!A28</f>
        <v>Date night</v>
      </c>
      <c r="C22" s="15">
        <f>420/2</f>
        <v>210</v>
      </c>
      <c r="D22" s="1">
        <f>Överblick!B28</f>
        <v>300</v>
      </c>
      <c r="E22" s="19">
        <f t="shared" si="0"/>
        <v>0.7</v>
      </c>
      <c r="F22" s="20"/>
      <c r="G22" s="3">
        <f>IF(C22&lt;D22*(1-Överblick!C28),C22," ")</f>
        <v>210</v>
      </c>
      <c r="H22" s="3" t="str">
        <f>IF(C22&gt;D22*(1+Överblick!C28),C22," ")</f>
        <v xml:space="preserve"> </v>
      </c>
      <c r="K22" s="29"/>
      <c r="L22" s="29"/>
      <c r="M22" s="29"/>
      <c r="N22" s="29"/>
    </row>
    <row r="23" spans="2:14" x14ac:dyDescent="0.3">
      <c r="B23" s="1" t="str">
        <f>Överblick!A29</f>
        <v>Godis och snacks</v>
      </c>
      <c r="C23" s="15">
        <f>22+15+22+18+25+56+20+50</f>
        <v>228</v>
      </c>
      <c r="D23" s="25">
        <f>Överblick!B29</f>
        <v>150</v>
      </c>
      <c r="E23" s="26">
        <f t="shared" si="0"/>
        <v>1.52</v>
      </c>
      <c r="F23" s="27"/>
      <c r="G23" s="3" t="str">
        <f>IF(C23&lt;D23*(1-Överblick!C29),C23," ")</f>
        <v xml:space="preserve"> </v>
      </c>
      <c r="H23" s="3">
        <f>IF(C23&gt;D23*(1+Överblick!C29),C23," ")</f>
        <v>228</v>
      </c>
      <c r="K23" s="29"/>
      <c r="L23" s="29"/>
      <c r="M23" s="29"/>
      <c r="N23" s="29"/>
    </row>
    <row r="24" spans="2:14" ht="15" thickBot="1" x14ac:dyDescent="0.35">
      <c r="B24" s="13" t="str">
        <f>Överblick!A30</f>
        <v>Övriga utgifter</v>
      </c>
      <c r="C24" s="21">
        <f>250+1725+641+35+221+400-36+550-80+550+105-95+60+65+1/2*(1290+25+55+50)</f>
        <v>5101</v>
      </c>
      <c r="D24" s="8">
        <f>Överblick!B30</f>
        <v>500</v>
      </c>
      <c r="E24" s="9">
        <f t="shared" si="0"/>
        <v>10.202</v>
      </c>
      <c r="F24" s="79"/>
      <c r="G24" s="3" t="str">
        <f>IF(C24&lt;D24*(1-Överblick!C30),C24," ")</f>
        <v xml:space="preserve"> </v>
      </c>
      <c r="H24" s="3">
        <f>IF(C24&gt;D24*(1+Överblick!C30),C24," ")</f>
        <v>5101</v>
      </c>
      <c r="K24" s="29"/>
      <c r="L24" s="29"/>
      <c r="M24" s="29"/>
      <c r="N24" s="29"/>
    </row>
    <row r="25" spans="2:14" x14ac:dyDescent="0.3">
      <c r="B25" s="12" t="str">
        <f>Överblick!A31</f>
        <v>Totala utgifter</v>
      </c>
      <c r="C25" s="1">
        <f>SUM(C12:C24)</f>
        <v>11431.5</v>
      </c>
      <c r="D25" s="1">
        <f>Överblick!B31</f>
        <v>9400</v>
      </c>
      <c r="E25" s="28">
        <f>IFERROR(IF(C25/D25=0," ",C25/D25)," ")</f>
        <v>1.2161170212765957</v>
      </c>
      <c r="F25" s="28"/>
      <c r="K25" s="29"/>
      <c r="L25" s="29"/>
      <c r="M25" s="29"/>
      <c r="N25" s="29"/>
    </row>
    <row r="26" spans="2:14" x14ac:dyDescent="0.3">
      <c r="D26" s="29"/>
      <c r="E26" s="30"/>
      <c r="F26" s="30"/>
      <c r="G26" s="3">
        <f>IF(C27&gt;D27*(1+Överblick!C33),C27," ")</f>
        <v>4924</v>
      </c>
      <c r="H26" s="3" t="str">
        <f>IF(C27&lt;D27*(1-Överblick!C33),C27," ")</f>
        <v xml:space="preserve"> </v>
      </c>
      <c r="K26" s="29"/>
      <c r="L26" s="29"/>
      <c r="M26" s="29"/>
      <c r="N26" s="29"/>
    </row>
    <row r="27" spans="2:14" ht="15" thickBot="1" x14ac:dyDescent="0.35">
      <c r="B27" s="33" t="s">
        <v>3</v>
      </c>
      <c r="C27" s="8">
        <f>ROUND(C8-C25,0)</f>
        <v>4924</v>
      </c>
      <c r="D27" s="22">
        <f>Överblick!B33</f>
        <v>1544</v>
      </c>
      <c r="E27" s="14">
        <f>IFERROR(C27/D27," ")</f>
        <v>3.1891191709844557</v>
      </c>
      <c r="F27" s="14"/>
      <c r="I27" s="29"/>
      <c r="J27" s="29"/>
      <c r="K27" s="29"/>
      <c r="L27" s="29"/>
      <c r="M27" s="29"/>
      <c r="N27" s="29"/>
    </row>
    <row r="28" spans="2:14" x14ac:dyDescent="0.3">
      <c r="I28" s="29"/>
      <c r="J28" s="29"/>
      <c r="K28" s="29"/>
      <c r="L28" s="29"/>
      <c r="M28" s="29"/>
      <c r="N28" s="29"/>
    </row>
    <row r="29" spans="2:14" x14ac:dyDescent="0.3">
      <c r="I29" s="29"/>
      <c r="J29" s="29"/>
      <c r="K29" s="29"/>
      <c r="L29" s="29"/>
      <c r="M29" s="29"/>
      <c r="N29" s="29"/>
    </row>
  </sheetData>
  <sheetProtection algorithmName="SHA-512" hashValue="54JLzAXlGyZWT6zCdmSvtly8gim1rjT7+ZAbxKrjpdvh7QzSvH8v/3Fb9klcPKTkSTulXCqP1c+7oBGRZSl2Ow==" saltValue="QFWV0NP2tRLR/gRAKkoasQ==" spinCount="100000" sheet="1" objects="1" scenarios="1"/>
  <conditionalFormatting sqref="E27 E5:E8 E12:E25">
    <cfRule type="cellIs" dxfId="13" priority="7" operator="between">
      <formula>$D$10</formula>
      <formula>$E$10</formula>
    </cfRule>
  </conditionalFormatting>
  <conditionalFormatting sqref="E5:E8 E27">
    <cfRule type="cellIs" dxfId="12" priority="3" operator="lessThan">
      <formula>$D$10</formula>
    </cfRule>
    <cfRule type="cellIs" dxfId="11" priority="4" operator="greaterThan">
      <formula>$E$10</formula>
    </cfRule>
  </conditionalFormatting>
  <conditionalFormatting sqref="E5:E8 E27 E12:E25">
    <cfRule type="beginsWith" dxfId="10" priority="2" operator="beginsWith" text=" ">
      <formula>LEFT(E5,LEN(" "))=" "</formula>
    </cfRule>
  </conditionalFormatting>
  <conditionalFormatting sqref="E12:E25">
    <cfRule type="cellIs" dxfId="9" priority="5" operator="greaterThan">
      <formula>$E$10</formula>
    </cfRule>
    <cfRule type="cellIs" dxfId="8" priority="6" operator="lessThan">
      <formula>$D$10</formula>
    </cfRule>
  </conditionalFormatting>
  <conditionalFormatting sqref="E1:E1048576">
    <cfRule type="cellIs" dxfId="7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7829A-B84D-483E-9874-3EDBB54317F6}">
  <sheetPr codeName="Sheet29">
    <tabColor rgb="FFFFC000"/>
  </sheetPr>
  <dimension ref="B1:N29"/>
  <sheetViews>
    <sheetView showGridLines="0" tabSelected="1" zoomScaleNormal="100" workbookViewId="0">
      <selection activeCell="C7" sqref="C7"/>
    </sheetView>
  </sheetViews>
  <sheetFormatPr defaultColWidth="8.88671875" defaultRowHeight="14.4" x14ac:dyDescent="0.3"/>
  <cols>
    <col min="1" max="1" width="10.88671875" style="3" customWidth="1"/>
    <col min="2" max="2" width="20" style="3" bestFit="1" customWidth="1"/>
    <col min="3" max="3" width="11" style="3" bestFit="1" customWidth="1"/>
    <col min="4" max="4" width="10.88671875" style="3" bestFit="1" customWidth="1"/>
    <col min="5" max="6" width="13" style="4" customWidth="1"/>
    <col min="7" max="8" width="9.77734375" style="3" bestFit="1" customWidth="1"/>
    <col min="9" max="9" width="11" style="3" customWidth="1"/>
    <col min="10" max="15" width="8.88671875" style="3"/>
    <col min="16" max="16" width="10.77734375" style="3" customWidth="1"/>
    <col min="17" max="16384" width="8.88671875" style="3"/>
  </cols>
  <sheetData>
    <row r="1" spans="2:14" x14ac:dyDescent="0.3">
      <c r="I1" s="32"/>
      <c r="J1" s="29"/>
      <c r="K1" s="29"/>
      <c r="L1" s="29"/>
      <c r="M1" s="29"/>
      <c r="N1" s="29"/>
    </row>
    <row r="2" spans="2:14" x14ac:dyDescent="0.3">
      <c r="I2" s="29"/>
      <c r="J2" s="29"/>
      <c r="K2" s="29"/>
      <c r="L2" s="29"/>
      <c r="M2" s="29"/>
      <c r="N2" s="29"/>
    </row>
    <row r="3" spans="2:14" x14ac:dyDescent="0.3">
      <c r="I3" s="29"/>
      <c r="J3" s="29"/>
      <c r="K3" s="29"/>
      <c r="L3" s="29"/>
      <c r="M3" s="29"/>
      <c r="N3" s="29"/>
    </row>
    <row r="4" spans="2:14" ht="15" thickBot="1" x14ac:dyDescent="0.35">
      <c r="B4" s="33" t="str">
        <f>Överblick!A10</f>
        <v>Inkomst</v>
      </c>
      <c r="C4" s="33" t="s">
        <v>11</v>
      </c>
      <c r="D4" s="34" t="s">
        <v>10</v>
      </c>
      <c r="E4" s="36" t="s">
        <v>37</v>
      </c>
      <c r="F4" s="36" t="s">
        <v>38</v>
      </c>
      <c r="G4" s="3" t="s">
        <v>12</v>
      </c>
      <c r="H4" s="3" t="s">
        <v>13</v>
      </c>
      <c r="K4" s="29"/>
      <c r="L4" s="29"/>
      <c r="M4" s="29"/>
      <c r="N4" s="29"/>
    </row>
    <row r="5" spans="2:14" x14ac:dyDescent="0.3">
      <c r="B5" s="2" t="str">
        <f>Överblick!A11</f>
        <v>CSN</v>
      </c>
      <c r="C5" s="15">
        <v>16100</v>
      </c>
      <c r="D5" s="16">
        <f>Överblick!B11</f>
        <v>10444</v>
      </c>
      <c r="E5" s="17">
        <f>IFERROR(C5/D5," ")</f>
        <v>1.5415549597855227</v>
      </c>
      <c r="F5" s="18"/>
      <c r="G5" s="3">
        <f>IF(C5&gt;D5*(1+Överblick!C11),C5," ")</f>
        <v>16100</v>
      </c>
      <c r="H5" s="3" t="str">
        <f>IF(C5&lt;D5*(1-Överblick!C11),C5," ")</f>
        <v xml:space="preserve"> </v>
      </c>
      <c r="K5" s="29"/>
      <c r="L5" s="29"/>
      <c r="M5" s="29"/>
      <c r="N5" s="29"/>
    </row>
    <row r="6" spans="2:14" x14ac:dyDescent="0.3">
      <c r="B6" s="2" t="str">
        <f>Överblick!A12</f>
        <v>Lön</v>
      </c>
      <c r="C6" s="15">
        <v>17897</v>
      </c>
      <c r="D6" s="16">
        <f>Överblick!B12</f>
        <v>500</v>
      </c>
      <c r="E6" s="19">
        <f>IFERROR(C6/D6," ")</f>
        <v>35.793999999999997</v>
      </c>
      <c r="F6" s="20"/>
      <c r="G6" s="3">
        <f>IF(C6&gt;D6*(1+Överblick!C12),C6," ")</f>
        <v>17897</v>
      </c>
      <c r="H6" s="3" t="str">
        <f>IF(C6&lt;D6*(1-Överblick!C12),C6," ")</f>
        <v xml:space="preserve"> </v>
      </c>
      <c r="K6" s="29"/>
      <c r="L6" s="29"/>
      <c r="M6" s="29"/>
      <c r="N6" s="29"/>
    </row>
    <row r="7" spans="2:14" ht="15" thickBot="1" x14ac:dyDescent="0.35">
      <c r="B7" s="13" t="str">
        <f>Överblick!A13</f>
        <v>Övrig inkomst</v>
      </c>
      <c r="C7" s="21"/>
      <c r="D7" s="22">
        <f>Överblick!B13</f>
        <v>0</v>
      </c>
      <c r="E7" s="14" t="str">
        <f>IFERROR(C7/D7," ")</f>
        <v xml:space="preserve"> </v>
      </c>
      <c r="F7" s="23"/>
      <c r="G7" s="3" t="str">
        <f>IF(C7&gt;D7*(1+Överblick!C13),C7," ")</f>
        <v xml:space="preserve"> </v>
      </c>
      <c r="H7" s="3" t="str">
        <f>IF(C7&lt;D7*(1-Överblick!C13),C7," ")</f>
        <v xml:space="preserve"> </v>
      </c>
      <c r="K7" s="29"/>
      <c r="L7" s="29"/>
      <c r="M7" s="29"/>
      <c r="N7" s="29"/>
    </row>
    <row r="8" spans="2:14" x14ac:dyDescent="0.3">
      <c r="B8" s="2" t="str">
        <f>Överblick!A14</f>
        <v>Total inkomst</v>
      </c>
      <c r="C8" s="24">
        <f>SUM(C5:C7)</f>
        <v>33997</v>
      </c>
      <c r="D8" s="16">
        <f>Överblick!B14</f>
        <v>10944</v>
      </c>
      <c r="E8" s="17">
        <f>IFERROR(C8/D8," ")</f>
        <v>3.1064510233918128</v>
      </c>
      <c r="F8" s="17"/>
      <c r="K8" s="29"/>
      <c r="L8" s="29"/>
      <c r="M8" s="29"/>
      <c r="N8" s="29"/>
    </row>
    <row r="9" spans="2:14" x14ac:dyDescent="0.3">
      <c r="B9" s="29"/>
      <c r="K9" s="29"/>
      <c r="L9" s="29"/>
      <c r="M9" s="29"/>
      <c r="N9" s="29"/>
    </row>
    <row r="10" spans="2:14" x14ac:dyDescent="0.3">
      <c r="D10" s="4">
        <v>0.75</v>
      </c>
      <c r="E10" s="4">
        <v>1.25</v>
      </c>
      <c r="K10" s="29"/>
      <c r="L10" s="29"/>
      <c r="M10" s="29"/>
      <c r="N10" s="29"/>
    </row>
    <row r="11" spans="2:14" ht="15" thickBot="1" x14ac:dyDescent="0.35">
      <c r="B11" s="33" t="s">
        <v>9</v>
      </c>
      <c r="C11" s="33" t="s">
        <v>11</v>
      </c>
      <c r="D11" s="34" t="s">
        <v>10</v>
      </c>
      <c r="E11" s="35" t="s">
        <v>37</v>
      </c>
      <c r="F11" s="35" t="s">
        <v>38</v>
      </c>
      <c r="G11" s="3" t="s">
        <v>12</v>
      </c>
      <c r="H11" s="3" t="s">
        <v>13</v>
      </c>
      <c r="K11" s="29"/>
      <c r="L11" s="29"/>
      <c r="M11" s="29"/>
      <c r="N11" s="29"/>
    </row>
    <row r="12" spans="2:14" x14ac:dyDescent="0.3">
      <c r="B12" s="1" t="str">
        <f>Överblick!A18</f>
        <v>Hyra</v>
      </c>
      <c r="C12" s="15">
        <f>7500+1054-350-350</f>
        <v>7854</v>
      </c>
      <c r="D12" s="1">
        <f>Överblick!B18</f>
        <v>5000</v>
      </c>
      <c r="E12" s="19">
        <f>IFERROR(IF(C12/D12=0," ",C12/D12)," ")</f>
        <v>1.5708</v>
      </c>
      <c r="F12" s="18"/>
      <c r="G12" s="3" t="str">
        <f>IF(C12&lt;D12*(1-Överblick!C18),C12," ")</f>
        <v xml:space="preserve"> </v>
      </c>
      <c r="H12" s="3">
        <f>IF(C12&gt;D12*(1+Överblick!C18),C12," ")</f>
        <v>7854</v>
      </c>
      <c r="K12" s="29"/>
      <c r="L12" s="29"/>
      <c r="M12" s="29"/>
      <c r="N12" s="29"/>
    </row>
    <row r="13" spans="2:14" x14ac:dyDescent="0.3">
      <c r="B13" s="1" t="str">
        <f>Överblick!A19</f>
        <v>Mat/förbrukningsvaror</v>
      </c>
      <c r="C13" s="15">
        <f>69+139+135+75+117+25+172+80/2+80/2+110/2</f>
        <v>867</v>
      </c>
      <c r="D13" s="1">
        <f>Överblick!B19</f>
        <v>1250</v>
      </c>
      <c r="E13" s="19">
        <f t="shared" ref="E13:E24" si="0">IFERROR(IF(C13/D13=0," ",C13/D13)," ")</f>
        <v>0.69359999999999999</v>
      </c>
      <c r="F13" s="20"/>
      <c r="G13" s="3">
        <f>IF(C13&lt;D13*(1-Överblick!C19),C13," ")</f>
        <v>867</v>
      </c>
      <c r="H13" s="3" t="str">
        <f>IF(C13&gt;D13*(1+Överblick!C19),C13," ")</f>
        <v xml:space="preserve"> </v>
      </c>
      <c r="K13" s="29"/>
      <c r="L13" s="29"/>
      <c r="M13" s="29"/>
      <c r="N13" s="29"/>
    </row>
    <row r="14" spans="2:14" x14ac:dyDescent="0.3">
      <c r="B14" s="1" t="str">
        <f>Överblick!A20</f>
        <v>Kläder och accessoarer</v>
      </c>
      <c r="C14" s="15">
        <f>272+130+409+256+144+235+165+20</f>
        <v>1631</v>
      </c>
      <c r="D14" s="1">
        <f>Överblick!B20</f>
        <v>400</v>
      </c>
      <c r="E14" s="19">
        <f t="shared" si="0"/>
        <v>4.0774999999999997</v>
      </c>
      <c r="F14" s="20"/>
      <c r="G14" s="3" t="str">
        <f>IF(C14&lt;D14*(1-Överblick!C20),C14," ")</f>
        <v xml:space="preserve"> </v>
      </c>
      <c r="H14" s="3">
        <f>IF(C14&gt;D14*(1+Överblick!C20),C14," ")</f>
        <v>1631</v>
      </c>
      <c r="K14" s="29"/>
      <c r="L14" s="29"/>
      <c r="M14" s="29"/>
      <c r="N14" s="29"/>
    </row>
    <row r="15" spans="2:14" x14ac:dyDescent="0.3">
      <c r="B15" s="1" t="str">
        <f>Överblick!A21</f>
        <v>Utemat</v>
      </c>
      <c r="C15" s="15">
        <f>22+71+18+174/2+210/2+142/2+289/2+54/2+28/2+246/2+224/2+224/2+190/2+340/2+26/2+244/2+7.5*(2+4+7)*20</f>
        <v>3256.5</v>
      </c>
      <c r="D15" s="1">
        <f>Överblick!B21</f>
        <v>250</v>
      </c>
      <c r="E15" s="19">
        <f t="shared" si="0"/>
        <v>13.026</v>
      </c>
      <c r="F15" s="20"/>
      <c r="G15" s="3" t="str">
        <f>IF(C15&lt;D15*(1-Överblick!C21),C15," ")</f>
        <v xml:space="preserve"> </v>
      </c>
      <c r="H15" s="3">
        <f>IF(C15&gt;D15*(1+Överblick!C21),C15," ")</f>
        <v>3256.5</v>
      </c>
      <c r="K15" s="29"/>
      <c r="L15" s="29"/>
      <c r="M15" s="29"/>
      <c r="N15" s="29"/>
    </row>
    <row r="16" spans="2:14" x14ac:dyDescent="0.3">
      <c r="B16" s="1" t="str">
        <f>Överblick!A22</f>
        <v>Studiematerial</v>
      </c>
      <c r="C16" s="15">
        <f>432</f>
        <v>432</v>
      </c>
      <c r="D16" s="1">
        <f>Överblick!B22</f>
        <v>300</v>
      </c>
      <c r="E16" s="19">
        <f t="shared" si="0"/>
        <v>1.44</v>
      </c>
      <c r="F16" s="20"/>
      <c r="G16" s="3" t="str">
        <f>IF(C16&lt;D16*(1-Överblick!C22),C16," ")</f>
        <v xml:space="preserve"> </v>
      </c>
      <c r="H16" s="3">
        <f>IF(C16&gt;D16*(1+Överblick!C22),C16," ")</f>
        <v>432</v>
      </c>
      <c r="K16" s="29"/>
      <c r="L16" s="29"/>
      <c r="M16" s="31"/>
      <c r="N16" s="29"/>
    </row>
    <row r="17" spans="2:14" x14ac:dyDescent="0.3">
      <c r="B17" s="1" t="str">
        <f>Överblick!A23</f>
        <v>Teknik och prylar</v>
      </c>
      <c r="C17" s="15">
        <f>99+49+106+110/2</f>
        <v>309</v>
      </c>
      <c r="D17" s="1">
        <f>Överblick!B23</f>
        <v>200</v>
      </c>
      <c r="E17" s="19">
        <f t="shared" si="0"/>
        <v>1.5449999999999999</v>
      </c>
      <c r="F17" s="20"/>
      <c r="G17" s="3" t="str">
        <f>IF(C17&lt;D17*(1-Överblick!C23),C17," ")</f>
        <v xml:space="preserve"> </v>
      </c>
      <c r="H17" s="3">
        <f>IF(C17&gt;D17*(1+Överblick!C23),C17," ")</f>
        <v>309</v>
      </c>
      <c r="K17" s="29"/>
      <c r="L17" s="29"/>
      <c r="M17" s="31"/>
      <c r="N17" s="29"/>
    </row>
    <row r="18" spans="2:14" x14ac:dyDescent="0.3">
      <c r="B18" s="1" t="str">
        <f>Överblick!A24</f>
        <v>Dricka och aktiviteter</v>
      </c>
      <c r="C18" s="15">
        <f>141+320+177</f>
        <v>638</v>
      </c>
      <c r="D18" s="1">
        <f>Överblick!B24</f>
        <v>300</v>
      </c>
      <c r="E18" s="19">
        <f t="shared" si="0"/>
        <v>2.1266666666666665</v>
      </c>
      <c r="F18" s="20"/>
      <c r="G18" s="3" t="str">
        <f>IF(C18&lt;D18*(1-Överblick!C24),C18," ")</f>
        <v xml:space="preserve"> </v>
      </c>
      <c r="H18" s="3">
        <f>IF(C18&gt;D18*(1+Överblick!C24),C18," ")</f>
        <v>638</v>
      </c>
      <c r="K18" s="29"/>
      <c r="L18" s="29"/>
      <c r="M18" s="31"/>
      <c r="N18" s="29"/>
    </row>
    <row r="19" spans="2:14" x14ac:dyDescent="0.3">
      <c r="B19" s="1" t="str">
        <f>Överblick!A25</f>
        <v>Hushåll</v>
      </c>
      <c r="C19" s="15">
        <f>303+35</f>
        <v>338</v>
      </c>
      <c r="D19" s="1">
        <f>Överblick!B25</f>
        <v>100</v>
      </c>
      <c r="E19" s="19">
        <f t="shared" si="0"/>
        <v>3.38</v>
      </c>
      <c r="F19" s="20"/>
      <c r="G19" s="3" t="str">
        <f>IF(C19&lt;D19*(1-Överblick!C25),C19," ")</f>
        <v xml:space="preserve"> </v>
      </c>
      <c r="H19" s="3">
        <f>IF(C19&gt;D19*(1+Överblick!C25),C19," ")</f>
        <v>338</v>
      </c>
      <c r="K19" s="29"/>
      <c r="L19" s="29"/>
      <c r="M19" s="29"/>
      <c r="N19" s="29"/>
    </row>
    <row r="20" spans="2:14" x14ac:dyDescent="0.3">
      <c r="B20" s="1" t="str">
        <f>Överblick!A26</f>
        <v>Transport</v>
      </c>
      <c r="C20" s="15">
        <f>198+207+175+197+141</f>
        <v>918</v>
      </c>
      <c r="D20" s="1">
        <f>Överblick!B26</f>
        <v>400</v>
      </c>
      <c r="E20" s="19">
        <f t="shared" si="0"/>
        <v>2.2949999999999999</v>
      </c>
      <c r="F20" s="20"/>
      <c r="G20" s="3" t="str">
        <f>IF(C20&lt;D20*(1-Överblick!C26),C20," ")</f>
        <v xml:space="preserve"> </v>
      </c>
      <c r="H20" s="3">
        <f>IF(C20&gt;D20*(1+Överblick!C26),C20," ")</f>
        <v>918</v>
      </c>
      <c r="K20" s="31"/>
      <c r="L20" s="31"/>
      <c r="M20" s="31"/>
      <c r="N20" s="29"/>
    </row>
    <row r="21" spans="2:14" x14ac:dyDescent="0.3">
      <c r="B21" s="1" t="str">
        <f>Överblick!A27</f>
        <v>Sport och gym</v>
      </c>
      <c r="C21" s="15"/>
      <c r="D21" s="1">
        <f>Överblick!B27</f>
        <v>250</v>
      </c>
      <c r="E21" s="19" t="str">
        <f t="shared" si="0"/>
        <v xml:space="preserve"> </v>
      </c>
      <c r="F21" s="20"/>
      <c r="G21" s="3">
        <f>IF(C21&lt;D21*(1-Överblick!C27),C21," ")</f>
        <v>0</v>
      </c>
      <c r="H21" s="3" t="str">
        <f>IF(C21&gt;D21*(1+Överblick!C27),C21," ")</f>
        <v xml:space="preserve"> </v>
      </c>
      <c r="K21" s="29"/>
      <c r="L21" s="29"/>
      <c r="M21" s="29"/>
      <c r="N21" s="29"/>
    </row>
    <row r="22" spans="2:14" x14ac:dyDescent="0.3">
      <c r="B22" s="1" t="str">
        <f>Överblick!A28</f>
        <v>Date night</v>
      </c>
      <c r="C22" s="15">
        <f>3383+550+1656-2800+40+1590/2+240/2</f>
        <v>3744</v>
      </c>
      <c r="D22" s="1">
        <f>Överblick!B28</f>
        <v>300</v>
      </c>
      <c r="E22" s="19">
        <f t="shared" si="0"/>
        <v>12.48</v>
      </c>
      <c r="F22" s="20" t="s">
        <v>5576</v>
      </c>
      <c r="G22" s="3" t="str">
        <f>IF(C22&lt;D22*(1-Överblick!C28),C22," ")</f>
        <v xml:space="preserve"> </v>
      </c>
      <c r="H22" s="3">
        <f>IF(C22&gt;D22*(1+Överblick!C28),C22," ")</f>
        <v>3744</v>
      </c>
      <c r="K22" s="29"/>
      <c r="L22" s="29"/>
      <c r="M22" s="29"/>
      <c r="N22" s="29"/>
    </row>
    <row r="23" spans="2:14" x14ac:dyDescent="0.3">
      <c r="B23" s="1" t="str">
        <f>Överblick!A29</f>
        <v>Godis och snacks</v>
      </c>
      <c r="C23" s="15">
        <f>6+12+7.5*3*20</f>
        <v>468</v>
      </c>
      <c r="D23" s="25">
        <f>Överblick!B29</f>
        <v>150</v>
      </c>
      <c r="E23" s="26">
        <f t="shared" si="0"/>
        <v>3.12</v>
      </c>
      <c r="F23" s="27"/>
      <c r="G23" s="3" t="str">
        <f>IF(C23&lt;D23*(1-Överblick!C29),C23," ")</f>
        <v xml:space="preserve"> </v>
      </c>
      <c r="H23" s="3">
        <f>IF(C23&gt;D23*(1+Överblick!C29),C23," ")</f>
        <v>468</v>
      </c>
      <c r="K23" s="29"/>
      <c r="L23" s="29"/>
      <c r="M23" s="29"/>
      <c r="N23" s="29"/>
    </row>
    <row r="24" spans="2:14" ht="15" thickBot="1" x14ac:dyDescent="0.35">
      <c r="B24" s="13" t="str">
        <f>Överblick!A30</f>
        <v>Övriga utgifter</v>
      </c>
      <c r="C24" s="21">
        <f>760+258+11+300+120-60-60+32+2170+191+425-95+1091+193+321+793+1655+40+108+102+141+835+751-35+689+34+650-70-7.5*(2+4+7)*20-7.5*3*20</f>
        <v>8950</v>
      </c>
      <c r="D24" s="8">
        <f>Överblick!B30</f>
        <v>500</v>
      </c>
      <c r="E24" s="9">
        <f t="shared" si="0"/>
        <v>17.899999999999999</v>
      </c>
      <c r="F24" s="79"/>
      <c r="G24" s="3" t="str">
        <f>IF(C24&lt;D24*(1-Överblick!C30),C24," ")</f>
        <v xml:space="preserve"> </v>
      </c>
      <c r="H24" s="3">
        <f>IF(C24&gt;D24*(1+Överblick!C30),C24," ")</f>
        <v>8950</v>
      </c>
      <c r="K24" s="29"/>
      <c r="L24" s="29"/>
      <c r="M24" s="29"/>
      <c r="N24" s="29"/>
    </row>
    <row r="25" spans="2:14" x14ac:dyDescent="0.3">
      <c r="B25" s="12" t="str">
        <f>Överblick!A31</f>
        <v>Totala utgifter</v>
      </c>
      <c r="C25" s="1">
        <f>SUM(C12:C24)</f>
        <v>29405.5</v>
      </c>
      <c r="D25" s="1">
        <f>Överblick!B31</f>
        <v>9400</v>
      </c>
      <c r="E25" s="28">
        <f>IFERROR(IF(C25/D25=0," ",C25/D25)," ")</f>
        <v>3.128244680851064</v>
      </c>
      <c r="F25" s="28"/>
      <c r="K25" s="29"/>
      <c r="L25" s="29"/>
      <c r="M25" s="29"/>
      <c r="N25" s="29"/>
    </row>
    <row r="26" spans="2:14" x14ac:dyDescent="0.3">
      <c r="D26" s="29"/>
      <c r="E26" s="30"/>
      <c r="F26" s="30"/>
      <c r="G26" s="3">
        <f>IF(C27&gt;D27*(1+Överblick!C33),C27," ")</f>
        <v>4592</v>
      </c>
      <c r="H26" s="3" t="str">
        <f>IF(C27&lt;D27*(1-Överblick!C33),C27," ")</f>
        <v xml:space="preserve"> </v>
      </c>
      <c r="K26" s="29"/>
      <c r="L26" s="29"/>
      <c r="M26" s="29"/>
      <c r="N26" s="29"/>
    </row>
    <row r="27" spans="2:14" ht="15" thickBot="1" x14ac:dyDescent="0.35">
      <c r="B27" s="33" t="s">
        <v>3</v>
      </c>
      <c r="C27" s="8">
        <f>ROUND(C8-C25,0)</f>
        <v>4592</v>
      </c>
      <c r="D27" s="22">
        <f>Överblick!B33</f>
        <v>1544</v>
      </c>
      <c r="E27" s="14">
        <f>IFERROR(C27/D27," ")</f>
        <v>2.9740932642487046</v>
      </c>
      <c r="F27" s="14"/>
      <c r="I27" s="29"/>
      <c r="J27" s="29"/>
      <c r="K27" s="29"/>
      <c r="L27" s="29"/>
      <c r="M27" s="29"/>
      <c r="N27" s="29"/>
    </row>
    <row r="28" spans="2:14" x14ac:dyDescent="0.3">
      <c r="I28" s="29"/>
      <c r="J28" s="29"/>
      <c r="K28" s="29"/>
      <c r="L28" s="29"/>
      <c r="M28" s="29"/>
      <c r="N28" s="29"/>
    </row>
    <row r="29" spans="2:14" x14ac:dyDescent="0.3">
      <c r="I29" s="29"/>
      <c r="J29" s="29"/>
      <c r="K29" s="29"/>
      <c r="L29" s="29"/>
      <c r="M29" s="29"/>
      <c r="N29" s="29"/>
    </row>
  </sheetData>
  <sheetProtection algorithmName="SHA-512" hashValue="54JLzAXlGyZWT6zCdmSvtly8gim1rjT7+ZAbxKrjpdvh7QzSvH8v/3Fb9klcPKTkSTulXCqP1c+7oBGRZSl2Ow==" saltValue="QFWV0NP2tRLR/gRAKkoasQ==" spinCount="100000" sheet="1" objects="1" scenarios="1"/>
  <conditionalFormatting sqref="E27 E5:E8 E12:E25">
    <cfRule type="cellIs" dxfId="6" priority="7" operator="between">
      <formula>$D$10</formula>
      <formula>$E$10</formula>
    </cfRule>
  </conditionalFormatting>
  <conditionalFormatting sqref="E5:E8 E27">
    <cfRule type="cellIs" dxfId="5" priority="3" operator="lessThan">
      <formula>$D$10</formula>
    </cfRule>
    <cfRule type="cellIs" dxfId="4" priority="4" operator="greaterThan">
      <formula>$E$10</formula>
    </cfRule>
  </conditionalFormatting>
  <conditionalFormatting sqref="E5:E8 E27 E12:E25">
    <cfRule type="beginsWith" dxfId="3" priority="2" operator="beginsWith" text=" ">
      <formula>LEFT(E5,LEN(" "))=" "</formula>
    </cfRule>
  </conditionalFormatting>
  <conditionalFormatting sqref="E12:E25">
    <cfRule type="cellIs" dxfId="2" priority="5" operator="greaterThan">
      <formula>$E$10</formula>
    </cfRule>
    <cfRule type="cellIs" dxfId="1" priority="6" operator="lessThan">
      <formula>$D$10</formula>
    </cfRule>
  </conditionalFormatting>
  <conditionalFormatting sqref="E1:E1048576">
    <cfRule type="cellIs" dxfId="0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</vt:i4>
      </vt:variant>
    </vt:vector>
  </HeadingPairs>
  <TitlesOfParts>
    <vt:vector size="23" baseType="lpstr">
      <vt:lpstr>Överblick</vt:lpstr>
      <vt:lpstr>EmptySheet2</vt:lpstr>
      <vt:lpstr>emptySheet</vt:lpstr>
      <vt:lpstr>September 18</vt:lpstr>
      <vt:lpstr>Oktober 18</vt:lpstr>
      <vt:lpstr>November 18</vt:lpstr>
      <vt:lpstr>December 18</vt:lpstr>
      <vt:lpstr>Januari 19</vt:lpstr>
      <vt:lpstr>Februari 19</vt:lpstr>
      <vt:lpstr>Mars 19</vt:lpstr>
      <vt:lpstr>Basmånad</vt:lpstr>
      <vt:lpstr>April 19</vt:lpstr>
      <vt:lpstr>Maj 19</vt:lpstr>
      <vt:lpstr>Juni 19</vt:lpstr>
      <vt:lpstr>Juli 19</vt:lpstr>
      <vt:lpstr>Augusti 19</vt:lpstr>
      <vt:lpstr>Hyra</vt:lpstr>
      <vt:lpstr>Hyra1</vt:lpstr>
      <vt:lpstr>Hyra2</vt:lpstr>
      <vt:lpstr>Kolumn1</vt:lpstr>
      <vt:lpstr>Kolumn2</vt:lpstr>
      <vt:lpstr>Månad</vt:lpstr>
      <vt:lpstr>Sparande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Arvid Landmark</dc:creator>
  <cp:lastModifiedBy>Arvid Landmark</cp:lastModifiedBy>
  <dcterms:created xsi:type="dcterms:W3CDTF">2018-08-25T17:05:28Z</dcterms:created>
  <dcterms:modified xsi:type="dcterms:W3CDTF">2019-09-25T08:10:02Z</dcterms:modified>
</cp:coreProperties>
</file>